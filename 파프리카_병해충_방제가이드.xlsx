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병해충 방제 가이드" sheetId="1" state="visible" r:id="rId1"/>
    <sheet xmlns:r="http://schemas.openxmlformats.org/officeDocument/2006/relationships" name="전체 방제 정보" sheetId="2" state="visible" r:id="rId2"/>
    <sheet xmlns:r="http://schemas.openxmlformats.org/officeDocument/2006/relationships" name="참고 사항" sheetId="3" state="visible" r:id="rId3"/>
  </sheets>
  <definedNames>
    <definedName name="목록_병해충조회용">'참고 사항'!$A$18:$A$47</definedName>
    <definedName name="목록_정보구분">'참고 사항'!$B$18:$B$47</definedName>
    <definedName name="목록_병해충구분">'참고 사항'!$C$18:$C$47</definedName>
    <definedName name="목록_방제구분">'참고 사항'!$D$18:$D$47</definedName>
    <definedName name="목록_학교보유">'참고 사항'!$E$18:$E$47</definedName>
    <definedName name="목록_혼용가능여부">'참고 사항'!$F$18:$F$47</definedName>
    <definedName name="목록_제형">'참고 사항'!$G$18:$G$47</definedName>
    <definedName name="목록_살포방법">'참고 사항'!$H$18:$H$47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&quot;순위&quot;"/>
    <numFmt numFmtId="166" formatCode="#,##0&quot;배&quot;"/>
    <numFmt numFmtId="167" formatCode="0&quot;회&quot;"/>
    <numFmt numFmtId="168" formatCode="#,##0&quot;원&quot;"/>
  </numFmts>
  <fonts count="19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color rgb="001F4E78"/>
      <sz val="10"/>
    </font>
    <font>
      <name val="맑은 고딕"/>
      <b val="1"/>
      <color rgb="001F3864"/>
      <sz val="16"/>
    </font>
    <font>
      <name val="맑은 고딕"/>
      <b val="1"/>
      <color rgb="00843C0C"/>
      <sz val="10"/>
    </font>
    <font>
      <name val="맑은 고딕"/>
      <b val="1"/>
      <color rgb="00FFFFFF"/>
      <sz val="11"/>
    </font>
    <font>
      <name val="맑은 고딕"/>
      <b val="1"/>
      <color rgb="001F3864"/>
      <sz val="13"/>
    </font>
    <font>
      <name val="맑은 고딕"/>
      <i val="1"/>
      <color rgb="007F7F7F"/>
      <sz val="10"/>
    </font>
    <font>
      <name val="맑은 고딕"/>
      <b val="1"/>
      <color rgb="00595959"/>
      <sz val="10"/>
    </font>
    <font>
      <name val="맑은 고딕"/>
      <b val="1"/>
      <color rgb="001F3864"/>
      <sz val="10"/>
    </font>
    <font>
      <name val="맑은 고딕"/>
      <b val="1"/>
      <color rgb="00FFFFFF"/>
      <sz val="14"/>
    </font>
    <font>
      <name val="맑은 고딕"/>
      <b val="1"/>
      <color rgb="001F4E78"/>
      <sz val="11"/>
    </font>
    <font>
      <name val="맑은 고딕"/>
      <b val="1"/>
      <color rgb="001F3864"/>
      <sz val="11"/>
    </font>
    <font>
      <name val="맑은 고딕"/>
      <b val="1"/>
      <color rgb="00385723"/>
      <sz val="11"/>
    </font>
    <font>
      <name val="맑은 고딕"/>
      <b val="1"/>
      <color rgb="00843C0C"/>
      <sz val="11"/>
    </font>
    <font>
      <name val="맑은 고딕"/>
      <b val="1"/>
      <color rgb="00595959"/>
      <sz val="11"/>
    </font>
    <font>
      <name val="맑은 고딕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E78"/>
      </patternFill>
    </fill>
    <fill>
      <patternFill patternType="solid">
        <fgColor rgb="00385723"/>
      </patternFill>
    </fill>
    <fill>
      <patternFill patternType="solid">
        <fgColor rgb="00843C0C"/>
      </patternFill>
    </fill>
    <fill>
      <patternFill patternType="solid">
        <fgColor rgb="00595959"/>
      </patternFill>
    </fill>
    <fill>
      <patternFill patternType="solid">
        <fgColor rgb="00FBEEE6"/>
      </patternFill>
    </fill>
    <fill>
      <patternFill patternType="solid">
        <fgColor rgb="00FFF2CC"/>
      </patternFill>
    </fill>
    <fill>
      <patternFill patternType="solid">
        <fgColor rgb="00F1F6EC"/>
      </patternFill>
    </fill>
    <fill>
      <patternFill patternType="solid">
        <fgColor rgb="00FDF3EC"/>
      </patternFill>
    </fill>
    <fill>
      <patternFill patternType="solid">
        <fgColor rgb="00DCE6F1"/>
      </patternFill>
    </fill>
    <fill>
      <patternFill patternType="solid">
        <fgColor rgb="00F7F9FC"/>
      </patternFill>
    </fill>
    <fill>
      <patternFill patternType="solid">
        <fgColor rgb="00EEF3F9"/>
      </patternFill>
    </fill>
  </fills>
  <borders count="1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3864"/>
      </left>
      <top style="medium">
        <color rgb="001F3864"/>
      </top>
      <bottom style="medium">
        <color rgb="001F3864"/>
      </bottom>
    </border>
    <border>
      <top style="medium">
        <color rgb="001F3864"/>
      </top>
      <bottom style="medium">
        <color rgb="001F3864"/>
      </bottom>
    </border>
    <border>
      <right style="medium">
        <color rgb="001F3864"/>
      </right>
      <top style="medium">
        <color rgb="001F3864"/>
      </top>
      <bottom style="medium">
        <color rgb="001F3864"/>
      </bottom>
    </border>
    <border>
      <bottom style="thick">
        <color rgb="001F3864"/>
      </bottom>
    </border>
    <border>
      <bottom style="thick">
        <color rgb="001F4E78"/>
      </bottom>
    </border>
    <border>
      <bottom style="thick">
        <color rgb="00385723"/>
      </bottom>
    </border>
    <border>
      <bottom style="thick">
        <color rgb="00843C0C"/>
      </bottom>
    </border>
    <border>
      <bottom style="thick">
        <color rgb="00595959"/>
      </bottom>
    </border>
    <border>
      <bottom style="hair">
        <color rgb="00D9D9D9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6" fillId="7" borderId="0" applyAlignment="1" pivotButton="0" quotePrefix="0" xfId="0">
      <alignment vertical="center" wrapText="1"/>
    </xf>
    <xf numFmtId="0" fontId="7" fillId="2" borderId="0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vertical="center"/>
    </xf>
    <xf numFmtId="0" fontId="12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6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167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14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13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15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16" fillId="0" borderId="8" applyAlignment="1" pivotButton="0" quotePrefix="0" xfId="0">
      <alignment horizontal="center" vertical="center"/>
    </xf>
    <xf numFmtId="0" fontId="0" fillId="0" borderId="8" pivotButton="0" quotePrefix="0" xfId="0"/>
    <xf numFmtId="0" fontId="17" fillId="0" borderId="9" applyAlignment="1" pivotButton="0" quotePrefix="0" xfId="0">
      <alignment horizontal="center" vertical="center"/>
    </xf>
    <xf numFmtId="0" fontId="0" fillId="0" borderId="9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49" fontId="3" fillId="11" borderId="10" applyAlignment="1" pivotButton="0" quotePrefix="0" xfId="0">
      <alignment horizontal="left" vertical="top" wrapText="1"/>
    </xf>
    <xf numFmtId="49" fontId="2" fillId="12" borderId="10" applyAlignment="1" pivotButton="0" quotePrefix="0" xfId="0">
      <alignment horizontal="center" vertical="top"/>
    </xf>
    <xf numFmtId="165" fontId="2" fillId="12" borderId="10" applyAlignment="1" pivotButton="0" quotePrefix="0" xfId="0">
      <alignment horizontal="center" vertical="top"/>
    </xf>
    <xf numFmtId="49" fontId="4" fillId="12" borderId="10" applyAlignment="1" pivotButton="0" quotePrefix="0" xfId="0">
      <alignment horizontal="left" vertical="top" wrapText="1"/>
    </xf>
    <xf numFmtId="166" fontId="2" fillId="12" borderId="10" applyAlignment="1" pivotButton="0" quotePrefix="0" xfId="0">
      <alignment horizontal="center" vertical="top"/>
    </xf>
    <xf numFmtId="49" fontId="2" fillId="12" borderId="10" applyAlignment="1" pivotButton="0" quotePrefix="0" xfId="0">
      <alignment horizontal="left" vertical="top"/>
    </xf>
    <xf numFmtId="167" fontId="2" fillId="12" borderId="10" applyAlignment="1" pivotButton="0" quotePrefix="0" xfId="0">
      <alignment horizontal="center" vertical="top"/>
    </xf>
    <xf numFmtId="49" fontId="2" fillId="12" borderId="10" applyAlignment="1" pivotButton="0" quotePrefix="0" xfId="0">
      <alignment horizontal="left" vertical="top" wrapText="1"/>
    </xf>
    <xf numFmtId="49" fontId="3" fillId="13" borderId="10" applyAlignment="1" pivotButton="0" quotePrefix="0" xfId="0">
      <alignment horizontal="left" vertical="top" wrapText="1"/>
    </xf>
    <xf numFmtId="49" fontId="2" fillId="0" borderId="10" applyAlignment="1" pivotButton="0" quotePrefix="0" xfId="0">
      <alignment horizontal="center" vertical="top"/>
    </xf>
    <xf numFmtId="165" fontId="2" fillId="0" borderId="10" applyAlignment="1" pivotButton="0" quotePrefix="0" xfId="0">
      <alignment horizontal="center" vertical="top"/>
    </xf>
    <xf numFmtId="49" fontId="4" fillId="0" borderId="10" applyAlignment="1" pivotButton="0" quotePrefix="0" xfId="0">
      <alignment horizontal="left" vertical="top" wrapText="1"/>
    </xf>
    <xf numFmtId="166" fontId="2" fillId="0" borderId="10" applyAlignment="1" pivotButton="0" quotePrefix="0" xfId="0">
      <alignment horizontal="center" vertical="top"/>
    </xf>
    <xf numFmtId="49" fontId="2" fillId="0" borderId="10" applyAlignment="1" pivotButton="0" quotePrefix="0" xfId="0">
      <alignment horizontal="left" vertical="top"/>
    </xf>
    <xf numFmtId="167" fontId="2" fillId="0" borderId="10" applyAlignment="1" pivotButton="0" quotePrefix="0" xfId="0">
      <alignment horizontal="center" vertical="top"/>
    </xf>
    <xf numFmtId="49" fontId="2" fillId="0" borderId="10" applyAlignment="1" pivotButton="0" quotePrefix="0" xfId="0">
      <alignment horizontal="left" vertical="top" wrapText="1"/>
    </xf>
    <xf numFmtId="1" fontId="2" fillId="0" borderId="0" applyAlignment="1" pivotButton="0" quotePrefix="0" xfId="0">
      <alignment horizontal="center" vertical="top"/>
    </xf>
    <xf numFmtId="49" fontId="2" fillId="0" borderId="0" applyAlignment="1" pivotButton="0" quotePrefix="0" xfId="0">
      <alignment horizontal="left" vertical="top"/>
    </xf>
    <xf numFmtId="49" fontId="2" fillId="0" borderId="0" applyAlignment="1" pivotButton="0" quotePrefix="0" xfId="0">
      <alignment horizontal="center" vertical="top"/>
    </xf>
    <xf numFmtId="49" fontId="3" fillId="0" borderId="0" applyAlignment="1" pivotButton="0" quotePrefix="0" xfId="0">
      <alignment horizontal="left" vertical="top" wrapText="1"/>
    </xf>
    <xf numFmtId="165" fontId="2" fillId="0" borderId="0" applyAlignment="1" pivotButton="0" quotePrefix="0" xfId="0">
      <alignment horizontal="center" vertical="top"/>
    </xf>
    <xf numFmtId="49" fontId="4" fillId="0" borderId="0" applyAlignment="1" pivotButton="0" quotePrefix="0" xfId="0">
      <alignment horizontal="left" vertical="top"/>
    </xf>
    <xf numFmtId="166" fontId="2" fillId="0" borderId="0" applyAlignment="1" pivotButton="0" quotePrefix="0" xfId="0">
      <alignment horizontal="center" vertical="top"/>
    </xf>
    <xf numFmtId="167" fontId="2" fillId="0" borderId="0" applyAlignment="1" pivotButton="0" quotePrefix="0" xfId="0">
      <alignment horizontal="center" vertical="top"/>
    </xf>
    <xf numFmtId="49" fontId="2" fillId="0" borderId="0" applyAlignment="1" pivotButton="0" quotePrefix="0" xfId="0">
      <alignment horizontal="left" vertical="top" wrapText="1"/>
    </xf>
    <xf numFmtId="168" fontId="2" fillId="0" borderId="0" applyAlignment="1" pivotButton="0" quotePrefix="0" xfId="0">
      <alignment horizontal="center" vertical="top"/>
    </xf>
    <xf numFmtId="164" fontId="2" fillId="0" borderId="0" applyAlignment="1" pivotButton="0" quotePrefix="0" xfId="0">
      <alignment horizontal="center" vertical="top"/>
    </xf>
    <xf numFmtId="0" fontId="18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0" fillId="0" borderId="13" pivotButton="0" quotePrefix="0" xfId="0"/>
    <xf numFmtId="0" fontId="0" fillId="0" borderId="14" pivotButton="0" quotePrefix="0" xfId="0"/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4">
    <dxf>
      <border>
        <top style="medium">
          <color rgb="001F3864"/>
        </top>
      </border>
    </dxf>
    <dxf>
      <font>
        <color rgb="008EA9C1"/>
      </font>
    </dxf>
    <dxf>
      <fill>
        <patternFill patternType="solid">
          <bgColor rgb="00FFF2CC"/>
        </patternFill>
      </fill>
    </dxf>
    <dxf>
      <font>
        <color rgb="00843C0C"/>
      </font>
      <fill>
        <patternFill patternType="solid">
          <b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병해충방제가이드" displayName="병해충방제가이드" ref="A12:R64" headerRowCount="1">
  <autoFilter ref="A12:R64"/>
  <tableColumns count="18">
    <tableColumn id="1" name="병해충명"/>
    <tableColumn id="2" name="병해충 구분"/>
    <tableColumn id="3" name="작물명"/>
    <tableColumn id="4" name="순위"/>
    <tableColumn id="5" name="약제명"/>
    <tableColumn id="6" name="제형"/>
    <tableColumn id="7" name="학교 보유"/>
    <tableColumn id="8" name="방제 구분"/>
    <tableColumn id="9" name="희석배수"/>
    <tableColumn id="10" name="살포 방법"/>
    <tableColumn id="11" name="살포 시기"/>
    <tableColumn id="12" name="수확 전 사용 제한"/>
    <tableColumn id="13" name="최대 살포 횟수"/>
    <tableColumn id="14" name="살포 간격"/>
    <tableColumn id="15" name="주의사항"/>
    <tableColumn id="16" name="혼용 정보"/>
    <tableColumn id="17" name="유효성분"/>
    <tableColumn id="18" name="작용기작"/>
  </tableColumns>
  <tableStyleInfo name="TableStyleLight1" showRowStripes="0"/>
</table>
</file>

<file path=xl/tables/table2.xml><?xml version="1.0" encoding="utf-8"?>
<table xmlns="http://schemas.openxmlformats.org/spreadsheetml/2006/main" id="2" name="전체방제정보" displayName="전체방제정보" ref="A1:AR95" headerRowCount="1">
  <autoFilter ref="A1:AR95"/>
  <tableColumns count="44">
    <tableColumn id="1" name="번호"/>
    <tableColumn id="2" name="정보 구분"/>
    <tableColumn id="3" name="작물명"/>
    <tableColumn id="4" name="병해충 구분"/>
    <tableColumn id="5" name="병해충명"/>
    <tableColumn id="6" name="순위"/>
    <tableColumn id="7" name="약제명"/>
    <tableColumn id="8" name="제형"/>
    <tableColumn id="9" name="학교 보유"/>
    <tableColumn id="10" name="방제 구분"/>
    <tableColumn id="11" name="희석배수"/>
    <tableColumn id="12" name="살포 방법"/>
    <tableColumn id="13" name="살포 시기"/>
    <tableColumn id="14" name="수확 전 사용 제한"/>
    <tableColumn id="15" name="최대 살포 횟수"/>
    <tableColumn id="16" name="살포 간격"/>
    <tableColumn id="17" name="주의사항"/>
    <tableColumn id="18" name="혼용 정보"/>
    <tableColumn id="19" name="유효성분"/>
    <tableColumn id="20" name="작용기작"/>
    <tableColumn id="21" name="겸용 대상(전체)"/>
    <tableColumn id="22" name="혼용 상대 약제"/>
    <tableColumn id="23" name="혼용 가능 여부"/>
    <tableColumn id="24" name="방제가(효과)"/>
    <tableColumn id="25" name="제조사·공시사업자"/>
    <tableColumn id="26" name="연락처"/>
    <tableColumn id="27" name="관련 정보"/>
    <tableColumn id="28" name="비고"/>
    <tableColumn id="29" name="공시번호"/>
    <tableColumn id="30" name="자재구분"/>
    <tableColumn id="31" name="자재명"/>
    <tableColumn id="32" name="가격(500mL)"/>
    <tableColumn id="33" name="등재일자"/>
    <tableColumn id="34" name="공시 시작일"/>
    <tableColumn id="35" name="공시 종료일"/>
    <tableColumn id="36" name="사업자등록번호"/>
    <tableColumn id="37" name="책임보험 가입여부"/>
    <tableColumn id="38" name="사업장/제조장"/>
    <tableColumn id="39" name="농약/비료 등록여부"/>
    <tableColumn id="40" name="약제명(원문)"/>
    <tableColumn id="41" name="안전사용기준(원문)"/>
    <tableColumn id="42" name="원본 위치"/>
    <tableColumn id="43" name="출처"/>
    <tableColumn id="44" name="자료 조회일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"/>
  <sheetViews>
    <sheetView showGridLines="0" zoomScale="9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7" customWidth="1" min="4" max="4"/>
    <col width="15" customWidth="1" min="5" max="5"/>
    <col width="11" customWidth="1" min="6" max="6"/>
    <col width="8" customWidth="1" min="7" max="7"/>
    <col width="12" customWidth="1" min="8" max="8"/>
    <col width="10" customWidth="1" min="9" max="9"/>
    <col width="13" customWidth="1" min="10" max="10"/>
    <col width="12" customWidth="1" min="11" max="11"/>
    <col width="11" customWidth="1" min="12" max="12"/>
    <col width="9" customWidth="1" min="13" max="13"/>
    <col width="9" customWidth="1" min="14" max="14"/>
    <col width="42" customWidth="1" min="15" max="15"/>
    <col width="34" customWidth="1" min="16" max="16"/>
    <col width="30" customWidth="1" min="17" max="17"/>
    <col width="11" customWidth="1" min="18" max="18"/>
  </cols>
  <sheetData>
    <row r="1" ht="30" customHeight="1">
      <c r="A1" s="1" t="inlineStr">
        <is>
          <t>파프리카 병해충 방제 가이드  ·  연암대학교 스마트팜 유리온실</t>
        </is>
      </c>
    </row>
    <row r="2" ht="22" customHeight="1">
      <c r="A2" s="2" t="inlineStr">
        <is>
          <t>공통 주의  ▶  같은 작용기작(코드)을 연속 사용하면 저항성이 생기니, 2회 이상 살포 시 2~4순위로 바꿔가며 로테이션  ·  확인 안 된 약제 조합은 섞지 않는 것이 원칙  ·  노란색 = 학교(연암대) 보유 약제</t>
        </is>
      </c>
    </row>
    <row r="3" ht="6" customHeight="1"/>
    <row r="4" ht="26" customHeight="1">
      <c r="A4" s="3" t="inlineStr">
        <is>
          <t>① 병해충 선택 ▶</t>
        </is>
      </c>
      <c r="B4" s="4" t="inlineStr">
        <is>
          <t>꽃노랑총채벌레</t>
        </is>
      </c>
      <c r="C4" s="5" t="n"/>
      <c r="D4" s="5" t="n"/>
      <c r="E4" s="6" t="n"/>
      <c r="F4" s="7" t="inlineStr">
        <is>
          <t>◀ 칸을 누르고 ▼ 목록에서 선택</t>
        </is>
      </c>
      <c r="J4" s="8" t="inlineStr">
        <is>
          <t>병해충 구분</t>
        </is>
      </c>
      <c r="K4" s="9">
        <f>IF(SUMPRODUCT(('전체 방제 정보'!$E$2:$E$3000=$B$4)*('전체 방제 정보'!$B$2:$B$3000="추천 약제(로테이션)"))=0,"",INDEX('전체 방제 정보'!$D$2:$D$3000,SUMPRODUCT(('전체 방제 정보'!$E$2:$E$3000=$B$4)*('전체 방제 정보'!$B$2:$B$3000="추천 약제(로테이션)")*(ROW('전체 방제 정보'!$E$2:$E$3000)-1)*('전체 방제 정보'!$F$2:$F$3000=1))))</f>
        <v/>
      </c>
      <c r="M4" s="8" t="inlineStr">
        <is>
          <t>유기농업자재(보조)</t>
        </is>
      </c>
      <c r="O4" s="9">
        <f>IF(COUNTIFS('전체 방제 정보'!$E$2:$E$3000,$B$4,'전체 방제 정보'!$B$2:$B$3000,"유기농업자재")=0,"해당 없음",COUNTIFS('전체 방제 정보'!$E$2:$E$3000,$B$4,'전체 방제 정보'!$B$2:$B$3000,"유기농업자재")&amp;"건 — 아래 표에서 [방제 구분] = 유기농업자재 확인")</f>
        <v/>
      </c>
    </row>
    <row r="5" ht="30" customHeight="1">
      <c r="A5" s="10">
        <f>IF($B$4="","병해충을 선택하세요",$B$4&amp;CHAR(10)&amp;"→ 적용 약제")</f>
        <v/>
      </c>
      <c r="D5" s="11" t="inlineStr">
        <is>
          <t>순위</t>
        </is>
      </c>
      <c r="E5" s="11" t="inlineStr">
        <is>
          <t>약제명</t>
        </is>
      </c>
      <c r="F5" s="11" t="inlineStr">
        <is>
          <t>제형</t>
        </is>
      </c>
      <c r="G5" s="11" t="inlineStr">
        <is>
          <t>학교 보유</t>
        </is>
      </c>
      <c r="H5" s="11" t="inlineStr">
        <is>
          <t>방제 구분</t>
        </is>
      </c>
      <c r="I5" s="12" t="inlineStr">
        <is>
          <t>희석배수</t>
        </is>
      </c>
      <c r="J5" s="12" t="inlineStr">
        <is>
          <t>살포 방법</t>
        </is>
      </c>
      <c r="K5" s="12" t="inlineStr">
        <is>
          <t>살포 시기</t>
        </is>
      </c>
      <c r="L5" s="12" t="inlineStr">
        <is>
          <t>수확 전 사용 제한</t>
        </is>
      </c>
      <c r="M5" s="12" t="inlineStr">
        <is>
          <t>최대 살포 횟수</t>
        </is>
      </c>
      <c r="N5" s="12" t="inlineStr">
        <is>
          <t>살포 간격</t>
        </is>
      </c>
      <c r="O5" s="13" t="inlineStr">
        <is>
          <t>주의사항</t>
        </is>
      </c>
      <c r="P5" s="13" t="inlineStr">
        <is>
          <t>혼용 정보</t>
        </is>
      </c>
    </row>
    <row r="6" ht="48" customHeight="1">
      <c r="A6" s="14" t="n"/>
      <c r="D6" s="15">
        <f>IF(SUMPRODUCT(('전체 방제 정보'!$E$2:$E$3000=$B$4)*('전체 방제 정보'!$B$2:$B$3000="추천 약제(로테이션)")*('전체 방제 정보'!$F$2:$F$3000=1)*(ROW('전체 방제 정보'!$E$2:$E$3000)-1))=0,"",1)</f>
        <v/>
      </c>
      <c r="E6" s="16">
        <f>IF(SUMPRODUCT(('전체 방제 정보'!$E$2:$E$3000=$B$4)*('전체 방제 정보'!$B$2:$B$3000="추천 약제(로테이션)")*('전체 방제 정보'!$F$2:$F$3000=1)*(ROW('전체 방제 정보'!$E$2:$E$3000)-1))=0,"",IF(INDEX('전체 방제 정보'!$G$2:$G$3000,SUMPRODUCT(('전체 방제 정보'!$E$2:$E$3000=$B$4)*('전체 방제 정보'!$B$2:$B$3000="추천 약제(로테이션)")*('전체 방제 정보'!$F$2:$F$3000=1)*(ROW('전체 방제 정보'!$E$2:$E$3000)-1)))="","",INDEX('전체 방제 정보'!$G$2:$G$3000,SUMPRODUCT(('전체 방제 정보'!$E$2:$E$3000=$B$4)*('전체 방제 정보'!$B$2:$B$3000="추천 약제(로테이션)")*('전체 방제 정보'!$F$2:$F$3000=1)*(ROW('전체 방제 정보'!$E$2:$E$3000)-1)))))</f>
        <v/>
      </c>
      <c r="F6" s="17">
        <f>IF(SUMPRODUCT(('전체 방제 정보'!$E$2:$E$3000=$B$4)*('전체 방제 정보'!$B$2:$B$3000="추천 약제(로테이션)")*('전체 방제 정보'!$F$2:$F$3000=1)*(ROW('전체 방제 정보'!$E$2:$E$3000)-1))=0,"",IF(INDEX('전체 방제 정보'!$H$2:$H$3000,SUMPRODUCT(('전체 방제 정보'!$E$2:$E$3000=$B$4)*('전체 방제 정보'!$B$2:$B$3000="추천 약제(로테이션)")*('전체 방제 정보'!$F$2:$F$3000=1)*(ROW('전체 방제 정보'!$E$2:$E$3000)-1)))="","",INDEX('전체 방제 정보'!$H$2:$H$3000,SUMPRODUCT(('전체 방제 정보'!$E$2:$E$3000=$B$4)*('전체 방제 정보'!$B$2:$B$3000="추천 약제(로테이션)")*('전체 방제 정보'!$F$2:$F$3000=1)*(ROW('전체 방제 정보'!$E$2:$E$3000)-1)))))</f>
        <v/>
      </c>
      <c r="G6" s="17">
        <f>IF(SUMPRODUCT(('전체 방제 정보'!$E$2:$E$3000=$B$4)*('전체 방제 정보'!$B$2:$B$3000="추천 약제(로테이션)")*('전체 방제 정보'!$F$2:$F$3000=1)*(ROW('전체 방제 정보'!$E$2:$E$3000)-1))=0,"",IF(INDEX('전체 방제 정보'!$I$2:$I$3000,SUMPRODUCT(('전체 방제 정보'!$E$2:$E$3000=$B$4)*('전체 방제 정보'!$B$2:$B$3000="추천 약제(로테이션)")*('전체 방제 정보'!$F$2:$F$3000=1)*(ROW('전체 방제 정보'!$E$2:$E$3000)-1)))="","",INDEX('전체 방제 정보'!$I$2:$I$3000,SUMPRODUCT(('전체 방제 정보'!$E$2:$E$3000=$B$4)*('전체 방제 정보'!$B$2:$B$3000="추천 약제(로테이션)")*('전체 방제 정보'!$F$2:$F$3000=1)*(ROW('전체 방제 정보'!$E$2:$E$3000)-1)))))</f>
        <v/>
      </c>
      <c r="H6" s="17">
        <f>IF(SUMPRODUCT(('전체 방제 정보'!$E$2:$E$3000=$B$4)*('전체 방제 정보'!$B$2:$B$3000="추천 약제(로테이션)")*('전체 방제 정보'!$F$2:$F$3000=1)*(ROW('전체 방제 정보'!$E$2:$E$3000)-1))=0,"",IF(INDEX('전체 방제 정보'!$J$2:$J$3000,SUMPRODUCT(('전체 방제 정보'!$E$2:$E$3000=$B$4)*('전체 방제 정보'!$B$2:$B$3000="추천 약제(로테이션)")*('전체 방제 정보'!$F$2:$F$3000=1)*(ROW('전체 방제 정보'!$E$2:$E$3000)-1)))="","",INDEX('전체 방제 정보'!$J$2:$J$3000,SUMPRODUCT(('전체 방제 정보'!$E$2:$E$3000=$B$4)*('전체 방제 정보'!$B$2:$B$3000="추천 약제(로테이션)")*('전체 방제 정보'!$F$2:$F$3000=1)*(ROW('전체 방제 정보'!$E$2:$E$3000)-1)))))</f>
        <v/>
      </c>
      <c r="I6" s="18">
        <f>IF(SUMPRODUCT(('전체 방제 정보'!$E$2:$E$3000=$B$4)*('전체 방제 정보'!$B$2:$B$3000="추천 약제(로테이션)")*('전체 방제 정보'!$F$2:$F$3000=1)*(ROW('전체 방제 정보'!$E$2:$E$3000)-1))=0,"",IF(INDEX('전체 방제 정보'!$K$2:$K$3000,SUMPRODUCT(('전체 방제 정보'!$E$2:$E$3000=$B$4)*('전체 방제 정보'!$B$2:$B$3000="추천 약제(로테이션)")*('전체 방제 정보'!$F$2:$F$3000=1)*(ROW('전체 방제 정보'!$E$2:$E$3000)-1)))="","",INDEX('전체 방제 정보'!$K$2:$K$3000,SUMPRODUCT(('전체 방제 정보'!$E$2:$E$3000=$B$4)*('전체 방제 정보'!$B$2:$B$3000="추천 약제(로테이션)")*('전체 방제 정보'!$F$2:$F$3000=1)*(ROW('전체 방제 정보'!$E$2:$E$3000)-1)))))</f>
        <v/>
      </c>
      <c r="J6" s="19">
        <f>IF(SUMPRODUCT(('전체 방제 정보'!$E$2:$E$3000=$B$4)*('전체 방제 정보'!$B$2:$B$3000="추천 약제(로테이션)")*('전체 방제 정보'!$F$2:$F$3000=1)*(ROW('전체 방제 정보'!$E$2:$E$3000)-1))=0,"",IF(INDEX('전체 방제 정보'!$L$2:$L$3000,SUMPRODUCT(('전체 방제 정보'!$E$2:$E$3000=$B$4)*('전체 방제 정보'!$B$2:$B$3000="추천 약제(로테이션)")*('전체 방제 정보'!$F$2:$F$3000=1)*(ROW('전체 방제 정보'!$E$2:$E$3000)-1)))="","",INDEX('전체 방제 정보'!$L$2:$L$3000,SUMPRODUCT(('전체 방제 정보'!$E$2:$E$3000=$B$4)*('전체 방제 정보'!$B$2:$B$3000="추천 약제(로테이션)")*('전체 방제 정보'!$F$2:$F$3000=1)*(ROW('전체 방제 정보'!$E$2:$E$3000)-1)))))</f>
        <v/>
      </c>
      <c r="K6" s="19">
        <f>IF(SUMPRODUCT(('전체 방제 정보'!$E$2:$E$3000=$B$4)*('전체 방제 정보'!$B$2:$B$3000="추천 약제(로테이션)")*('전체 방제 정보'!$F$2:$F$3000=1)*(ROW('전체 방제 정보'!$E$2:$E$3000)-1))=0,"",IF(INDEX('전체 방제 정보'!$M$2:$M$3000,SUMPRODUCT(('전체 방제 정보'!$E$2:$E$3000=$B$4)*('전체 방제 정보'!$B$2:$B$3000="추천 약제(로테이션)")*('전체 방제 정보'!$F$2:$F$3000=1)*(ROW('전체 방제 정보'!$E$2:$E$3000)-1)))="","",INDEX('전체 방제 정보'!$M$2:$M$3000,SUMPRODUCT(('전체 방제 정보'!$E$2:$E$3000=$B$4)*('전체 방제 정보'!$B$2:$B$3000="추천 약제(로테이션)")*('전체 방제 정보'!$F$2:$F$3000=1)*(ROW('전체 방제 정보'!$E$2:$E$3000)-1)))))</f>
        <v/>
      </c>
      <c r="L6" s="19">
        <f>IF(SUMPRODUCT(('전체 방제 정보'!$E$2:$E$3000=$B$4)*('전체 방제 정보'!$B$2:$B$3000="추천 약제(로테이션)")*('전체 방제 정보'!$F$2:$F$3000=1)*(ROW('전체 방제 정보'!$E$2:$E$3000)-1))=0,"",IF(INDEX('전체 방제 정보'!$N$2:$N$3000,SUMPRODUCT(('전체 방제 정보'!$E$2:$E$3000=$B$4)*('전체 방제 정보'!$B$2:$B$3000="추천 약제(로테이션)")*('전체 방제 정보'!$F$2:$F$3000=1)*(ROW('전체 방제 정보'!$E$2:$E$3000)-1)))="","",INDEX('전체 방제 정보'!$N$2:$N$3000,SUMPRODUCT(('전체 방제 정보'!$E$2:$E$3000=$B$4)*('전체 방제 정보'!$B$2:$B$3000="추천 약제(로테이션)")*('전체 방제 정보'!$F$2:$F$3000=1)*(ROW('전체 방제 정보'!$E$2:$E$3000)-1)))))</f>
        <v/>
      </c>
      <c r="M6" s="20">
        <f>IF(SUMPRODUCT(('전체 방제 정보'!$E$2:$E$3000=$B$4)*('전체 방제 정보'!$B$2:$B$3000="추천 약제(로테이션)")*('전체 방제 정보'!$F$2:$F$3000=1)*(ROW('전체 방제 정보'!$E$2:$E$3000)-1))=0,"",IF(INDEX('전체 방제 정보'!$O$2:$O$3000,SUMPRODUCT(('전체 방제 정보'!$E$2:$E$3000=$B$4)*('전체 방제 정보'!$B$2:$B$3000="추천 약제(로테이션)")*('전체 방제 정보'!$F$2:$F$3000=1)*(ROW('전체 방제 정보'!$E$2:$E$3000)-1)))="","",INDEX('전체 방제 정보'!$O$2:$O$3000,SUMPRODUCT(('전체 방제 정보'!$E$2:$E$3000=$B$4)*('전체 방제 정보'!$B$2:$B$3000="추천 약제(로테이션)")*('전체 방제 정보'!$F$2:$F$3000=1)*(ROW('전체 방제 정보'!$E$2:$E$3000)-1)))))</f>
        <v/>
      </c>
      <c r="N6" s="21">
        <f>IF(SUMPRODUCT(('전체 방제 정보'!$E$2:$E$3000=$B$4)*('전체 방제 정보'!$B$2:$B$3000="추천 약제(로테이션)")*('전체 방제 정보'!$F$2:$F$3000=1)*(ROW('전체 방제 정보'!$E$2:$E$3000)-1))=0,"",IF(INDEX('전체 방제 정보'!$P$2:$P$3000,SUMPRODUCT(('전체 방제 정보'!$E$2:$E$3000=$B$4)*('전체 방제 정보'!$B$2:$B$3000="추천 약제(로테이션)")*('전체 방제 정보'!$F$2:$F$3000=1)*(ROW('전체 방제 정보'!$E$2:$E$3000)-1)))="","",INDEX('전체 방제 정보'!$P$2:$P$3000,SUMPRODUCT(('전체 방제 정보'!$E$2:$E$3000=$B$4)*('전체 방제 정보'!$B$2:$B$3000="추천 약제(로테이션)")*('전체 방제 정보'!$F$2:$F$3000=1)*(ROW('전체 방제 정보'!$E$2:$E$3000)-1)))))</f>
        <v/>
      </c>
      <c r="O6" s="22">
        <f>IF(SUMPRODUCT(('전체 방제 정보'!$E$2:$E$3000=$B$4)*('전체 방제 정보'!$B$2:$B$3000="추천 약제(로테이션)")*('전체 방제 정보'!$F$2:$F$3000=1)*(ROW('전체 방제 정보'!$E$2:$E$3000)-1))=0,"",IF(INDEX('전체 방제 정보'!$Q$2:$Q$3000,SUMPRODUCT(('전체 방제 정보'!$E$2:$E$3000=$B$4)*('전체 방제 정보'!$B$2:$B$3000="추천 약제(로테이션)")*('전체 방제 정보'!$F$2:$F$3000=1)*(ROW('전체 방제 정보'!$E$2:$E$3000)-1)))="","",INDEX('전체 방제 정보'!$Q$2:$Q$3000,SUMPRODUCT(('전체 방제 정보'!$E$2:$E$3000=$B$4)*('전체 방제 정보'!$B$2:$B$3000="추천 약제(로테이션)")*('전체 방제 정보'!$F$2:$F$3000=1)*(ROW('전체 방제 정보'!$E$2:$E$3000)-1)))))</f>
        <v/>
      </c>
      <c r="P6" s="22">
        <f>IF(SUMPRODUCT(('전체 방제 정보'!$E$2:$E$3000=$B$4)*('전체 방제 정보'!$B$2:$B$3000="추천 약제(로테이션)")*('전체 방제 정보'!$F$2:$F$3000=1)*(ROW('전체 방제 정보'!$E$2:$E$3000)-1))=0,"",IF(INDEX('전체 방제 정보'!$R$2:$R$3000,SUMPRODUCT(('전체 방제 정보'!$E$2:$E$3000=$B$4)*('전체 방제 정보'!$B$2:$B$3000="추천 약제(로테이션)")*('전체 방제 정보'!$F$2:$F$3000=1)*(ROW('전체 방제 정보'!$E$2:$E$3000)-1)))="","",INDEX('전체 방제 정보'!$R$2:$R$3000,SUMPRODUCT(('전체 방제 정보'!$E$2:$E$3000=$B$4)*('전체 방제 정보'!$B$2:$B$3000="추천 약제(로테이션)")*('전체 방제 정보'!$F$2:$F$3000=1)*(ROW('전체 방제 정보'!$E$2:$E$3000)-1)))))</f>
        <v/>
      </c>
    </row>
    <row r="7" ht="48" customHeight="1">
      <c r="A7" s="14" t="n"/>
      <c r="D7" s="15">
        <f>IF(SUMPRODUCT(('전체 방제 정보'!$E$2:$E$3000=$B$4)*('전체 방제 정보'!$B$2:$B$3000="추천 약제(로테이션)")*('전체 방제 정보'!$F$2:$F$3000=2)*(ROW('전체 방제 정보'!$E$2:$E$3000)-1))=0,"",2)</f>
        <v/>
      </c>
      <c r="E7" s="16">
        <f>IF(SUMPRODUCT(('전체 방제 정보'!$E$2:$E$3000=$B$4)*('전체 방제 정보'!$B$2:$B$3000="추천 약제(로테이션)")*('전체 방제 정보'!$F$2:$F$3000=2)*(ROW('전체 방제 정보'!$E$2:$E$3000)-1))=0,"",IF(INDEX('전체 방제 정보'!$G$2:$G$3000,SUMPRODUCT(('전체 방제 정보'!$E$2:$E$3000=$B$4)*('전체 방제 정보'!$B$2:$B$3000="추천 약제(로테이션)")*('전체 방제 정보'!$F$2:$F$3000=2)*(ROW('전체 방제 정보'!$E$2:$E$3000)-1)))="","",INDEX('전체 방제 정보'!$G$2:$G$3000,SUMPRODUCT(('전체 방제 정보'!$E$2:$E$3000=$B$4)*('전체 방제 정보'!$B$2:$B$3000="추천 약제(로테이션)")*('전체 방제 정보'!$F$2:$F$3000=2)*(ROW('전체 방제 정보'!$E$2:$E$3000)-1)))))</f>
        <v/>
      </c>
      <c r="F7" s="17">
        <f>IF(SUMPRODUCT(('전체 방제 정보'!$E$2:$E$3000=$B$4)*('전체 방제 정보'!$B$2:$B$3000="추천 약제(로테이션)")*('전체 방제 정보'!$F$2:$F$3000=2)*(ROW('전체 방제 정보'!$E$2:$E$3000)-1))=0,"",IF(INDEX('전체 방제 정보'!$H$2:$H$3000,SUMPRODUCT(('전체 방제 정보'!$E$2:$E$3000=$B$4)*('전체 방제 정보'!$B$2:$B$3000="추천 약제(로테이션)")*('전체 방제 정보'!$F$2:$F$3000=2)*(ROW('전체 방제 정보'!$E$2:$E$3000)-1)))="","",INDEX('전체 방제 정보'!$H$2:$H$3000,SUMPRODUCT(('전체 방제 정보'!$E$2:$E$3000=$B$4)*('전체 방제 정보'!$B$2:$B$3000="추천 약제(로테이션)")*('전체 방제 정보'!$F$2:$F$3000=2)*(ROW('전체 방제 정보'!$E$2:$E$3000)-1)))))</f>
        <v/>
      </c>
      <c r="G7" s="17">
        <f>IF(SUMPRODUCT(('전체 방제 정보'!$E$2:$E$3000=$B$4)*('전체 방제 정보'!$B$2:$B$3000="추천 약제(로테이션)")*('전체 방제 정보'!$F$2:$F$3000=2)*(ROW('전체 방제 정보'!$E$2:$E$3000)-1))=0,"",IF(INDEX('전체 방제 정보'!$I$2:$I$3000,SUMPRODUCT(('전체 방제 정보'!$E$2:$E$3000=$B$4)*('전체 방제 정보'!$B$2:$B$3000="추천 약제(로테이션)")*('전체 방제 정보'!$F$2:$F$3000=2)*(ROW('전체 방제 정보'!$E$2:$E$3000)-1)))="","",INDEX('전체 방제 정보'!$I$2:$I$3000,SUMPRODUCT(('전체 방제 정보'!$E$2:$E$3000=$B$4)*('전체 방제 정보'!$B$2:$B$3000="추천 약제(로테이션)")*('전체 방제 정보'!$F$2:$F$3000=2)*(ROW('전체 방제 정보'!$E$2:$E$3000)-1)))))</f>
        <v/>
      </c>
      <c r="H7" s="17">
        <f>IF(SUMPRODUCT(('전체 방제 정보'!$E$2:$E$3000=$B$4)*('전체 방제 정보'!$B$2:$B$3000="추천 약제(로테이션)")*('전체 방제 정보'!$F$2:$F$3000=2)*(ROW('전체 방제 정보'!$E$2:$E$3000)-1))=0,"",IF(INDEX('전체 방제 정보'!$J$2:$J$3000,SUMPRODUCT(('전체 방제 정보'!$E$2:$E$3000=$B$4)*('전체 방제 정보'!$B$2:$B$3000="추천 약제(로테이션)")*('전체 방제 정보'!$F$2:$F$3000=2)*(ROW('전체 방제 정보'!$E$2:$E$3000)-1)))="","",INDEX('전체 방제 정보'!$J$2:$J$3000,SUMPRODUCT(('전체 방제 정보'!$E$2:$E$3000=$B$4)*('전체 방제 정보'!$B$2:$B$3000="추천 약제(로테이션)")*('전체 방제 정보'!$F$2:$F$3000=2)*(ROW('전체 방제 정보'!$E$2:$E$3000)-1)))))</f>
        <v/>
      </c>
      <c r="I7" s="18">
        <f>IF(SUMPRODUCT(('전체 방제 정보'!$E$2:$E$3000=$B$4)*('전체 방제 정보'!$B$2:$B$3000="추천 약제(로테이션)")*('전체 방제 정보'!$F$2:$F$3000=2)*(ROW('전체 방제 정보'!$E$2:$E$3000)-1))=0,"",IF(INDEX('전체 방제 정보'!$K$2:$K$3000,SUMPRODUCT(('전체 방제 정보'!$E$2:$E$3000=$B$4)*('전체 방제 정보'!$B$2:$B$3000="추천 약제(로테이션)")*('전체 방제 정보'!$F$2:$F$3000=2)*(ROW('전체 방제 정보'!$E$2:$E$3000)-1)))="","",INDEX('전체 방제 정보'!$K$2:$K$3000,SUMPRODUCT(('전체 방제 정보'!$E$2:$E$3000=$B$4)*('전체 방제 정보'!$B$2:$B$3000="추천 약제(로테이션)")*('전체 방제 정보'!$F$2:$F$3000=2)*(ROW('전체 방제 정보'!$E$2:$E$3000)-1)))))</f>
        <v/>
      </c>
      <c r="J7" s="19">
        <f>IF(SUMPRODUCT(('전체 방제 정보'!$E$2:$E$3000=$B$4)*('전체 방제 정보'!$B$2:$B$3000="추천 약제(로테이션)")*('전체 방제 정보'!$F$2:$F$3000=2)*(ROW('전체 방제 정보'!$E$2:$E$3000)-1))=0,"",IF(INDEX('전체 방제 정보'!$L$2:$L$3000,SUMPRODUCT(('전체 방제 정보'!$E$2:$E$3000=$B$4)*('전체 방제 정보'!$B$2:$B$3000="추천 약제(로테이션)")*('전체 방제 정보'!$F$2:$F$3000=2)*(ROW('전체 방제 정보'!$E$2:$E$3000)-1)))="","",INDEX('전체 방제 정보'!$L$2:$L$3000,SUMPRODUCT(('전체 방제 정보'!$E$2:$E$3000=$B$4)*('전체 방제 정보'!$B$2:$B$3000="추천 약제(로테이션)")*('전체 방제 정보'!$F$2:$F$3000=2)*(ROW('전체 방제 정보'!$E$2:$E$3000)-1)))))</f>
        <v/>
      </c>
      <c r="K7" s="19">
        <f>IF(SUMPRODUCT(('전체 방제 정보'!$E$2:$E$3000=$B$4)*('전체 방제 정보'!$B$2:$B$3000="추천 약제(로테이션)")*('전체 방제 정보'!$F$2:$F$3000=2)*(ROW('전체 방제 정보'!$E$2:$E$3000)-1))=0,"",IF(INDEX('전체 방제 정보'!$M$2:$M$3000,SUMPRODUCT(('전체 방제 정보'!$E$2:$E$3000=$B$4)*('전체 방제 정보'!$B$2:$B$3000="추천 약제(로테이션)")*('전체 방제 정보'!$F$2:$F$3000=2)*(ROW('전체 방제 정보'!$E$2:$E$3000)-1)))="","",INDEX('전체 방제 정보'!$M$2:$M$3000,SUMPRODUCT(('전체 방제 정보'!$E$2:$E$3000=$B$4)*('전체 방제 정보'!$B$2:$B$3000="추천 약제(로테이션)")*('전체 방제 정보'!$F$2:$F$3000=2)*(ROW('전체 방제 정보'!$E$2:$E$3000)-1)))))</f>
        <v/>
      </c>
      <c r="L7" s="19">
        <f>IF(SUMPRODUCT(('전체 방제 정보'!$E$2:$E$3000=$B$4)*('전체 방제 정보'!$B$2:$B$3000="추천 약제(로테이션)")*('전체 방제 정보'!$F$2:$F$3000=2)*(ROW('전체 방제 정보'!$E$2:$E$3000)-1))=0,"",IF(INDEX('전체 방제 정보'!$N$2:$N$3000,SUMPRODUCT(('전체 방제 정보'!$E$2:$E$3000=$B$4)*('전체 방제 정보'!$B$2:$B$3000="추천 약제(로테이션)")*('전체 방제 정보'!$F$2:$F$3000=2)*(ROW('전체 방제 정보'!$E$2:$E$3000)-1)))="","",INDEX('전체 방제 정보'!$N$2:$N$3000,SUMPRODUCT(('전체 방제 정보'!$E$2:$E$3000=$B$4)*('전체 방제 정보'!$B$2:$B$3000="추천 약제(로테이션)")*('전체 방제 정보'!$F$2:$F$3000=2)*(ROW('전체 방제 정보'!$E$2:$E$3000)-1)))))</f>
        <v/>
      </c>
      <c r="M7" s="20">
        <f>IF(SUMPRODUCT(('전체 방제 정보'!$E$2:$E$3000=$B$4)*('전체 방제 정보'!$B$2:$B$3000="추천 약제(로테이션)")*('전체 방제 정보'!$F$2:$F$3000=2)*(ROW('전체 방제 정보'!$E$2:$E$3000)-1))=0,"",IF(INDEX('전체 방제 정보'!$O$2:$O$3000,SUMPRODUCT(('전체 방제 정보'!$E$2:$E$3000=$B$4)*('전체 방제 정보'!$B$2:$B$3000="추천 약제(로테이션)")*('전체 방제 정보'!$F$2:$F$3000=2)*(ROW('전체 방제 정보'!$E$2:$E$3000)-1)))="","",INDEX('전체 방제 정보'!$O$2:$O$3000,SUMPRODUCT(('전체 방제 정보'!$E$2:$E$3000=$B$4)*('전체 방제 정보'!$B$2:$B$3000="추천 약제(로테이션)")*('전체 방제 정보'!$F$2:$F$3000=2)*(ROW('전체 방제 정보'!$E$2:$E$3000)-1)))))</f>
        <v/>
      </c>
      <c r="N7" s="21">
        <f>IF(SUMPRODUCT(('전체 방제 정보'!$E$2:$E$3000=$B$4)*('전체 방제 정보'!$B$2:$B$3000="추천 약제(로테이션)")*('전체 방제 정보'!$F$2:$F$3000=2)*(ROW('전체 방제 정보'!$E$2:$E$3000)-1))=0,"",IF(INDEX('전체 방제 정보'!$P$2:$P$3000,SUMPRODUCT(('전체 방제 정보'!$E$2:$E$3000=$B$4)*('전체 방제 정보'!$B$2:$B$3000="추천 약제(로테이션)")*('전체 방제 정보'!$F$2:$F$3000=2)*(ROW('전체 방제 정보'!$E$2:$E$3000)-1)))="","",INDEX('전체 방제 정보'!$P$2:$P$3000,SUMPRODUCT(('전체 방제 정보'!$E$2:$E$3000=$B$4)*('전체 방제 정보'!$B$2:$B$3000="추천 약제(로테이션)")*('전체 방제 정보'!$F$2:$F$3000=2)*(ROW('전체 방제 정보'!$E$2:$E$3000)-1)))))</f>
        <v/>
      </c>
      <c r="O7" s="22">
        <f>IF(SUMPRODUCT(('전체 방제 정보'!$E$2:$E$3000=$B$4)*('전체 방제 정보'!$B$2:$B$3000="추천 약제(로테이션)")*('전체 방제 정보'!$F$2:$F$3000=2)*(ROW('전체 방제 정보'!$E$2:$E$3000)-1))=0,"",IF(INDEX('전체 방제 정보'!$Q$2:$Q$3000,SUMPRODUCT(('전체 방제 정보'!$E$2:$E$3000=$B$4)*('전체 방제 정보'!$B$2:$B$3000="추천 약제(로테이션)")*('전체 방제 정보'!$F$2:$F$3000=2)*(ROW('전체 방제 정보'!$E$2:$E$3000)-1)))="","",INDEX('전체 방제 정보'!$Q$2:$Q$3000,SUMPRODUCT(('전체 방제 정보'!$E$2:$E$3000=$B$4)*('전체 방제 정보'!$B$2:$B$3000="추천 약제(로테이션)")*('전체 방제 정보'!$F$2:$F$3000=2)*(ROW('전체 방제 정보'!$E$2:$E$3000)-1)))))</f>
        <v/>
      </c>
      <c r="P7" s="22">
        <f>IF(SUMPRODUCT(('전체 방제 정보'!$E$2:$E$3000=$B$4)*('전체 방제 정보'!$B$2:$B$3000="추천 약제(로테이션)")*('전체 방제 정보'!$F$2:$F$3000=2)*(ROW('전체 방제 정보'!$E$2:$E$3000)-1))=0,"",IF(INDEX('전체 방제 정보'!$R$2:$R$3000,SUMPRODUCT(('전체 방제 정보'!$E$2:$E$3000=$B$4)*('전체 방제 정보'!$B$2:$B$3000="추천 약제(로테이션)")*('전체 방제 정보'!$F$2:$F$3000=2)*(ROW('전체 방제 정보'!$E$2:$E$3000)-1)))="","",INDEX('전체 방제 정보'!$R$2:$R$3000,SUMPRODUCT(('전체 방제 정보'!$E$2:$E$3000=$B$4)*('전체 방제 정보'!$B$2:$B$3000="추천 약제(로테이션)")*('전체 방제 정보'!$F$2:$F$3000=2)*(ROW('전체 방제 정보'!$E$2:$E$3000)-1)))))</f>
        <v/>
      </c>
    </row>
    <row r="8" ht="48" customHeight="1">
      <c r="A8" s="14" t="n"/>
      <c r="D8" s="15">
        <f>IF(SUMPRODUCT(('전체 방제 정보'!$E$2:$E$3000=$B$4)*('전체 방제 정보'!$B$2:$B$3000="추천 약제(로테이션)")*('전체 방제 정보'!$F$2:$F$3000=3)*(ROW('전체 방제 정보'!$E$2:$E$3000)-1))=0,"",3)</f>
        <v/>
      </c>
      <c r="E8" s="16">
        <f>IF(SUMPRODUCT(('전체 방제 정보'!$E$2:$E$3000=$B$4)*('전체 방제 정보'!$B$2:$B$3000="추천 약제(로테이션)")*('전체 방제 정보'!$F$2:$F$3000=3)*(ROW('전체 방제 정보'!$E$2:$E$3000)-1))=0,"",IF(INDEX('전체 방제 정보'!$G$2:$G$3000,SUMPRODUCT(('전체 방제 정보'!$E$2:$E$3000=$B$4)*('전체 방제 정보'!$B$2:$B$3000="추천 약제(로테이션)")*('전체 방제 정보'!$F$2:$F$3000=3)*(ROW('전체 방제 정보'!$E$2:$E$3000)-1)))="","",INDEX('전체 방제 정보'!$G$2:$G$3000,SUMPRODUCT(('전체 방제 정보'!$E$2:$E$3000=$B$4)*('전체 방제 정보'!$B$2:$B$3000="추천 약제(로테이션)")*('전체 방제 정보'!$F$2:$F$3000=3)*(ROW('전체 방제 정보'!$E$2:$E$3000)-1)))))</f>
        <v/>
      </c>
      <c r="F8" s="17">
        <f>IF(SUMPRODUCT(('전체 방제 정보'!$E$2:$E$3000=$B$4)*('전체 방제 정보'!$B$2:$B$3000="추천 약제(로테이션)")*('전체 방제 정보'!$F$2:$F$3000=3)*(ROW('전체 방제 정보'!$E$2:$E$3000)-1))=0,"",IF(INDEX('전체 방제 정보'!$H$2:$H$3000,SUMPRODUCT(('전체 방제 정보'!$E$2:$E$3000=$B$4)*('전체 방제 정보'!$B$2:$B$3000="추천 약제(로테이션)")*('전체 방제 정보'!$F$2:$F$3000=3)*(ROW('전체 방제 정보'!$E$2:$E$3000)-1)))="","",INDEX('전체 방제 정보'!$H$2:$H$3000,SUMPRODUCT(('전체 방제 정보'!$E$2:$E$3000=$B$4)*('전체 방제 정보'!$B$2:$B$3000="추천 약제(로테이션)")*('전체 방제 정보'!$F$2:$F$3000=3)*(ROW('전체 방제 정보'!$E$2:$E$3000)-1)))))</f>
        <v/>
      </c>
      <c r="G8" s="17">
        <f>IF(SUMPRODUCT(('전체 방제 정보'!$E$2:$E$3000=$B$4)*('전체 방제 정보'!$B$2:$B$3000="추천 약제(로테이션)")*('전체 방제 정보'!$F$2:$F$3000=3)*(ROW('전체 방제 정보'!$E$2:$E$3000)-1))=0,"",IF(INDEX('전체 방제 정보'!$I$2:$I$3000,SUMPRODUCT(('전체 방제 정보'!$E$2:$E$3000=$B$4)*('전체 방제 정보'!$B$2:$B$3000="추천 약제(로테이션)")*('전체 방제 정보'!$F$2:$F$3000=3)*(ROW('전체 방제 정보'!$E$2:$E$3000)-1)))="","",INDEX('전체 방제 정보'!$I$2:$I$3000,SUMPRODUCT(('전체 방제 정보'!$E$2:$E$3000=$B$4)*('전체 방제 정보'!$B$2:$B$3000="추천 약제(로테이션)")*('전체 방제 정보'!$F$2:$F$3000=3)*(ROW('전체 방제 정보'!$E$2:$E$3000)-1)))))</f>
        <v/>
      </c>
      <c r="H8" s="17">
        <f>IF(SUMPRODUCT(('전체 방제 정보'!$E$2:$E$3000=$B$4)*('전체 방제 정보'!$B$2:$B$3000="추천 약제(로테이션)")*('전체 방제 정보'!$F$2:$F$3000=3)*(ROW('전체 방제 정보'!$E$2:$E$3000)-1))=0,"",IF(INDEX('전체 방제 정보'!$J$2:$J$3000,SUMPRODUCT(('전체 방제 정보'!$E$2:$E$3000=$B$4)*('전체 방제 정보'!$B$2:$B$3000="추천 약제(로테이션)")*('전체 방제 정보'!$F$2:$F$3000=3)*(ROW('전체 방제 정보'!$E$2:$E$3000)-1)))="","",INDEX('전체 방제 정보'!$J$2:$J$3000,SUMPRODUCT(('전체 방제 정보'!$E$2:$E$3000=$B$4)*('전체 방제 정보'!$B$2:$B$3000="추천 약제(로테이션)")*('전체 방제 정보'!$F$2:$F$3000=3)*(ROW('전체 방제 정보'!$E$2:$E$3000)-1)))))</f>
        <v/>
      </c>
      <c r="I8" s="18">
        <f>IF(SUMPRODUCT(('전체 방제 정보'!$E$2:$E$3000=$B$4)*('전체 방제 정보'!$B$2:$B$3000="추천 약제(로테이션)")*('전체 방제 정보'!$F$2:$F$3000=3)*(ROW('전체 방제 정보'!$E$2:$E$3000)-1))=0,"",IF(INDEX('전체 방제 정보'!$K$2:$K$3000,SUMPRODUCT(('전체 방제 정보'!$E$2:$E$3000=$B$4)*('전체 방제 정보'!$B$2:$B$3000="추천 약제(로테이션)")*('전체 방제 정보'!$F$2:$F$3000=3)*(ROW('전체 방제 정보'!$E$2:$E$3000)-1)))="","",INDEX('전체 방제 정보'!$K$2:$K$3000,SUMPRODUCT(('전체 방제 정보'!$E$2:$E$3000=$B$4)*('전체 방제 정보'!$B$2:$B$3000="추천 약제(로테이션)")*('전체 방제 정보'!$F$2:$F$3000=3)*(ROW('전체 방제 정보'!$E$2:$E$3000)-1)))))</f>
        <v/>
      </c>
      <c r="J8" s="19">
        <f>IF(SUMPRODUCT(('전체 방제 정보'!$E$2:$E$3000=$B$4)*('전체 방제 정보'!$B$2:$B$3000="추천 약제(로테이션)")*('전체 방제 정보'!$F$2:$F$3000=3)*(ROW('전체 방제 정보'!$E$2:$E$3000)-1))=0,"",IF(INDEX('전체 방제 정보'!$L$2:$L$3000,SUMPRODUCT(('전체 방제 정보'!$E$2:$E$3000=$B$4)*('전체 방제 정보'!$B$2:$B$3000="추천 약제(로테이션)")*('전체 방제 정보'!$F$2:$F$3000=3)*(ROW('전체 방제 정보'!$E$2:$E$3000)-1)))="","",INDEX('전체 방제 정보'!$L$2:$L$3000,SUMPRODUCT(('전체 방제 정보'!$E$2:$E$3000=$B$4)*('전체 방제 정보'!$B$2:$B$3000="추천 약제(로테이션)")*('전체 방제 정보'!$F$2:$F$3000=3)*(ROW('전체 방제 정보'!$E$2:$E$3000)-1)))))</f>
        <v/>
      </c>
      <c r="K8" s="19">
        <f>IF(SUMPRODUCT(('전체 방제 정보'!$E$2:$E$3000=$B$4)*('전체 방제 정보'!$B$2:$B$3000="추천 약제(로테이션)")*('전체 방제 정보'!$F$2:$F$3000=3)*(ROW('전체 방제 정보'!$E$2:$E$3000)-1))=0,"",IF(INDEX('전체 방제 정보'!$M$2:$M$3000,SUMPRODUCT(('전체 방제 정보'!$E$2:$E$3000=$B$4)*('전체 방제 정보'!$B$2:$B$3000="추천 약제(로테이션)")*('전체 방제 정보'!$F$2:$F$3000=3)*(ROW('전체 방제 정보'!$E$2:$E$3000)-1)))="","",INDEX('전체 방제 정보'!$M$2:$M$3000,SUMPRODUCT(('전체 방제 정보'!$E$2:$E$3000=$B$4)*('전체 방제 정보'!$B$2:$B$3000="추천 약제(로테이션)")*('전체 방제 정보'!$F$2:$F$3000=3)*(ROW('전체 방제 정보'!$E$2:$E$3000)-1)))))</f>
        <v/>
      </c>
      <c r="L8" s="19">
        <f>IF(SUMPRODUCT(('전체 방제 정보'!$E$2:$E$3000=$B$4)*('전체 방제 정보'!$B$2:$B$3000="추천 약제(로테이션)")*('전체 방제 정보'!$F$2:$F$3000=3)*(ROW('전체 방제 정보'!$E$2:$E$3000)-1))=0,"",IF(INDEX('전체 방제 정보'!$N$2:$N$3000,SUMPRODUCT(('전체 방제 정보'!$E$2:$E$3000=$B$4)*('전체 방제 정보'!$B$2:$B$3000="추천 약제(로테이션)")*('전체 방제 정보'!$F$2:$F$3000=3)*(ROW('전체 방제 정보'!$E$2:$E$3000)-1)))="","",INDEX('전체 방제 정보'!$N$2:$N$3000,SUMPRODUCT(('전체 방제 정보'!$E$2:$E$3000=$B$4)*('전체 방제 정보'!$B$2:$B$3000="추천 약제(로테이션)")*('전체 방제 정보'!$F$2:$F$3000=3)*(ROW('전체 방제 정보'!$E$2:$E$3000)-1)))))</f>
        <v/>
      </c>
      <c r="M8" s="20">
        <f>IF(SUMPRODUCT(('전체 방제 정보'!$E$2:$E$3000=$B$4)*('전체 방제 정보'!$B$2:$B$3000="추천 약제(로테이션)")*('전체 방제 정보'!$F$2:$F$3000=3)*(ROW('전체 방제 정보'!$E$2:$E$3000)-1))=0,"",IF(INDEX('전체 방제 정보'!$O$2:$O$3000,SUMPRODUCT(('전체 방제 정보'!$E$2:$E$3000=$B$4)*('전체 방제 정보'!$B$2:$B$3000="추천 약제(로테이션)")*('전체 방제 정보'!$F$2:$F$3000=3)*(ROW('전체 방제 정보'!$E$2:$E$3000)-1)))="","",INDEX('전체 방제 정보'!$O$2:$O$3000,SUMPRODUCT(('전체 방제 정보'!$E$2:$E$3000=$B$4)*('전체 방제 정보'!$B$2:$B$3000="추천 약제(로테이션)")*('전체 방제 정보'!$F$2:$F$3000=3)*(ROW('전체 방제 정보'!$E$2:$E$3000)-1)))))</f>
        <v/>
      </c>
      <c r="N8" s="21">
        <f>IF(SUMPRODUCT(('전체 방제 정보'!$E$2:$E$3000=$B$4)*('전체 방제 정보'!$B$2:$B$3000="추천 약제(로테이션)")*('전체 방제 정보'!$F$2:$F$3000=3)*(ROW('전체 방제 정보'!$E$2:$E$3000)-1))=0,"",IF(INDEX('전체 방제 정보'!$P$2:$P$3000,SUMPRODUCT(('전체 방제 정보'!$E$2:$E$3000=$B$4)*('전체 방제 정보'!$B$2:$B$3000="추천 약제(로테이션)")*('전체 방제 정보'!$F$2:$F$3000=3)*(ROW('전체 방제 정보'!$E$2:$E$3000)-1)))="","",INDEX('전체 방제 정보'!$P$2:$P$3000,SUMPRODUCT(('전체 방제 정보'!$E$2:$E$3000=$B$4)*('전체 방제 정보'!$B$2:$B$3000="추천 약제(로테이션)")*('전체 방제 정보'!$F$2:$F$3000=3)*(ROW('전체 방제 정보'!$E$2:$E$3000)-1)))))</f>
        <v/>
      </c>
      <c r="O8" s="22">
        <f>IF(SUMPRODUCT(('전체 방제 정보'!$E$2:$E$3000=$B$4)*('전체 방제 정보'!$B$2:$B$3000="추천 약제(로테이션)")*('전체 방제 정보'!$F$2:$F$3000=3)*(ROW('전체 방제 정보'!$E$2:$E$3000)-1))=0,"",IF(INDEX('전체 방제 정보'!$Q$2:$Q$3000,SUMPRODUCT(('전체 방제 정보'!$E$2:$E$3000=$B$4)*('전체 방제 정보'!$B$2:$B$3000="추천 약제(로테이션)")*('전체 방제 정보'!$F$2:$F$3000=3)*(ROW('전체 방제 정보'!$E$2:$E$3000)-1)))="","",INDEX('전체 방제 정보'!$Q$2:$Q$3000,SUMPRODUCT(('전체 방제 정보'!$E$2:$E$3000=$B$4)*('전체 방제 정보'!$B$2:$B$3000="추천 약제(로테이션)")*('전체 방제 정보'!$F$2:$F$3000=3)*(ROW('전체 방제 정보'!$E$2:$E$3000)-1)))))</f>
        <v/>
      </c>
      <c r="P8" s="22">
        <f>IF(SUMPRODUCT(('전체 방제 정보'!$E$2:$E$3000=$B$4)*('전체 방제 정보'!$B$2:$B$3000="추천 약제(로테이션)")*('전체 방제 정보'!$F$2:$F$3000=3)*(ROW('전체 방제 정보'!$E$2:$E$3000)-1))=0,"",IF(INDEX('전체 방제 정보'!$R$2:$R$3000,SUMPRODUCT(('전체 방제 정보'!$E$2:$E$3000=$B$4)*('전체 방제 정보'!$B$2:$B$3000="추천 약제(로테이션)")*('전체 방제 정보'!$F$2:$F$3000=3)*(ROW('전체 방제 정보'!$E$2:$E$3000)-1)))="","",INDEX('전체 방제 정보'!$R$2:$R$3000,SUMPRODUCT(('전체 방제 정보'!$E$2:$E$3000=$B$4)*('전체 방제 정보'!$B$2:$B$3000="추천 약제(로테이션)")*('전체 방제 정보'!$F$2:$F$3000=3)*(ROW('전체 방제 정보'!$E$2:$E$3000)-1)))))</f>
        <v/>
      </c>
    </row>
    <row r="9" ht="48" customHeight="1">
      <c r="A9" s="14" t="n"/>
      <c r="D9" s="15">
        <f>IF(SUMPRODUCT(('전체 방제 정보'!$E$2:$E$3000=$B$4)*('전체 방제 정보'!$B$2:$B$3000="추천 약제(로테이션)")*('전체 방제 정보'!$F$2:$F$3000=4)*(ROW('전체 방제 정보'!$E$2:$E$3000)-1))=0,"",4)</f>
        <v/>
      </c>
      <c r="E9" s="16">
        <f>IF(SUMPRODUCT(('전체 방제 정보'!$E$2:$E$3000=$B$4)*('전체 방제 정보'!$B$2:$B$3000="추천 약제(로테이션)")*('전체 방제 정보'!$F$2:$F$3000=4)*(ROW('전체 방제 정보'!$E$2:$E$3000)-1))=0,"",IF(INDEX('전체 방제 정보'!$G$2:$G$3000,SUMPRODUCT(('전체 방제 정보'!$E$2:$E$3000=$B$4)*('전체 방제 정보'!$B$2:$B$3000="추천 약제(로테이션)")*('전체 방제 정보'!$F$2:$F$3000=4)*(ROW('전체 방제 정보'!$E$2:$E$3000)-1)))="","",INDEX('전체 방제 정보'!$G$2:$G$3000,SUMPRODUCT(('전체 방제 정보'!$E$2:$E$3000=$B$4)*('전체 방제 정보'!$B$2:$B$3000="추천 약제(로테이션)")*('전체 방제 정보'!$F$2:$F$3000=4)*(ROW('전체 방제 정보'!$E$2:$E$3000)-1)))))</f>
        <v/>
      </c>
      <c r="F9" s="17">
        <f>IF(SUMPRODUCT(('전체 방제 정보'!$E$2:$E$3000=$B$4)*('전체 방제 정보'!$B$2:$B$3000="추천 약제(로테이션)")*('전체 방제 정보'!$F$2:$F$3000=4)*(ROW('전체 방제 정보'!$E$2:$E$3000)-1))=0,"",IF(INDEX('전체 방제 정보'!$H$2:$H$3000,SUMPRODUCT(('전체 방제 정보'!$E$2:$E$3000=$B$4)*('전체 방제 정보'!$B$2:$B$3000="추천 약제(로테이션)")*('전체 방제 정보'!$F$2:$F$3000=4)*(ROW('전체 방제 정보'!$E$2:$E$3000)-1)))="","",INDEX('전체 방제 정보'!$H$2:$H$3000,SUMPRODUCT(('전체 방제 정보'!$E$2:$E$3000=$B$4)*('전체 방제 정보'!$B$2:$B$3000="추천 약제(로테이션)")*('전체 방제 정보'!$F$2:$F$3000=4)*(ROW('전체 방제 정보'!$E$2:$E$3000)-1)))))</f>
        <v/>
      </c>
      <c r="G9" s="17">
        <f>IF(SUMPRODUCT(('전체 방제 정보'!$E$2:$E$3000=$B$4)*('전체 방제 정보'!$B$2:$B$3000="추천 약제(로테이션)")*('전체 방제 정보'!$F$2:$F$3000=4)*(ROW('전체 방제 정보'!$E$2:$E$3000)-1))=0,"",IF(INDEX('전체 방제 정보'!$I$2:$I$3000,SUMPRODUCT(('전체 방제 정보'!$E$2:$E$3000=$B$4)*('전체 방제 정보'!$B$2:$B$3000="추천 약제(로테이션)")*('전체 방제 정보'!$F$2:$F$3000=4)*(ROW('전체 방제 정보'!$E$2:$E$3000)-1)))="","",INDEX('전체 방제 정보'!$I$2:$I$3000,SUMPRODUCT(('전체 방제 정보'!$E$2:$E$3000=$B$4)*('전체 방제 정보'!$B$2:$B$3000="추천 약제(로테이션)")*('전체 방제 정보'!$F$2:$F$3000=4)*(ROW('전체 방제 정보'!$E$2:$E$3000)-1)))))</f>
        <v/>
      </c>
      <c r="H9" s="17">
        <f>IF(SUMPRODUCT(('전체 방제 정보'!$E$2:$E$3000=$B$4)*('전체 방제 정보'!$B$2:$B$3000="추천 약제(로테이션)")*('전체 방제 정보'!$F$2:$F$3000=4)*(ROW('전체 방제 정보'!$E$2:$E$3000)-1))=0,"",IF(INDEX('전체 방제 정보'!$J$2:$J$3000,SUMPRODUCT(('전체 방제 정보'!$E$2:$E$3000=$B$4)*('전체 방제 정보'!$B$2:$B$3000="추천 약제(로테이션)")*('전체 방제 정보'!$F$2:$F$3000=4)*(ROW('전체 방제 정보'!$E$2:$E$3000)-1)))="","",INDEX('전체 방제 정보'!$J$2:$J$3000,SUMPRODUCT(('전체 방제 정보'!$E$2:$E$3000=$B$4)*('전체 방제 정보'!$B$2:$B$3000="추천 약제(로테이션)")*('전체 방제 정보'!$F$2:$F$3000=4)*(ROW('전체 방제 정보'!$E$2:$E$3000)-1)))))</f>
        <v/>
      </c>
      <c r="I9" s="18">
        <f>IF(SUMPRODUCT(('전체 방제 정보'!$E$2:$E$3000=$B$4)*('전체 방제 정보'!$B$2:$B$3000="추천 약제(로테이션)")*('전체 방제 정보'!$F$2:$F$3000=4)*(ROW('전체 방제 정보'!$E$2:$E$3000)-1))=0,"",IF(INDEX('전체 방제 정보'!$K$2:$K$3000,SUMPRODUCT(('전체 방제 정보'!$E$2:$E$3000=$B$4)*('전체 방제 정보'!$B$2:$B$3000="추천 약제(로테이션)")*('전체 방제 정보'!$F$2:$F$3000=4)*(ROW('전체 방제 정보'!$E$2:$E$3000)-1)))="","",INDEX('전체 방제 정보'!$K$2:$K$3000,SUMPRODUCT(('전체 방제 정보'!$E$2:$E$3000=$B$4)*('전체 방제 정보'!$B$2:$B$3000="추천 약제(로테이션)")*('전체 방제 정보'!$F$2:$F$3000=4)*(ROW('전체 방제 정보'!$E$2:$E$3000)-1)))))</f>
        <v/>
      </c>
      <c r="J9" s="19">
        <f>IF(SUMPRODUCT(('전체 방제 정보'!$E$2:$E$3000=$B$4)*('전체 방제 정보'!$B$2:$B$3000="추천 약제(로테이션)")*('전체 방제 정보'!$F$2:$F$3000=4)*(ROW('전체 방제 정보'!$E$2:$E$3000)-1))=0,"",IF(INDEX('전체 방제 정보'!$L$2:$L$3000,SUMPRODUCT(('전체 방제 정보'!$E$2:$E$3000=$B$4)*('전체 방제 정보'!$B$2:$B$3000="추천 약제(로테이션)")*('전체 방제 정보'!$F$2:$F$3000=4)*(ROW('전체 방제 정보'!$E$2:$E$3000)-1)))="","",INDEX('전체 방제 정보'!$L$2:$L$3000,SUMPRODUCT(('전체 방제 정보'!$E$2:$E$3000=$B$4)*('전체 방제 정보'!$B$2:$B$3000="추천 약제(로테이션)")*('전체 방제 정보'!$F$2:$F$3000=4)*(ROW('전체 방제 정보'!$E$2:$E$3000)-1)))))</f>
        <v/>
      </c>
      <c r="K9" s="19">
        <f>IF(SUMPRODUCT(('전체 방제 정보'!$E$2:$E$3000=$B$4)*('전체 방제 정보'!$B$2:$B$3000="추천 약제(로테이션)")*('전체 방제 정보'!$F$2:$F$3000=4)*(ROW('전체 방제 정보'!$E$2:$E$3000)-1))=0,"",IF(INDEX('전체 방제 정보'!$M$2:$M$3000,SUMPRODUCT(('전체 방제 정보'!$E$2:$E$3000=$B$4)*('전체 방제 정보'!$B$2:$B$3000="추천 약제(로테이션)")*('전체 방제 정보'!$F$2:$F$3000=4)*(ROW('전체 방제 정보'!$E$2:$E$3000)-1)))="","",INDEX('전체 방제 정보'!$M$2:$M$3000,SUMPRODUCT(('전체 방제 정보'!$E$2:$E$3000=$B$4)*('전체 방제 정보'!$B$2:$B$3000="추천 약제(로테이션)")*('전체 방제 정보'!$F$2:$F$3000=4)*(ROW('전체 방제 정보'!$E$2:$E$3000)-1)))))</f>
        <v/>
      </c>
      <c r="L9" s="19">
        <f>IF(SUMPRODUCT(('전체 방제 정보'!$E$2:$E$3000=$B$4)*('전체 방제 정보'!$B$2:$B$3000="추천 약제(로테이션)")*('전체 방제 정보'!$F$2:$F$3000=4)*(ROW('전체 방제 정보'!$E$2:$E$3000)-1))=0,"",IF(INDEX('전체 방제 정보'!$N$2:$N$3000,SUMPRODUCT(('전체 방제 정보'!$E$2:$E$3000=$B$4)*('전체 방제 정보'!$B$2:$B$3000="추천 약제(로테이션)")*('전체 방제 정보'!$F$2:$F$3000=4)*(ROW('전체 방제 정보'!$E$2:$E$3000)-1)))="","",INDEX('전체 방제 정보'!$N$2:$N$3000,SUMPRODUCT(('전체 방제 정보'!$E$2:$E$3000=$B$4)*('전체 방제 정보'!$B$2:$B$3000="추천 약제(로테이션)")*('전체 방제 정보'!$F$2:$F$3000=4)*(ROW('전체 방제 정보'!$E$2:$E$3000)-1)))))</f>
        <v/>
      </c>
      <c r="M9" s="20">
        <f>IF(SUMPRODUCT(('전체 방제 정보'!$E$2:$E$3000=$B$4)*('전체 방제 정보'!$B$2:$B$3000="추천 약제(로테이션)")*('전체 방제 정보'!$F$2:$F$3000=4)*(ROW('전체 방제 정보'!$E$2:$E$3000)-1))=0,"",IF(INDEX('전체 방제 정보'!$O$2:$O$3000,SUMPRODUCT(('전체 방제 정보'!$E$2:$E$3000=$B$4)*('전체 방제 정보'!$B$2:$B$3000="추천 약제(로테이션)")*('전체 방제 정보'!$F$2:$F$3000=4)*(ROW('전체 방제 정보'!$E$2:$E$3000)-1)))="","",INDEX('전체 방제 정보'!$O$2:$O$3000,SUMPRODUCT(('전체 방제 정보'!$E$2:$E$3000=$B$4)*('전체 방제 정보'!$B$2:$B$3000="추천 약제(로테이션)")*('전체 방제 정보'!$F$2:$F$3000=4)*(ROW('전체 방제 정보'!$E$2:$E$3000)-1)))))</f>
        <v/>
      </c>
      <c r="N9" s="21">
        <f>IF(SUMPRODUCT(('전체 방제 정보'!$E$2:$E$3000=$B$4)*('전체 방제 정보'!$B$2:$B$3000="추천 약제(로테이션)")*('전체 방제 정보'!$F$2:$F$3000=4)*(ROW('전체 방제 정보'!$E$2:$E$3000)-1))=0,"",IF(INDEX('전체 방제 정보'!$P$2:$P$3000,SUMPRODUCT(('전체 방제 정보'!$E$2:$E$3000=$B$4)*('전체 방제 정보'!$B$2:$B$3000="추천 약제(로테이션)")*('전체 방제 정보'!$F$2:$F$3000=4)*(ROW('전체 방제 정보'!$E$2:$E$3000)-1)))="","",INDEX('전체 방제 정보'!$P$2:$P$3000,SUMPRODUCT(('전체 방제 정보'!$E$2:$E$3000=$B$4)*('전체 방제 정보'!$B$2:$B$3000="추천 약제(로테이션)")*('전체 방제 정보'!$F$2:$F$3000=4)*(ROW('전체 방제 정보'!$E$2:$E$3000)-1)))))</f>
        <v/>
      </c>
      <c r="O9" s="22">
        <f>IF(SUMPRODUCT(('전체 방제 정보'!$E$2:$E$3000=$B$4)*('전체 방제 정보'!$B$2:$B$3000="추천 약제(로테이션)")*('전체 방제 정보'!$F$2:$F$3000=4)*(ROW('전체 방제 정보'!$E$2:$E$3000)-1))=0,"",IF(INDEX('전체 방제 정보'!$Q$2:$Q$3000,SUMPRODUCT(('전체 방제 정보'!$E$2:$E$3000=$B$4)*('전체 방제 정보'!$B$2:$B$3000="추천 약제(로테이션)")*('전체 방제 정보'!$F$2:$F$3000=4)*(ROW('전체 방제 정보'!$E$2:$E$3000)-1)))="","",INDEX('전체 방제 정보'!$Q$2:$Q$3000,SUMPRODUCT(('전체 방제 정보'!$E$2:$E$3000=$B$4)*('전체 방제 정보'!$B$2:$B$3000="추천 약제(로테이션)")*('전체 방제 정보'!$F$2:$F$3000=4)*(ROW('전체 방제 정보'!$E$2:$E$3000)-1)))))</f>
        <v/>
      </c>
      <c r="P9" s="22">
        <f>IF(SUMPRODUCT(('전체 방제 정보'!$E$2:$E$3000=$B$4)*('전체 방제 정보'!$B$2:$B$3000="추천 약제(로테이션)")*('전체 방제 정보'!$F$2:$F$3000=4)*(ROW('전체 방제 정보'!$E$2:$E$3000)-1))=0,"",IF(INDEX('전체 방제 정보'!$R$2:$R$3000,SUMPRODUCT(('전체 방제 정보'!$E$2:$E$3000=$B$4)*('전체 방제 정보'!$B$2:$B$3000="추천 약제(로테이션)")*('전체 방제 정보'!$F$2:$F$3000=4)*(ROW('전체 방제 정보'!$E$2:$E$3000)-1)))="","",INDEX('전체 방제 정보'!$R$2:$R$3000,SUMPRODUCT(('전체 방제 정보'!$E$2:$E$3000=$B$4)*('전체 방제 정보'!$B$2:$B$3000="추천 약제(로테이션)")*('전체 방제 정보'!$F$2:$F$3000=4)*(ROW('전체 방제 정보'!$E$2:$E$3000)-1)))))</f>
        <v/>
      </c>
    </row>
    <row r="10" ht="8" customHeight="1"/>
    <row r="11" ht="22" customHeight="1">
      <c r="A11" s="23" t="inlineStr">
        <is>
          <t>② 병해충</t>
        </is>
      </c>
      <c r="B11" s="24" t="n"/>
      <c r="C11" s="24" t="n"/>
      <c r="D11" s="25" t="inlineStr">
        <is>
          <t>적용 약제</t>
        </is>
      </c>
      <c r="E11" s="26" t="n"/>
      <c r="F11" s="26" t="n"/>
      <c r="G11" s="26" t="n"/>
      <c r="H11" s="26" t="n"/>
      <c r="I11" s="27" t="inlineStr">
        <is>
          <t>사용 방법 (희석 · 방법 · 시기 · 횟수)</t>
        </is>
      </c>
      <c r="J11" s="28" t="n"/>
      <c r="K11" s="28" t="n"/>
      <c r="L11" s="28" t="n"/>
      <c r="M11" s="28" t="n"/>
      <c r="N11" s="28" t="n"/>
      <c r="O11" s="29" t="inlineStr">
        <is>
          <t>주의사항</t>
        </is>
      </c>
      <c r="P11" s="30" t="n"/>
      <c r="Q11" s="31" t="inlineStr">
        <is>
          <t>약제 상세</t>
        </is>
      </c>
      <c r="R11" s="32" t="n"/>
    </row>
    <row r="12" ht="32" customHeight="1">
      <c r="A12" s="33" t="inlineStr">
        <is>
          <t>병해충명</t>
        </is>
      </c>
      <c r="B12" s="33" t="inlineStr">
        <is>
          <t>병해충 구분</t>
        </is>
      </c>
      <c r="C12" s="33" t="inlineStr">
        <is>
          <t>작물명</t>
        </is>
      </c>
      <c r="D12" s="11" t="inlineStr">
        <is>
          <t>순위</t>
        </is>
      </c>
      <c r="E12" s="11" t="inlineStr">
        <is>
          <t>약제명</t>
        </is>
      </c>
      <c r="F12" s="11" t="inlineStr">
        <is>
          <t>제형</t>
        </is>
      </c>
      <c r="G12" s="11" t="inlineStr">
        <is>
          <t>학교 보유</t>
        </is>
      </c>
      <c r="H12" s="11" t="inlineStr">
        <is>
          <t>방제 구분</t>
        </is>
      </c>
      <c r="I12" s="12" t="inlineStr">
        <is>
          <t>희석배수</t>
        </is>
      </c>
      <c r="J12" s="12" t="inlineStr">
        <is>
          <t>살포 방법</t>
        </is>
      </c>
      <c r="K12" s="12" t="inlineStr">
        <is>
          <t>살포 시기</t>
        </is>
      </c>
      <c r="L12" s="12" t="inlineStr">
        <is>
          <t>수확 전 사용 제한</t>
        </is>
      </c>
      <c r="M12" s="12" t="inlineStr">
        <is>
          <t>최대 살포 횟수</t>
        </is>
      </c>
      <c r="N12" s="12" t="inlineStr">
        <is>
          <t>살포 간격</t>
        </is>
      </c>
      <c r="O12" s="13" t="inlineStr">
        <is>
          <t>주의사항</t>
        </is>
      </c>
      <c r="P12" s="13" t="inlineStr">
        <is>
          <t>혼용 정보</t>
        </is>
      </c>
      <c r="Q12" s="34" t="inlineStr">
        <is>
          <t>유효성분</t>
        </is>
      </c>
      <c r="R12" s="34" t="inlineStr">
        <is>
          <t>작용기작</t>
        </is>
      </c>
    </row>
    <row r="13" ht="35" customHeight="1">
      <c r="A13" s="35" t="inlineStr">
        <is>
          <t>갈색무늬병</t>
        </is>
      </c>
      <c r="B13" s="36" t="inlineStr">
        <is>
          <t>병해</t>
        </is>
      </c>
      <c r="C13" s="36" t="inlineStr">
        <is>
          <t>파프리카</t>
        </is>
      </c>
      <c r="D13" s="37" t="n">
        <v>1</v>
      </c>
      <c r="E13" s="38" t="inlineStr">
        <is>
          <t>탄쟈비상</t>
        </is>
      </c>
      <c r="F13" s="36" t="inlineStr">
        <is>
          <t>액상수화제</t>
        </is>
      </c>
      <c r="G13" s="36" t="inlineStr">
        <is>
          <t>미보유</t>
        </is>
      </c>
      <c r="H13" s="36" t="inlineStr">
        <is>
          <t>등록 농약</t>
        </is>
      </c>
      <c r="I13" s="39" t="n">
        <v>2000</v>
      </c>
      <c r="J13" s="40" t="inlineStr">
        <is>
          <t>경엽처리</t>
        </is>
      </c>
      <c r="K13" s="40" t="n"/>
      <c r="L13" s="40" t="inlineStr">
        <is>
          <t>수확3일전</t>
        </is>
      </c>
      <c r="M13" s="41" t="n">
        <v>3</v>
      </c>
      <c r="N13" s="36" t="n"/>
      <c r="O13" s="42" t="inlineStr">
        <is>
          <t>등록된 약제가 1개뿐이라 대체(로테이션)용은 없습니다.</t>
        </is>
      </c>
      <c r="P13" s="42" t="inlineStr">
        <is>
          <t>모스피란과 혼용 가능(경농 조회)</t>
        </is>
      </c>
      <c r="Q13" s="42" t="inlineStr">
        <is>
          <t>Trifloxystrobin</t>
        </is>
      </c>
      <c r="R13" s="40" t="inlineStr">
        <is>
          <t>다3</t>
        </is>
      </c>
    </row>
    <row r="14" ht="35" customHeight="1">
      <c r="A14" s="43" t="inlineStr">
        <is>
          <t>갈색점무늬병</t>
        </is>
      </c>
      <c r="B14" s="44" t="inlineStr">
        <is>
          <t>병해</t>
        </is>
      </c>
      <c r="C14" s="44" t="inlineStr">
        <is>
          <t>파프리카</t>
        </is>
      </c>
      <c r="D14" s="45" t="n">
        <v>1</v>
      </c>
      <c r="E14" s="46" t="inlineStr">
        <is>
          <t>버픽스</t>
        </is>
      </c>
      <c r="F14" s="44" t="inlineStr">
        <is>
          <t>액상수화제</t>
        </is>
      </c>
      <c r="G14" s="44" t="inlineStr">
        <is>
          <t>보유</t>
        </is>
      </c>
      <c r="H14" s="44" t="inlineStr">
        <is>
          <t>등록 농약</t>
        </is>
      </c>
      <c r="I14" s="47" t="n">
        <v>2000</v>
      </c>
      <c r="J14" s="48" t="inlineStr">
        <is>
          <t>경엽처리</t>
        </is>
      </c>
      <c r="K14" s="48" t="n"/>
      <c r="L14" s="48" t="inlineStr">
        <is>
          <t>수확3일전</t>
        </is>
      </c>
      <c r="M14" s="49" t="n">
        <v>3</v>
      </c>
      <c r="N14" s="44" t="n"/>
      <c r="O14" s="50" t="n"/>
      <c r="P14" s="50" t="inlineStr">
        <is>
          <t>혼용정보 미확인 — 사용 전 제조사(동방아그로 1644-7337) 확인</t>
        </is>
      </c>
      <c r="Q14" s="50" t="inlineStr">
        <is>
          <t>Florylpicoxamid</t>
        </is>
      </c>
      <c r="R14" s="48" t="inlineStr">
        <is>
          <t>다4</t>
        </is>
      </c>
    </row>
    <row r="15" ht="35" customHeight="1">
      <c r="A15" s="43" t="inlineStr">
        <is>
          <t>갈색점무늬병</t>
        </is>
      </c>
      <c r="B15" s="44" t="inlineStr">
        <is>
          <t>병해</t>
        </is>
      </c>
      <c r="C15" s="44" t="inlineStr">
        <is>
          <t>파프리카</t>
        </is>
      </c>
      <c r="D15" s="45" t="n">
        <v>2</v>
      </c>
      <c r="E15" s="46" t="inlineStr">
        <is>
          <t>벨리스플러스</t>
        </is>
      </c>
      <c r="F15" s="44" t="inlineStr">
        <is>
          <t>입상수화제</t>
        </is>
      </c>
      <c r="G15" s="44" t="inlineStr">
        <is>
          <t>보유</t>
        </is>
      </c>
      <c r="H15" s="44" t="inlineStr">
        <is>
          <t>등록 농약</t>
        </is>
      </c>
      <c r="I15" s="47" t="n">
        <v>2000</v>
      </c>
      <c r="J15" s="48" t="inlineStr">
        <is>
          <t>경엽처리</t>
        </is>
      </c>
      <c r="K15" s="48" t="n"/>
      <c r="L15" s="48" t="inlineStr">
        <is>
          <t>수확5일전</t>
        </is>
      </c>
      <c r="M15" s="49" t="n">
        <v>2</v>
      </c>
      <c r="N15" s="44" t="n"/>
      <c r="O15" s="50" t="n"/>
      <c r="P15" s="50" t="inlineStr">
        <is>
          <t>모스피란과 혼용 가능(경농 조회)</t>
        </is>
      </c>
      <c r="Q15" s="50" t="inlineStr">
        <is>
          <t>Boscalid+Pyraclostrobin</t>
        </is>
      </c>
      <c r="R15" s="48" t="inlineStr">
        <is>
          <t>다3,다2</t>
        </is>
      </c>
    </row>
    <row r="16" ht="20" customHeight="1">
      <c r="A16" s="43" t="inlineStr">
        <is>
          <t>갈색점무늬병</t>
        </is>
      </c>
      <c r="B16" s="44" t="inlineStr">
        <is>
          <t>병해</t>
        </is>
      </c>
      <c r="C16" s="44" t="inlineStr">
        <is>
          <t>파프리카</t>
        </is>
      </c>
      <c r="D16" s="45" t="n">
        <v>3</v>
      </c>
      <c r="E16" s="46" t="inlineStr">
        <is>
          <t>오조아</t>
        </is>
      </c>
      <c r="F16" s="44" t="inlineStr">
        <is>
          <t>수화제</t>
        </is>
      </c>
      <c r="G16" s="44" t="inlineStr">
        <is>
          <t>미보유</t>
        </is>
      </c>
      <c r="H16" s="44" t="inlineStr">
        <is>
          <t>등록 농약</t>
        </is>
      </c>
      <c r="I16" s="47" t="n">
        <v>2000</v>
      </c>
      <c r="J16" s="48" t="inlineStr">
        <is>
          <t>경엽처리</t>
        </is>
      </c>
      <c r="K16" s="48" t="n"/>
      <c r="L16" s="48" t="inlineStr">
        <is>
          <t>수확5일전</t>
        </is>
      </c>
      <c r="M16" s="49" t="n">
        <v>4</v>
      </c>
      <c r="N16" s="44" t="n"/>
      <c r="O16" s="50" t="n"/>
      <c r="P16" s="50" t="n"/>
      <c r="Q16" s="50" t="inlineStr">
        <is>
          <t>Fluazinam</t>
        </is>
      </c>
      <c r="R16" s="48" t="inlineStr">
        <is>
          <t>다5</t>
        </is>
      </c>
    </row>
    <row r="17" ht="35" customHeight="1">
      <c r="A17" s="43" t="inlineStr">
        <is>
          <t>갈색점무늬병</t>
        </is>
      </c>
      <c r="B17" s="44" t="inlineStr">
        <is>
          <t>병해</t>
        </is>
      </c>
      <c r="C17" s="44" t="inlineStr">
        <is>
          <t>파프리카</t>
        </is>
      </c>
      <c r="D17" s="45" t="n">
        <v>4</v>
      </c>
      <c r="E17" s="46" t="inlineStr">
        <is>
          <t>경탄</t>
        </is>
      </c>
      <c r="F17" s="44" t="inlineStr">
        <is>
          <t>액상수화제</t>
        </is>
      </c>
      <c r="G17" s="44" t="inlineStr">
        <is>
          <t>미보유</t>
        </is>
      </c>
      <c r="H17" s="44" t="inlineStr">
        <is>
          <t>등록 농약</t>
        </is>
      </c>
      <c r="I17" s="47" t="n">
        <v>1000</v>
      </c>
      <c r="J17" s="48" t="inlineStr">
        <is>
          <t>경엽처리</t>
        </is>
      </c>
      <c r="K17" s="48" t="n"/>
      <c r="L17" s="48" t="inlineStr">
        <is>
          <t>수확3일전</t>
        </is>
      </c>
      <c r="M17" s="49" t="n">
        <v>3</v>
      </c>
      <c r="N17" s="44" t="n"/>
      <c r="O17" s="50" t="n"/>
      <c r="P17" s="50" t="n"/>
      <c r="Q17" s="50" t="inlineStr">
        <is>
          <t>Chlorothalonil+Kresoxim-methyl</t>
        </is>
      </c>
      <c r="R17" s="48" t="inlineStr">
        <is>
          <t>카,다3</t>
        </is>
      </c>
    </row>
    <row r="18" ht="35" customHeight="1">
      <c r="A18" s="35" t="inlineStr">
        <is>
          <t>붉은썩음병</t>
        </is>
      </c>
      <c r="B18" s="36" t="inlineStr">
        <is>
          <t>병해</t>
        </is>
      </c>
      <c r="C18" s="36" t="inlineStr">
        <is>
          <t>파프리카</t>
        </is>
      </c>
      <c r="D18" s="37" t="n">
        <v>1</v>
      </c>
      <c r="E18" s="38" t="inlineStr">
        <is>
          <t>스포르곤</t>
        </is>
      </c>
      <c r="F18" s="36" t="inlineStr">
        <is>
          <t>수화제</t>
        </is>
      </c>
      <c r="G18" s="36" t="inlineStr">
        <is>
          <t>미보유</t>
        </is>
      </c>
      <c r="H18" s="36" t="inlineStr">
        <is>
          <t>등록 농약</t>
        </is>
      </c>
      <c r="I18" s="39" t="n">
        <v>1000</v>
      </c>
      <c r="J18" s="40" t="inlineStr">
        <is>
          <t>관주처리</t>
        </is>
      </c>
      <c r="K18" s="40" t="n"/>
      <c r="L18" s="40" t="inlineStr">
        <is>
          <t>수확7일전</t>
        </is>
      </c>
      <c r="M18" s="41" t="n">
        <v>3</v>
      </c>
      <c r="N18" s="36" t="n"/>
      <c r="O18" s="42" t="n"/>
      <c r="P18" s="42" t="inlineStr">
        <is>
          <t>모스피란 · 코니도 · 타스타와의 혼용 조합 자료 없음</t>
        </is>
      </c>
      <c r="Q18" s="42" t="inlineStr">
        <is>
          <t>Prochloraz-manganese</t>
        </is>
      </c>
      <c r="R18" s="40" t="inlineStr">
        <is>
          <t>사1</t>
        </is>
      </c>
    </row>
    <row r="19" ht="20" customHeight="1">
      <c r="A19" s="35" t="inlineStr">
        <is>
          <t>붉은썩음병</t>
        </is>
      </c>
      <c r="B19" s="36" t="inlineStr">
        <is>
          <t>병해</t>
        </is>
      </c>
      <c r="C19" s="36" t="inlineStr">
        <is>
          <t>파프리카</t>
        </is>
      </c>
      <c r="D19" s="37" t="n">
        <v>2</v>
      </c>
      <c r="E19" s="38" t="inlineStr">
        <is>
          <t>균디스</t>
        </is>
      </c>
      <c r="F19" s="36" t="inlineStr">
        <is>
          <t>액상수화제</t>
        </is>
      </c>
      <c r="G19" s="36" t="inlineStr">
        <is>
          <t>미보유</t>
        </is>
      </c>
      <c r="H19" s="36" t="inlineStr">
        <is>
          <t>등록 농약</t>
        </is>
      </c>
      <c r="I19" s="39" t="n">
        <v>4000</v>
      </c>
      <c r="J19" s="40" t="inlineStr">
        <is>
          <t>관주처리</t>
        </is>
      </c>
      <c r="K19" s="40" t="n"/>
      <c r="L19" s="40" t="inlineStr">
        <is>
          <t>수확3일전</t>
        </is>
      </c>
      <c r="M19" s="41" t="n">
        <v>3</v>
      </c>
      <c r="N19" s="36" t="n"/>
      <c r="O19" s="42" t="n"/>
      <c r="P19" s="42" t="n"/>
      <c r="Q19" s="42" t="inlineStr">
        <is>
          <t>Azoxystrobin</t>
        </is>
      </c>
      <c r="R19" s="40" t="inlineStr">
        <is>
          <t>다3</t>
        </is>
      </c>
    </row>
    <row r="20" ht="35" customHeight="1">
      <c r="A20" s="43" t="inlineStr">
        <is>
          <t>뿌리썩음병</t>
        </is>
      </c>
      <c r="B20" s="44" t="inlineStr">
        <is>
          <t>병해</t>
        </is>
      </c>
      <c r="C20" s="44" t="inlineStr">
        <is>
          <t>파프리카</t>
        </is>
      </c>
      <c r="D20" s="45" t="n">
        <v>1</v>
      </c>
      <c r="E20" s="46" t="inlineStr">
        <is>
          <t>스포르곤</t>
        </is>
      </c>
      <c r="F20" s="44" t="inlineStr">
        <is>
          <t>입제</t>
        </is>
      </c>
      <c r="G20" s="44" t="inlineStr">
        <is>
          <t>미보유</t>
        </is>
      </c>
      <c r="H20" s="44" t="inlineStr">
        <is>
          <t>등록 농약</t>
        </is>
      </c>
      <c r="I20" s="47" t="n">
        <v>1000</v>
      </c>
      <c r="J20" s="48" t="inlineStr">
        <is>
          <t>관주처리</t>
        </is>
      </c>
      <c r="K20" s="48" t="n"/>
      <c r="L20" s="48" t="inlineStr">
        <is>
          <t>수확7일전</t>
        </is>
      </c>
      <c r="M20" s="49" t="n">
        <v>3</v>
      </c>
      <c r="N20" s="44" t="n"/>
      <c r="O20" s="50" t="inlineStr">
        <is>
          <t>등록된 약제가 1개뿐이라 대체(로테이션)용은 없습니다.</t>
        </is>
      </c>
      <c r="P20" s="50" t="inlineStr">
        <is>
          <t>모스피란 · 코니도 · 타스타와의 혼용 조합 자료 없음</t>
        </is>
      </c>
      <c r="Q20" s="50" t="inlineStr">
        <is>
          <t>Prochloraz-manganese</t>
        </is>
      </c>
      <c r="R20" s="48" t="inlineStr">
        <is>
          <t>사1</t>
        </is>
      </c>
    </row>
    <row r="21" ht="35" customHeight="1">
      <c r="A21" s="35" t="inlineStr">
        <is>
          <t>세균점무늬병</t>
        </is>
      </c>
      <c r="B21" s="36" t="inlineStr">
        <is>
          <t>병해</t>
        </is>
      </c>
      <c r="C21" s="36" t="inlineStr">
        <is>
          <t>파프리카</t>
        </is>
      </c>
      <c r="D21" s="37" t="n">
        <v>1</v>
      </c>
      <c r="E21" s="38" t="inlineStr">
        <is>
          <t>무름반점뚝</t>
        </is>
      </c>
      <c r="F21" s="36" t="inlineStr">
        <is>
          <t>수화제</t>
        </is>
      </c>
      <c r="G21" s="36" t="inlineStr">
        <is>
          <t>보유</t>
        </is>
      </c>
      <c r="H21" s="36" t="inlineStr">
        <is>
          <t>등록 농약</t>
        </is>
      </c>
      <c r="I21" s="39" t="n">
        <v>1000</v>
      </c>
      <c r="J21" s="40" t="inlineStr">
        <is>
          <t>경엽처리</t>
        </is>
      </c>
      <c r="K21" s="40" t="n"/>
      <c r="L21" s="40" t="inlineStr">
        <is>
          <t>수확7일전</t>
        </is>
      </c>
      <c r="M21" s="41" t="n">
        <v>3</v>
      </c>
      <c r="N21" s="36" t="n"/>
      <c r="O21" s="42" t="n"/>
      <c r="P21" s="42" t="inlineStr">
        <is>
          <t>혼용정보 미확인 — 사용 전 제조사(대유) 확인</t>
        </is>
      </c>
      <c r="Q21" s="42" t="inlineStr">
        <is>
          <t>Oxolinic acid</t>
        </is>
      </c>
      <c r="R21" s="40" t="inlineStr">
        <is>
          <t>가4</t>
        </is>
      </c>
    </row>
    <row r="22" ht="35" customHeight="1">
      <c r="A22" s="35" t="inlineStr">
        <is>
          <t>세균점무늬병</t>
        </is>
      </c>
      <c r="B22" s="36" t="inlineStr">
        <is>
          <t>병해</t>
        </is>
      </c>
      <c r="C22" s="36" t="inlineStr">
        <is>
          <t>파프리카</t>
        </is>
      </c>
      <c r="D22" s="37" t="n">
        <v>2</v>
      </c>
      <c r="E22" s="38" t="inlineStr">
        <is>
          <t>미스타클린</t>
        </is>
      </c>
      <c r="F22" s="36" t="inlineStr">
        <is>
          <t>수화제</t>
        </is>
      </c>
      <c r="G22" s="36" t="inlineStr">
        <is>
          <t>보유</t>
        </is>
      </c>
      <c r="H22" s="36" t="inlineStr">
        <is>
          <t>등록 농약</t>
        </is>
      </c>
      <c r="I22" s="39" t="n">
        <v>1000</v>
      </c>
      <c r="J22" s="40" t="inlineStr">
        <is>
          <t>경엽처리</t>
        </is>
      </c>
      <c r="K22" s="40" t="n"/>
      <c r="L22" s="40" t="inlineStr">
        <is>
          <t>수확3일전</t>
        </is>
      </c>
      <c r="M22" s="41" t="n">
        <v>3</v>
      </c>
      <c r="N22" s="36" t="n"/>
      <c r="O22" s="42" t="n"/>
      <c r="P22" s="42" t="n"/>
      <c r="Q22" s="42" t="inlineStr">
        <is>
          <t>Oxytetracycline dihydrate+Validamycin A</t>
        </is>
      </c>
      <c r="R22" s="40" t="inlineStr">
        <is>
          <t>라5+미분류(살균제)</t>
        </is>
      </c>
    </row>
    <row r="23" ht="50" customHeight="1">
      <c r="A23" s="35" t="inlineStr">
        <is>
          <t>세균점무늬병</t>
        </is>
      </c>
      <c r="B23" s="36" t="inlineStr">
        <is>
          <t>병해</t>
        </is>
      </c>
      <c r="C23" s="36" t="inlineStr">
        <is>
          <t>파프리카</t>
        </is>
      </c>
      <c r="D23" s="37" t="n">
        <v>3</v>
      </c>
      <c r="E23" s="38" t="inlineStr">
        <is>
          <t>가스란</t>
        </is>
      </c>
      <c r="F23" s="36" t="inlineStr">
        <is>
          <t>수화제</t>
        </is>
      </c>
      <c r="G23" s="36" t="inlineStr">
        <is>
          <t>미보유</t>
        </is>
      </c>
      <c r="H23" s="36" t="inlineStr">
        <is>
          <t>등록 농약</t>
        </is>
      </c>
      <c r="I23" s="39" t="n">
        <v>1000</v>
      </c>
      <c r="J23" s="40" t="inlineStr">
        <is>
          <t>경엽처리</t>
        </is>
      </c>
      <c r="K23" s="40" t="n"/>
      <c r="L23" s="40" t="inlineStr">
        <is>
          <t>수확2일전</t>
        </is>
      </c>
      <c r="M23" s="41" t="n">
        <v>5</v>
      </c>
      <c r="N23" s="36" t="n"/>
      <c r="O23" s="42" t="n"/>
      <c r="P23" s="42" t="inlineStr">
        <is>
          <t>모스피란과 혼용 가능(경농 조회)</t>
        </is>
      </c>
      <c r="Q23" s="42" t="inlineStr">
        <is>
          <t>코퍼옥시클로라이드.가스가마이신 (Copper oxychloride+Kasugamycin)</t>
        </is>
      </c>
      <c r="R23" s="40" t="inlineStr">
        <is>
          <t>라3,카</t>
        </is>
      </c>
    </row>
    <row r="24" ht="50" customHeight="1">
      <c r="A24" s="35" t="inlineStr">
        <is>
          <t>세균점무늬병</t>
        </is>
      </c>
      <c r="B24" s="36" t="inlineStr">
        <is>
          <t>병해</t>
        </is>
      </c>
      <c r="C24" s="36" t="inlineStr">
        <is>
          <t>파프리카</t>
        </is>
      </c>
      <c r="D24" s="37" t="n">
        <v>4</v>
      </c>
      <c r="E24" s="38" t="inlineStr">
        <is>
          <t>골든벨</t>
        </is>
      </c>
      <c r="F24" s="36" t="inlineStr">
        <is>
          <t>액상수화제</t>
        </is>
      </c>
      <c r="G24" s="36" t="inlineStr">
        <is>
          <t>미보유</t>
        </is>
      </c>
      <c r="H24" s="36" t="inlineStr">
        <is>
          <t>등록 농약</t>
        </is>
      </c>
      <c r="I24" s="39" t="n">
        <v>1000</v>
      </c>
      <c r="J24" s="40" t="inlineStr">
        <is>
          <t>경엽처리</t>
        </is>
      </c>
      <c r="K24" s="40" t="n"/>
      <c r="L24" s="40" t="inlineStr">
        <is>
          <t>수확2일전</t>
        </is>
      </c>
      <c r="M24" s="41" t="n">
        <v>3</v>
      </c>
      <c r="N24" s="36" t="n"/>
      <c r="O24" s="42" t="n"/>
      <c r="P24" s="42" t="n"/>
      <c r="Q24" s="42" t="inlineStr">
        <is>
          <t>가스가마이신.티오파네이트메틸 (Kasugamycin+Thiophanate-methyl)</t>
        </is>
      </c>
      <c r="R24" s="40" t="inlineStr">
        <is>
          <t>나1,라3</t>
        </is>
      </c>
    </row>
    <row r="25" ht="35" customHeight="1">
      <c r="A25" s="43" t="inlineStr">
        <is>
          <t>잿빛곰팡이병</t>
        </is>
      </c>
      <c r="B25" s="44" t="inlineStr">
        <is>
          <t>병해</t>
        </is>
      </c>
      <c r="C25" s="44" t="inlineStr">
        <is>
          <t>파프리카</t>
        </is>
      </c>
      <c r="D25" s="45" t="n">
        <v>1</v>
      </c>
      <c r="E25" s="46" t="inlineStr">
        <is>
          <t>버픽스</t>
        </is>
      </c>
      <c r="F25" s="44" t="inlineStr">
        <is>
          <t>액상수화제</t>
        </is>
      </c>
      <c r="G25" s="44" t="inlineStr">
        <is>
          <t>보유</t>
        </is>
      </c>
      <c r="H25" s="44" t="inlineStr">
        <is>
          <t>등록 농약</t>
        </is>
      </c>
      <c r="I25" s="47" t="n">
        <v>2000</v>
      </c>
      <c r="J25" s="48" t="inlineStr">
        <is>
          <t>경엽처리</t>
        </is>
      </c>
      <c r="K25" s="48" t="n"/>
      <c r="L25" s="48" t="inlineStr">
        <is>
          <t>수확3일전</t>
        </is>
      </c>
      <c r="M25" s="49" t="n">
        <v>3</v>
      </c>
      <c r="N25" s="44" t="n"/>
      <c r="O25" s="50" t="n"/>
      <c r="P25" s="50" t="inlineStr">
        <is>
          <t>혼용정보 미확인 — 사용 전 제조사(동방아그로 1644-7337) 확인</t>
        </is>
      </c>
      <c r="Q25" s="50" t="inlineStr">
        <is>
          <t>Florylpicoxamid</t>
        </is>
      </c>
      <c r="R25" s="48" t="inlineStr">
        <is>
          <t>다4</t>
        </is>
      </c>
    </row>
    <row r="26" ht="20" customHeight="1">
      <c r="A26" s="43" t="inlineStr">
        <is>
          <t>잿빛곰팡이병</t>
        </is>
      </c>
      <c r="B26" s="44" t="inlineStr">
        <is>
          <t>병해</t>
        </is>
      </c>
      <c r="C26" s="44" t="inlineStr">
        <is>
          <t>파프리카</t>
        </is>
      </c>
      <c r="D26" s="45" t="n">
        <v>2</v>
      </c>
      <c r="E26" s="46" t="inlineStr">
        <is>
          <t>미래빛</t>
        </is>
      </c>
      <c r="F26" s="44" t="inlineStr">
        <is>
          <t>액상수화제</t>
        </is>
      </c>
      <c r="G26" s="44" t="inlineStr">
        <is>
          <t>보유</t>
        </is>
      </c>
      <c r="H26" s="44" t="inlineStr">
        <is>
          <t>등록 농약</t>
        </is>
      </c>
      <c r="I26" s="47" t="n">
        <v>4000</v>
      </c>
      <c r="J26" s="48" t="inlineStr">
        <is>
          <t>경엽처리</t>
        </is>
      </c>
      <c r="K26" s="48" t="n"/>
      <c r="L26" s="48" t="inlineStr">
        <is>
          <t>수확3일전</t>
        </is>
      </c>
      <c r="M26" s="49" t="n">
        <v>3</v>
      </c>
      <c r="N26" s="44" t="n"/>
      <c r="O26" s="50" t="n"/>
      <c r="P26" s="50" t="n"/>
      <c r="Q26" s="50" t="inlineStr">
        <is>
          <t>Pydiflumetofen</t>
        </is>
      </c>
      <c r="R26" s="48" t="inlineStr">
        <is>
          <t>다2</t>
        </is>
      </c>
    </row>
    <row r="27" ht="20" customHeight="1">
      <c r="A27" s="43" t="inlineStr">
        <is>
          <t>잿빛곰팡이병</t>
        </is>
      </c>
      <c r="B27" s="44" t="inlineStr">
        <is>
          <t>병해</t>
        </is>
      </c>
      <c r="C27" s="44" t="inlineStr">
        <is>
          <t>파프리카</t>
        </is>
      </c>
      <c r="D27" s="45" t="n">
        <v>3</v>
      </c>
      <c r="E27" s="46" t="inlineStr">
        <is>
          <t>사파이어</t>
        </is>
      </c>
      <c r="F27" s="44" t="inlineStr">
        <is>
          <t>액상수화제</t>
        </is>
      </c>
      <c r="G27" s="44" t="inlineStr">
        <is>
          <t>보유</t>
        </is>
      </c>
      <c r="H27" s="44" t="inlineStr">
        <is>
          <t>등록 농약</t>
        </is>
      </c>
      <c r="I27" s="47" t="n">
        <v>2000</v>
      </c>
      <c r="J27" s="48" t="inlineStr">
        <is>
          <t>경엽처리</t>
        </is>
      </c>
      <c r="K27" s="48" t="n"/>
      <c r="L27" s="48" t="inlineStr">
        <is>
          <t>수확3일전</t>
        </is>
      </c>
      <c r="M27" s="49" t="n">
        <v>2</v>
      </c>
      <c r="N27" s="44" t="n"/>
      <c r="O27" s="50" t="n"/>
      <c r="P27" s="50" t="n"/>
      <c r="Q27" s="50" t="inlineStr">
        <is>
          <t>Fludioxonil</t>
        </is>
      </c>
      <c r="R27" s="48" t="inlineStr">
        <is>
          <t>마2</t>
        </is>
      </c>
    </row>
    <row r="28" ht="20" customHeight="1">
      <c r="A28" s="43" t="inlineStr">
        <is>
          <t>잿빛곰팡이병</t>
        </is>
      </c>
      <c r="B28" s="44" t="inlineStr">
        <is>
          <t>병해</t>
        </is>
      </c>
      <c r="C28" s="44" t="inlineStr">
        <is>
          <t>파프리카</t>
        </is>
      </c>
      <c r="D28" s="45" t="n">
        <v>4</v>
      </c>
      <c r="E28" s="46" t="inlineStr">
        <is>
          <t>오조아</t>
        </is>
      </c>
      <c r="F28" s="44" t="inlineStr">
        <is>
          <t>수화제</t>
        </is>
      </c>
      <c r="G28" s="44" t="inlineStr">
        <is>
          <t>미보유</t>
        </is>
      </c>
      <c r="H28" s="44" t="inlineStr">
        <is>
          <t>등록 농약</t>
        </is>
      </c>
      <c r="I28" s="47" t="n">
        <v>2000</v>
      </c>
      <c r="J28" s="48" t="inlineStr">
        <is>
          <t>경엽처리</t>
        </is>
      </c>
      <c r="K28" s="48" t="n"/>
      <c r="L28" s="48" t="inlineStr">
        <is>
          <t>수확5일전</t>
        </is>
      </c>
      <c r="M28" s="49" t="n">
        <v>4</v>
      </c>
      <c r="N28" s="44" t="n"/>
      <c r="O28" s="50" t="n"/>
      <c r="P28" s="50" t="n"/>
      <c r="Q28" s="50" t="inlineStr">
        <is>
          <t>Fluazinam</t>
        </is>
      </c>
      <c r="R28" s="48" t="inlineStr">
        <is>
          <t>다5</t>
        </is>
      </c>
    </row>
    <row r="29" ht="35" customHeight="1">
      <c r="A29" s="35" t="inlineStr">
        <is>
          <t>탄저병</t>
        </is>
      </c>
      <c r="B29" s="36" t="inlineStr">
        <is>
          <t>병해</t>
        </is>
      </c>
      <c r="C29" s="36" t="inlineStr">
        <is>
          <t>파프리카</t>
        </is>
      </c>
      <c r="D29" s="37" t="n">
        <v>1</v>
      </c>
      <c r="E29" s="38" t="inlineStr">
        <is>
          <t>벨리스플러스</t>
        </is>
      </c>
      <c r="F29" s="36" t="inlineStr">
        <is>
          <t>입상수화제</t>
        </is>
      </c>
      <c r="G29" s="36" t="inlineStr">
        <is>
          <t>보유</t>
        </is>
      </c>
      <c r="H29" s="36" t="inlineStr">
        <is>
          <t>등록 농약</t>
        </is>
      </c>
      <c r="I29" s="39" t="n">
        <v>2000</v>
      </c>
      <c r="J29" s="40" t="inlineStr">
        <is>
          <t>경엽처리</t>
        </is>
      </c>
      <c r="K29" s="40" t="n"/>
      <c r="L29" s="40" t="inlineStr">
        <is>
          <t>수확5일전</t>
        </is>
      </c>
      <c r="M29" s="41" t="n">
        <v>2</v>
      </c>
      <c r="N29" s="36" t="n"/>
      <c r="O29" s="42" t="n"/>
      <c r="P29" s="42" t="inlineStr">
        <is>
          <t>모스피란과 혼용 가능(경농 조회)</t>
        </is>
      </c>
      <c r="Q29" s="42" t="inlineStr">
        <is>
          <t>Boscalid+Pyraclostrobin</t>
        </is>
      </c>
      <c r="R29" s="40" t="inlineStr">
        <is>
          <t>다3,다2</t>
        </is>
      </c>
    </row>
    <row r="30" ht="50" customHeight="1">
      <c r="A30" s="35" t="inlineStr">
        <is>
          <t>탄저병</t>
        </is>
      </c>
      <c r="B30" s="36" t="inlineStr">
        <is>
          <t>병해</t>
        </is>
      </c>
      <c r="C30" s="36" t="inlineStr">
        <is>
          <t>파프리카</t>
        </is>
      </c>
      <c r="D30" s="37" t="n">
        <v>2</v>
      </c>
      <c r="E30" s="38" t="inlineStr">
        <is>
          <t>다놀라</t>
        </is>
      </c>
      <c r="F30" s="36" t="inlineStr">
        <is>
          <t>액상</t>
        </is>
      </c>
      <c r="G30" s="36" t="inlineStr">
        <is>
          <t>보유</t>
        </is>
      </c>
      <c r="H30" s="36" t="inlineStr">
        <is>
          <t>등록 농약</t>
        </is>
      </c>
      <c r="I30" s="39" t="n"/>
      <c r="J30" s="40" t="n"/>
      <c r="K30" s="40" t="n"/>
      <c r="L30" s="40" t="n"/>
      <c r="M30" s="41" t="n"/>
      <c r="N30" s="36" t="n"/>
      <c r="O30" s="42" t="inlineStr">
        <is>
          <t>원본에 희석배수·사용방법·안전사용기준 미기재</t>
        </is>
      </c>
      <c r="P30" s="42" t="inlineStr">
        <is>
          <t>모스피란과 혼용 가능(경농 조회)</t>
        </is>
      </c>
      <c r="Q30" s="42" t="inlineStr">
        <is>
          <t>디페노코나졸.피라클로스트로빈 (Difenoconazole+Pyraclostrobin)</t>
        </is>
      </c>
      <c r="R30" s="40" t="inlineStr">
        <is>
          <t>사1,다3</t>
        </is>
      </c>
    </row>
    <row r="31" ht="50" customHeight="1">
      <c r="A31" s="35" t="inlineStr">
        <is>
          <t>탄저병</t>
        </is>
      </c>
      <c r="B31" s="36" t="inlineStr">
        <is>
          <t>병해</t>
        </is>
      </c>
      <c r="C31" s="36" t="inlineStr">
        <is>
          <t>파프리카</t>
        </is>
      </c>
      <c r="D31" s="37" t="n">
        <v>3</v>
      </c>
      <c r="E31" s="38" t="inlineStr">
        <is>
          <t>미리본</t>
        </is>
      </c>
      <c r="F31" s="36" t="n"/>
      <c r="G31" s="36" t="inlineStr">
        <is>
          <t>보유</t>
        </is>
      </c>
      <c r="H31" s="36" t="inlineStr">
        <is>
          <t>등록 농약</t>
        </is>
      </c>
      <c r="I31" s="39" t="n"/>
      <c r="J31" s="40" t="n"/>
      <c r="K31" s="40" t="n"/>
      <c r="L31" s="40" t="n"/>
      <c r="M31" s="41" t="n"/>
      <c r="N31" s="36" t="n"/>
      <c r="O31" s="42" t="inlineStr">
        <is>
          <t>원본에 희석배수·사용방법·안전사용기준 미기재</t>
        </is>
      </c>
      <c r="P31" s="42" t="n"/>
      <c r="Q31" s="42" t="inlineStr">
        <is>
          <t>플룩사피록사드.피라클로스트로빈 (Fluxapyroxad+Pyraclostrobin)</t>
        </is>
      </c>
      <c r="R31" s="40" t="inlineStr">
        <is>
          <t>다3,다2</t>
        </is>
      </c>
    </row>
    <row r="32" ht="50" customHeight="1">
      <c r="A32" s="35" t="inlineStr">
        <is>
          <t>탄저병</t>
        </is>
      </c>
      <c r="B32" s="36" t="inlineStr">
        <is>
          <t>병해</t>
        </is>
      </c>
      <c r="C32" s="36" t="inlineStr">
        <is>
          <t>파프리카</t>
        </is>
      </c>
      <c r="D32" s="37" t="n">
        <v>4</v>
      </c>
      <c r="E32" s="38" t="inlineStr">
        <is>
          <t>벨쿠트</t>
        </is>
      </c>
      <c r="F32" s="36" t="inlineStr">
        <is>
          <t>수화제</t>
        </is>
      </c>
      <c r="G32" s="36" t="inlineStr">
        <is>
          <t>보유</t>
        </is>
      </c>
      <c r="H32" s="36" t="inlineStr">
        <is>
          <t>등록 농약</t>
        </is>
      </c>
      <c r="I32" s="39" t="n"/>
      <c r="J32" s="40" t="n"/>
      <c r="K32" s="40" t="n"/>
      <c r="L32" s="40" t="n"/>
      <c r="M32" s="41" t="n"/>
      <c r="N32" s="36" t="n"/>
      <c r="O32" s="42" t="inlineStr">
        <is>
          <t>원본에 희석배수·사용방법·안전사용기준 미기재</t>
        </is>
      </c>
      <c r="P32" s="42" t="inlineStr">
        <is>
          <t>모스피란 · 코니도와 혼용 가능(경농·팜한농 조회)</t>
        </is>
      </c>
      <c r="Q32" s="42" t="inlineStr">
        <is>
          <t>이미녹타딘트리스알베실레이트 (Iminoctadin tris (albesilate))</t>
        </is>
      </c>
      <c r="R32" s="40" t="inlineStr">
        <is>
          <t>카</t>
        </is>
      </c>
    </row>
    <row r="33" ht="65" customHeight="1">
      <c r="A33" s="43" t="inlineStr">
        <is>
          <t>풋마름병</t>
        </is>
      </c>
      <c r="B33" s="44" t="inlineStr">
        <is>
          <t>병해</t>
        </is>
      </c>
      <c r="C33" s="44" t="inlineStr">
        <is>
          <t>파프리카</t>
        </is>
      </c>
      <c r="D33" s="45" t="n">
        <v>1</v>
      </c>
      <c r="E33" s="46" t="inlineStr">
        <is>
          <t>크린쏘일</t>
        </is>
      </c>
      <c r="F33" s="44" t="inlineStr">
        <is>
          <t>입제</t>
        </is>
      </c>
      <c r="G33" s="44" t="inlineStr">
        <is>
          <t>미보유</t>
        </is>
      </c>
      <c r="H33" s="44" t="inlineStr">
        <is>
          <t>등록 농약</t>
        </is>
      </c>
      <c r="I33" s="47" t="n"/>
      <c r="J33" s="48" t="inlineStr">
        <is>
          <t>토양처리</t>
        </is>
      </c>
      <c r="K33" s="48" t="inlineStr">
        <is>
          <t>정식 4주일 전</t>
        </is>
      </c>
      <c r="L33" s="48" t="n"/>
      <c r="M33" s="49" t="n">
        <v>1</v>
      </c>
      <c r="N33" s="44" t="n"/>
      <c r="O33" s="50" t="inlineStr">
        <is>
          <t>가이드 추천문에는 유효성분 'Metam-sodium', 사용방법 '관주처리', 안전사용기준 '정식4주전 / 1회'(으)로 표기 — 원본 내 표기 상이, 확인 필요</t>
        </is>
      </c>
      <c r="P33" s="50" t="n"/>
      <c r="Q33" s="50" t="inlineStr">
        <is>
          <t>Dazomet</t>
        </is>
      </c>
      <c r="R33" s="48" t="inlineStr">
        <is>
          <t>미분류(살균제)</t>
        </is>
      </c>
    </row>
    <row r="34" ht="35" customHeight="1">
      <c r="A34" s="35" t="inlineStr">
        <is>
          <t>거세미나방류</t>
        </is>
      </c>
      <c r="B34" s="36" t="inlineStr">
        <is>
          <t>해충</t>
        </is>
      </c>
      <c r="C34" s="36" t="inlineStr">
        <is>
          <t>파프리카</t>
        </is>
      </c>
      <c r="D34" s="37" t="n">
        <v>1</v>
      </c>
      <c r="E34" s="38" t="inlineStr">
        <is>
          <t>쏘버린</t>
        </is>
      </c>
      <c r="F34" s="36" t="inlineStr">
        <is>
          <t>입제</t>
        </is>
      </c>
      <c r="G34" s="36" t="inlineStr">
        <is>
          <t>미보유</t>
        </is>
      </c>
      <c r="H34" s="36" t="inlineStr">
        <is>
          <t>등록 농약</t>
        </is>
      </c>
      <c r="I34" s="39" t="n"/>
      <c r="J34" s="40" t="inlineStr">
        <is>
          <t>토양처리</t>
        </is>
      </c>
      <c r="K34" s="40" t="inlineStr">
        <is>
          <t>정식기</t>
        </is>
      </c>
      <c r="L34" s="40" t="n"/>
      <c r="M34" s="41" t="n">
        <v>1</v>
      </c>
      <c r="N34" s="36" t="n"/>
      <c r="O34" s="42" t="n"/>
      <c r="P34" s="42" t="inlineStr">
        <is>
          <t>정식 시 흙에 뿌리는 입제 — 혼용정보표 대상 아님</t>
        </is>
      </c>
      <c r="Q34" s="42" t="inlineStr">
        <is>
          <t>Carbosulfan</t>
        </is>
      </c>
      <c r="R34" s="40" t="inlineStr">
        <is>
          <t>1a</t>
        </is>
      </c>
    </row>
    <row r="35" ht="20" customHeight="1">
      <c r="A35" s="35" t="inlineStr">
        <is>
          <t>거세미나방류</t>
        </is>
      </c>
      <c r="B35" s="36" t="inlineStr">
        <is>
          <t>해충</t>
        </is>
      </c>
      <c r="C35" s="36" t="inlineStr">
        <is>
          <t>파프리카</t>
        </is>
      </c>
      <c r="D35" s="37" t="n">
        <v>2</v>
      </c>
      <c r="E35" s="38" t="inlineStr">
        <is>
          <t>보라충</t>
        </is>
      </c>
      <c r="F35" s="36" t="inlineStr">
        <is>
          <t>입제</t>
        </is>
      </c>
      <c r="G35" s="36" t="inlineStr">
        <is>
          <t>미보유</t>
        </is>
      </c>
      <c r="H35" s="36" t="inlineStr">
        <is>
          <t>등록 농약</t>
        </is>
      </c>
      <c r="I35" s="39" t="n"/>
      <c r="J35" s="40" t="inlineStr">
        <is>
          <t>토양처리</t>
        </is>
      </c>
      <c r="K35" s="40" t="inlineStr">
        <is>
          <t>정식기</t>
        </is>
      </c>
      <c r="L35" s="40" t="n"/>
      <c r="M35" s="41" t="n">
        <v>1</v>
      </c>
      <c r="N35" s="36" t="n"/>
      <c r="O35" s="42" t="n"/>
      <c r="P35" s="42" t="n"/>
      <c r="Q35" s="42" t="inlineStr">
        <is>
          <t>Phoxim</t>
        </is>
      </c>
      <c r="R35" s="40" t="inlineStr">
        <is>
          <t>1b</t>
        </is>
      </c>
    </row>
    <row r="36" ht="20" customHeight="1">
      <c r="A36" s="35" t="inlineStr">
        <is>
          <t>거세미나방류</t>
        </is>
      </c>
      <c r="B36" s="36" t="inlineStr">
        <is>
          <t>해충</t>
        </is>
      </c>
      <c r="C36" s="36" t="inlineStr">
        <is>
          <t>파프리카</t>
        </is>
      </c>
      <c r="D36" s="37" t="n">
        <v>3</v>
      </c>
      <c r="E36" s="38" t="inlineStr">
        <is>
          <t>싸이포스</t>
        </is>
      </c>
      <c r="F36" s="36" t="inlineStr">
        <is>
          <t>입제</t>
        </is>
      </c>
      <c r="G36" s="36" t="inlineStr">
        <is>
          <t>미보유</t>
        </is>
      </c>
      <c r="H36" s="36" t="inlineStr">
        <is>
          <t>등록 농약</t>
        </is>
      </c>
      <c r="I36" s="39" t="n"/>
      <c r="J36" s="40" t="inlineStr">
        <is>
          <t>토양처리</t>
        </is>
      </c>
      <c r="K36" s="40" t="inlineStr">
        <is>
          <t>정식기</t>
        </is>
      </c>
      <c r="L36" s="40" t="n"/>
      <c r="M36" s="41" t="n">
        <v>1</v>
      </c>
      <c r="N36" s="36" t="n"/>
      <c r="O36" s="42" t="n"/>
      <c r="P36" s="42" t="n"/>
      <c r="Q36" s="42" t="inlineStr">
        <is>
          <t>Cypermethrin+Tebupirimfos</t>
        </is>
      </c>
      <c r="R36" s="40" t="inlineStr">
        <is>
          <t>3a+1b</t>
        </is>
      </c>
    </row>
    <row r="37" ht="50" customHeight="1">
      <c r="A37" s="43" t="inlineStr">
        <is>
          <t>과실파리류</t>
        </is>
      </c>
      <c r="B37" s="44" t="inlineStr">
        <is>
          <t>해충</t>
        </is>
      </c>
      <c r="C37" s="44" t="inlineStr">
        <is>
          <t>파프리카</t>
        </is>
      </c>
      <c r="D37" s="45" t="n">
        <v>1</v>
      </c>
      <c r="E37" s="46" t="inlineStr">
        <is>
          <t>모스피란</t>
        </is>
      </c>
      <c r="F37" s="44" t="inlineStr">
        <is>
          <t>수화제</t>
        </is>
      </c>
      <c r="G37" s="44" t="inlineStr">
        <is>
          <t>보유</t>
        </is>
      </c>
      <c r="H37" s="44" t="inlineStr">
        <is>
          <t>등록 농약</t>
        </is>
      </c>
      <c r="I37" s="47" t="n">
        <v>2000</v>
      </c>
      <c r="J37" s="48" t="inlineStr">
        <is>
          <t>경엽처리</t>
        </is>
      </c>
      <c r="K37" s="48" t="n"/>
      <c r="L37" s="48" t="inlineStr">
        <is>
          <t>수확5일전</t>
        </is>
      </c>
      <c r="M37" s="49" t="n">
        <v>3</v>
      </c>
      <c r="N37" s="44" t="n"/>
      <c r="O37" s="50" t="n"/>
      <c r="P37" s="50" t="inlineStr">
        <is>
          <t>혼용 가능 살균제(경농 조회): 탄쟈비상 · 벨리스플러스 · 다놀라 · 벨쿠트 · 가스란</t>
        </is>
      </c>
      <c r="Q37" s="50" t="inlineStr">
        <is>
          <t>아세타미프리드 (Acetamiprid)</t>
        </is>
      </c>
      <c r="R37" s="48" t="inlineStr">
        <is>
          <t>4a</t>
        </is>
      </c>
    </row>
    <row r="38" ht="35" customHeight="1">
      <c r="A38" s="43" t="inlineStr">
        <is>
          <t>과실파리류</t>
        </is>
      </c>
      <c r="B38" s="44" t="inlineStr">
        <is>
          <t>해충</t>
        </is>
      </c>
      <c r="C38" s="44" t="inlineStr">
        <is>
          <t>파프리카</t>
        </is>
      </c>
      <c r="D38" s="45" t="n">
        <v>2</v>
      </c>
      <c r="E38" s="46" t="inlineStr">
        <is>
          <t>동작그만</t>
        </is>
      </c>
      <c r="F38" s="44" t="inlineStr">
        <is>
          <t>유제</t>
        </is>
      </c>
      <c r="G38" s="44" t="inlineStr">
        <is>
          <t>보유</t>
        </is>
      </c>
      <c r="H38" s="44" t="inlineStr">
        <is>
          <t>등록 농약</t>
        </is>
      </c>
      <c r="I38" s="47" t="n">
        <v>2000</v>
      </c>
      <c r="J38" s="48" t="inlineStr">
        <is>
          <t>경엽처리</t>
        </is>
      </c>
      <c r="K38" s="48" t="n"/>
      <c r="L38" s="48" t="inlineStr">
        <is>
          <t>수확2일전</t>
        </is>
      </c>
      <c r="M38" s="49" t="n">
        <v>3</v>
      </c>
      <c r="N38" s="44" t="n"/>
      <c r="O38" s="50" t="n"/>
      <c r="P38" s="50" t="n"/>
      <c r="Q38" s="50" t="inlineStr">
        <is>
          <t>에마멕틴벤조에이트 (Emamectin benzoate)</t>
        </is>
      </c>
      <c r="R38" s="48" t="inlineStr">
        <is>
          <t>6</t>
        </is>
      </c>
    </row>
    <row r="39" ht="20" customHeight="1">
      <c r="A39" s="43" t="inlineStr">
        <is>
          <t>과실파리류</t>
        </is>
      </c>
      <c r="B39" s="44" t="inlineStr">
        <is>
          <t>해충</t>
        </is>
      </c>
      <c r="C39" s="44" t="inlineStr">
        <is>
          <t>파프리카</t>
        </is>
      </c>
      <c r="D39" s="45" t="n">
        <v>3</v>
      </c>
      <c r="E39" s="46" t="inlineStr">
        <is>
          <t>델리게이트</t>
        </is>
      </c>
      <c r="F39" s="44" t="inlineStr">
        <is>
          <t>입상수화제</t>
        </is>
      </c>
      <c r="G39" s="44" t="inlineStr">
        <is>
          <t>보유</t>
        </is>
      </c>
      <c r="H39" s="44" t="inlineStr">
        <is>
          <t>등록 농약</t>
        </is>
      </c>
      <c r="I39" s="47" t="n">
        <v>2000</v>
      </c>
      <c r="J39" s="48" t="inlineStr">
        <is>
          <t>경엽처리</t>
        </is>
      </c>
      <c r="K39" s="48" t="n"/>
      <c r="L39" s="48" t="inlineStr">
        <is>
          <t>수확2일전</t>
        </is>
      </c>
      <c r="M39" s="49" t="n">
        <v>3</v>
      </c>
      <c r="N39" s="44" t="n"/>
      <c r="O39" s="50" t="n"/>
      <c r="P39" s="50" t="n"/>
      <c r="Q39" s="50" t="inlineStr">
        <is>
          <t>스피네토람 (Spinetoram)</t>
        </is>
      </c>
      <c r="R39" s="48" t="inlineStr">
        <is>
          <t>5</t>
        </is>
      </c>
    </row>
    <row r="40" ht="35" customHeight="1">
      <c r="A40" s="43" t="inlineStr">
        <is>
          <t>과실파리류</t>
        </is>
      </c>
      <c r="B40" s="44" t="inlineStr">
        <is>
          <t>해충</t>
        </is>
      </c>
      <c r="C40" s="44" t="inlineStr">
        <is>
          <t>파프리카</t>
        </is>
      </c>
      <c r="D40" s="45" t="n">
        <v>4</v>
      </c>
      <c r="E40" s="46" t="inlineStr">
        <is>
          <t>뉴증원군</t>
        </is>
      </c>
      <c r="F40" s="44" t="inlineStr">
        <is>
          <t>유제</t>
        </is>
      </c>
      <c r="G40" s="44" t="inlineStr">
        <is>
          <t>보유</t>
        </is>
      </c>
      <c r="H40" s="44" t="inlineStr">
        <is>
          <t>등록 농약</t>
        </is>
      </c>
      <c r="I40" s="47" t="n"/>
      <c r="J40" s="48" t="n"/>
      <c r="K40" s="48" t="n"/>
      <c r="L40" s="48" t="n"/>
      <c r="M40" s="49" t="n"/>
      <c r="N40" s="44" t="n"/>
      <c r="O40" s="50" t="inlineStr">
        <is>
          <t>원본에 희석배수·사용방법·안전사용기준 미기재</t>
        </is>
      </c>
      <c r="P40" s="50" t="n"/>
      <c r="Q40" s="50" t="inlineStr">
        <is>
          <t>비펜트린 (Bifenthrin)</t>
        </is>
      </c>
      <c r="R40" s="48" t="inlineStr">
        <is>
          <t>3a</t>
        </is>
      </c>
    </row>
    <row r="41" ht="50" customHeight="1">
      <c r="A41" s="35" t="inlineStr">
        <is>
          <t>꽃노랑총채벌레</t>
        </is>
      </c>
      <c r="B41" s="36" t="inlineStr">
        <is>
          <t>해충</t>
        </is>
      </c>
      <c r="C41" s="36" t="inlineStr">
        <is>
          <t>파프리카</t>
        </is>
      </c>
      <c r="D41" s="37" t="n">
        <v>1</v>
      </c>
      <c r="E41" s="38" t="inlineStr">
        <is>
          <t>모스피란</t>
        </is>
      </c>
      <c r="F41" s="36" t="inlineStr">
        <is>
          <t>수화제</t>
        </is>
      </c>
      <c r="G41" s="36" t="inlineStr">
        <is>
          <t>보유</t>
        </is>
      </c>
      <c r="H41" s="36" t="inlineStr">
        <is>
          <t>등록 농약</t>
        </is>
      </c>
      <c r="I41" s="39" t="n">
        <v>2000</v>
      </c>
      <c r="J41" s="40" t="inlineStr">
        <is>
          <t>경엽처리</t>
        </is>
      </c>
      <c r="K41" s="40" t="n"/>
      <c r="L41" s="40" t="inlineStr">
        <is>
          <t>수확5일전</t>
        </is>
      </c>
      <c r="M41" s="41" t="n">
        <v>3</v>
      </c>
      <c r="N41" s="36" t="n"/>
      <c r="O41" s="42" t="n"/>
      <c r="P41" s="42" t="inlineStr">
        <is>
          <t>혼용 가능 살균제(경농 조회): 탄쟈비상 · 벨리스플러스 · 다놀라 · 벨쿠트 · 가스란</t>
        </is>
      </c>
      <c r="Q41" s="42" t="inlineStr">
        <is>
          <t>아세타미프리드 (Acetamiprid)</t>
        </is>
      </c>
      <c r="R41" s="40" t="inlineStr">
        <is>
          <t>4a</t>
        </is>
      </c>
    </row>
    <row r="42" ht="35" customHeight="1">
      <c r="A42" s="35" t="inlineStr">
        <is>
          <t>꽃노랑총채벌레</t>
        </is>
      </c>
      <c r="B42" s="36" t="inlineStr">
        <is>
          <t>해충</t>
        </is>
      </c>
      <c r="C42" s="36" t="inlineStr">
        <is>
          <t>파프리카</t>
        </is>
      </c>
      <c r="D42" s="37" t="n">
        <v>2</v>
      </c>
      <c r="E42" s="38" t="inlineStr">
        <is>
          <t>동작그만</t>
        </is>
      </c>
      <c r="F42" s="36" t="inlineStr">
        <is>
          <t>유제</t>
        </is>
      </c>
      <c r="G42" s="36" t="inlineStr">
        <is>
          <t>보유</t>
        </is>
      </c>
      <c r="H42" s="36" t="inlineStr">
        <is>
          <t>등록 농약</t>
        </is>
      </c>
      <c r="I42" s="39" t="n">
        <v>2000</v>
      </c>
      <c r="J42" s="40" t="inlineStr">
        <is>
          <t>경엽처리</t>
        </is>
      </c>
      <c r="K42" s="40" t="n"/>
      <c r="L42" s="40" t="inlineStr">
        <is>
          <t>수확2일전</t>
        </is>
      </c>
      <c r="M42" s="41" t="n">
        <v>3</v>
      </c>
      <c r="N42" s="36" t="n"/>
      <c r="O42" s="42" t="n"/>
      <c r="P42" s="42" t="n"/>
      <c r="Q42" s="42" t="inlineStr">
        <is>
          <t>에마멕틴벤조에이트 (Emamectin benzoate)</t>
        </is>
      </c>
      <c r="R42" s="40" t="inlineStr">
        <is>
          <t>6</t>
        </is>
      </c>
    </row>
    <row r="43" ht="35" customHeight="1">
      <c r="A43" s="35" t="inlineStr">
        <is>
          <t>꽃노랑총채벌레</t>
        </is>
      </c>
      <c r="B43" s="36" t="inlineStr">
        <is>
          <t>해충</t>
        </is>
      </c>
      <c r="C43" s="36" t="inlineStr">
        <is>
          <t>파프리카</t>
        </is>
      </c>
      <c r="D43" s="37" t="n">
        <v>3</v>
      </c>
      <c r="E43" s="38" t="inlineStr">
        <is>
          <t>디져스</t>
        </is>
      </c>
      <c r="F43" s="36" t="inlineStr">
        <is>
          <t>유제</t>
        </is>
      </c>
      <c r="G43" s="36" t="inlineStr">
        <is>
          <t>보유</t>
        </is>
      </c>
      <c r="H43" s="36" t="inlineStr">
        <is>
          <t>등록 농약</t>
        </is>
      </c>
      <c r="I43" s="39" t="n">
        <v>1000</v>
      </c>
      <c r="J43" s="40" t="inlineStr">
        <is>
          <t>경엽처리</t>
        </is>
      </c>
      <c r="K43" s="40" t="n"/>
      <c r="L43" s="40" t="inlineStr">
        <is>
          <t>수확2일전</t>
        </is>
      </c>
      <c r="M43" s="41" t="n">
        <v>2</v>
      </c>
      <c r="N43" s="36" t="n"/>
      <c r="O43" s="42" t="n"/>
      <c r="P43" s="42" t="n"/>
      <c r="Q43" s="42" t="inlineStr">
        <is>
          <t>Fluxametamide+Pyrifluquinazon</t>
        </is>
      </c>
      <c r="R43" s="40" t="inlineStr">
        <is>
          <t>30+9b</t>
        </is>
      </c>
    </row>
    <row r="44" ht="35" customHeight="1">
      <c r="A44" s="35" t="inlineStr">
        <is>
          <t>꽃노랑총채벌레</t>
        </is>
      </c>
      <c r="B44" s="36" t="inlineStr">
        <is>
          <t>해충</t>
        </is>
      </c>
      <c r="C44" s="36" t="inlineStr">
        <is>
          <t>파프리카</t>
        </is>
      </c>
      <c r="D44" s="37" t="n">
        <v>4</v>
      </c>
      <c r="E44" s="38" t="inlineStr">
        <is>
          <t>강철비</t>
        </is>
      </c>
      <c r="F44" s="36" t="inlineStr">
        <is>
          <t>액상수화제</t>
        </is>
      </c>
      <c r="G44" s="36" t="inlineStr">
        <is>
          <t>보유</t>
        </is>
      </c>
      <c r="H44" s="36" t="inlineStr">
        <is>
          <t>등록 농약</t>
        </is>
      </c>
      <c r="I44" s="39" t="n">
        <v>2000</v>
      </c>
      <c r="J44" s="40" t="inlineStr">
        <is>
          <t>경엽처리</t>
        </is>
      </c>
      <c r="K44" s="40" t="n"/>
      <c r="L44" s="40" t="inlineStr">
        <is>
          <t>수확2일전</t>
        </is>
      </c>
      <c r="M44" s="41" t="n">
        <v>2</v>
      </c>
      <c r="N44" s="36" t="n"/>
      <c r="O44" s="42" t="n"/>
      <c r="P44" s="42" t="inlineStr">
        <is>
          <t>혼용정보 미확인 — 사용 전 제조사(인바이오 031-477-6011) 확인</t>
        </is>
      </c>
      <c r="Q44" s="42" t="inlineStr">
        <is>
          <t>Chlorantraniliprole+Emamectin benzoate</t>
        </is>
      </c>
      <c r="R44" s="40" t="inlineStr">
        <is>
          <t>28+6</t>
        </is>
      </c>
    </row>
    <row r="45" ht="35" customHeight="1">
      <c r="A45" s="35" t="inlineStr">
        <is>
          <t>꽃노랑총채벌레</t>
        </is>
      </c>
      <c r="B45" s="36" t="inlineStr">
        <is>
          <t>해충</t>
        </is>
      </c>
      <c r="C45" s="36" t="inlineStr">
        <is>
          <t>고추</t>
        </is>
      </c>
      <c r="D45" s="37" t="n"/>
      <c r="E45" s="38" t="inlineStr">
        <is>
          <t>한방싹충도사</t>
        </is>
      </c>
      <c r="F45" s="36" t="n"/>
      <c r="G45" s="36" t="n"/>
      <c r="H45" s="36" t="inlineStr">
        <is>
          <t>유기농업자재</t>
        </is>
      </c>
      <c r="I45" s="39" t="n">
        <v>1000</v>
      </c>
      <c r="J45" s="40" t="inlineStr">
        <is>
          <t>경엽처리</t>
        </is>
      </c>
      <c r="K45" s="40" t="inlineStr">
        <is>
          <t>발생초기</t>
        </is>
      </c>
      <c r="L45" s="40" t="n"/>
      <c r="M45" s="41" t="n"/>
      <c r="N45" s="36" t="n"/>
      <c r="O45" s="42" t="inlineStr">
        <is>
          <t>화학농약이 아닌 유기농업자재 — 등록 농약과 안전사용기준·법적 지위가 다름</t>
        </is>
      </c>
      <c r="P45" s="42" t="n"/>
      <c r="Q45" s="42" t="inlineStr">
        <is>
          <t>오렌지추출물 15%+파라핀오일 65%</t>
        </is>
      </c>
      <c r="R45" s="40" t="n"/>
    </row>
    <row r="46" ht="95" customHeight="1">
      <c r="A46" s="35" t="inlineStr">
        <is>
          <t>꽃노랑총채벌레</t>
        </is>
      </c>
      <c r="B46" s="36" t="inlineStr">
        <is>
          <t>해충</t>
        </is>
      </c>
      <c r="C46" s="36" t="inlineStr">
        <is>
          <t>오이(시험)</t>
        </is>
      </c>
      <c r="D46" s="37" t="n"/>
      <c r="E46" s="38" t="inlineStr">
        <is>
          <t>뉴응칠이</t>
        </is>
      </c>
      <c r="F46" s="36" t="n"/>
      <c r="G46" s="36" t="n"/>
      <c r="H46" s="36" t="inlineStr">
        <is>
          <t>유기농업자재</t>
        </is>
      </c>
      <c r="I46" s="39" t="n">
        <v>1000</v>
      </c>
      <c r="J46" s="40" t="inlineStr">
        <is>
          <t>경엽처리</t>
        </is>
      </c>
      <c r="K46" s="40" t="n"/>
      <c r="L46" s="40" t="n"/>
      <c r="M46" s="41" t="n"/>
      <c r="N46" s="36" t="n"/>
      <c r="O46" s="42" t="inlineStr">
        <is>
          <t>고추가 아닌 오이 시험 결과 / 화학농약이 아닌 유기농업자재 — 등록 농약과 안전사용기준·법적 지위가 다름 / 접촉성 제제(잎 뒷면까지 흠뻑 살포) · 강알칼리성 제제·석회보르도액·유황합제 혼용 금지 · 꿀벌 활동에 영향 가능</t>
        </is>
      </c>
      <c r="P46" s="42" t="n"/>
      <c r="Q46" s="42" t="inlineStr">
        <is>
          <t>유칼립투스오일 30%+고삼추출물 50%</t>
        </is>
      </c>
      <c r="R46" s="40" t="n"/>
    </row>
    <row r="47" ht="50" customHeight="1">
      <c r="A47" s="43" t="inlineStr">
        <is>
          <t>담배가루이</t>
        </is>
      </c>
      <c r="B47" s="44" t="inlineStr">
        <is>
          <t>해충</t>
        </is>
      </c>
      <c r="C47" s="44" t="inlineStr">
        <is>
          <t>파프리카</t>
        </is>
      </c>
      <c r="D47" s="45" t="n">
        <v>1</v>
      </c>
      <c r="E47" s="46" t="inlineStr">
        <is>
          <t>모스피란</t>
        </is>
      </c>
      <c r="F47" s="44" t="inlineStr">
        <is>
          <t>수화제</t>
        </is>
      </c>
      <c r="G47" s="44" t="inlineStr">
        <is>
          <t>보유</t>
        </is>
      </c>
      <c r="H47" s="44" t="inlineStr">
        <is>
          <t>등록 농약</t>
        </is>
      </c>
      <c r="I47" s="47" t="n">
        <v>2000</v>
      </c>
      <c r="J47" s="48" t="inlineStr">
        <is>
          <t>경엽처리</t>
        </is>
      </c>
      <c r="K47" s="48" t="n"/>
      <c r="L47" s="48" t="inlineStr">
        <is>
          <t>수확5일전</t>
        </is>
      </c>
      <c r="M47" s="49" t="n">
        <v>3</v>
      </c>
      <c r="N47" s="44" t="n"/>
      <c r="O47" s="50" t="n"/>
      <c r="P47" s="50" t="inlineStr">
        <is>
          <t>혼용 가능 살균제(경농 조회): 탄쟈비상 · 벨리스플러스 · 다놀라 · 벨쿠트 · 가스란</t>
        </is>
      </c>
      <c r="Q47" s="50" t="inlineStr">
        <is>
          <t>아세타미프리드 (Acetamiprid)</t>
        </is>
      </c>
      <c r="R47" s="48" t="inlineStr">
        <is>
          <t>4a</t>
        </is>
      </c>
    </row>
    <row r="48" ht="35" customHeight="1">
      <c r="A48" s="43" t="inlineStr">
        <is>
          <t>담배가루이</t>
        </is>
      </c>
      <c r="B48" s="44" t="inlineStr">
        <is>
          <t>해충</t>
        </is>
      </c>
      <c r="C48" s="44" t="inlineStr">
        <is>
          <t>파프리카</t>
        </is>
      </c>
      <c r="D48" s="45" t="n">
        <v>2</v>
      </c>
      <c r="E48" s="46" t="inlineStr">
        <is>
          <t>동작그만</t>
        </is>
      </c>
      <c r="F48" s="44" t="inlineStr">
        <is>
          <t>유제</t>
        </is>
      </c>
      <c r="G48" s="44" t="inlineStr">
        <is>
          <t>보유</t>
        </is>
      </c>
      <c r="H48" s="44" t="inlineStr">
        <is>
          <t>등록 농약</t>
        </is>
      </c>
      <c r="I48" s="47" t="n">
        <v>2000</v>
      </c>
      <c r="J48" s="48" t="inlineStr">
        <is>
          <t>경엽처리</t>
        </is>
      </c>
      <c r="K48" s="48" t="n"/>
      <c r="L48" s="48" t="inlineStr">
        <is>
          <t>수확2일전</t>
        </is>
      </c>
      <c r="M48" s="49" t="n">
        <v>3</v>
      </c>
      <c r="N48" s="44" t="n"/>
      <c r="O48" s="50" t="n"/>
      <c r="P48" s="50" t="n"/>
      <c r="Q48" s="50" t="inlineStr">
        <is>
          <t>에마멕틴벤조에이트 (Emamectin benzoate)</t>
        </is>
      </c>
      <c r="R48" s="48" t="inlineStr">
        <is>
          <t>6</t>
        </is>
      </c>
    </row>
    <row r="49" ht="35" customHeight="1">
      <c r="A49" s="43" t="inlineStr">
        <is>
          <t>담배가루이</t>
        </is>
      </c>
      <c r="B49" s="44" t="inlineStr">
        <is>
          <t>해충</t>
        </is>
      </c>
      <c r="C49" s="44" t="inlineStr">
        <is>
          <t>파프리카</t>
        </is>
      </c>
      <c r="D49" s="45" t="n">
        <v>3</v>
      </c>
      <c r="E49" s="46" t="inlineStr">
        <is>
          <t>디져스</t>
        </is>
      </c>
      <c r="F49" s="44" t="inlineStr">
        <is>
          <t>유제</t>
        </is>
      </c>
      <c r="G49" s="44" t="inlineStr">
        <is>
          <t>보유</t>
        </is>
      </c>
      <c r="H49" s="44" t="inlineStr">
        <is>
          <t>등록 농약</t>
        </is>
      </c>
      <c r="I49" s="47" t="n">
        <v>1000</v>
      </c>
      <c r="J49" s="48" t="inlineStr">
        <is>
          <t>경엽처리</t>
        </is>
      </c>
      <c r="K49" s="48" t="n"/>
      <c r="L49" s="48" t="inlineStr">
        <is>
          <t>수확2일전</t>
        </is>
      </c>
      <c r="M49" s="49" t="n">
        <v>2</v>
      </c>
      <c r="N49" s="44" t="n"/>
      <c r="O49" s="50" t="n"/>
      <c r="P49" s="50" t="n"/>
      <c r="Q49" s="50" t="inlineStr">
        <is>
          <t>Fluxametamide+Pyrifluquinazon</t>
        </is>
      </c>
      <c r="R49" s="48" t="inlineStr">
        <is>
          <t>30+9b</t>
        </is>
      </c>
    </row>
    <row r="50" ht="20" customHeight="1">
      <c r="A50" s="43" t="inlineStr">
        <is>
          <t>담배가루이</t>
        </is>
      </c>
      <c r="B50" s="44" t="inlineStr">
        <is>
          <t>해충</t>
        </is>
      </c>
      <c r="C50" s="44" t="inlineStr">
        <is>
          <t>파프리카</t>
        </is>
      </c>
      <c r="D50" s="45" t="n">
        <v>4</v>
      </c>
      <c r="E50" s="46" t="inlineStr">
        <is>
          <t>산마루</t>
        </is>
      </c>
      <c r="F50" s="44" t="inlineStr">
        <is>
          <t>수화제</t>
        </is>
      </c>
      <c r="G50" s="44" t="inlineStr">
        <is>
          <t>보유</t>
        </is>
      </c>
      <c r="H50" s="44" t="inlineStr">
        <is>
          <t>등록 농약</t>
        </is>
      </c>
      <c r="I50" s="47" t="n">
        <v>1000</v>
      </c>
      <c r="J50" s="48" t="inlineStr">
        <is>
          <t>경엽처리</t>
        </is>
      </c>
      <c r="K50" s="48" t="n"/>
      <c r="L50" s="48" t="inlineStr">
        <is>
          <t>수확3일전</t>
        </is>
      </c>
      <c r="M50" s="49" t="n">
        <v>2</v>
      </c>
      <c r="N50" s="44" t="n"/>
      <c r="O50" s="50" t="n"/>
      <c r="P50" s="50" t="n"/>
      <c r="Q50" s="50" t="inlineStr">
        <is>
          <t>Pyridaben</t>
        </is>
      </c>
      <c r="R50" s="48" t="inlineStr">
        <is>
          <t>21a</t>
        </is>
      </c>
    </row>
    <row r="51" ht="50" customHeight="1">
      <c r="A51" s="35" t="inlineStr">
        <is>
          <t>복숭아혹진딧물</t>
        </is>
      </c>
      <c r="B51" s="36" t="inlineStr">
        <is>
          <t>해충</t>
        </is>
      </c>
      <c r="C51" s="36" t="inlineStr">
        <is>
          <t>파프리카</t>
        </is>
      </c>
      <c r="D51" s="37" t="n">
        <v>1</v>
      </c>
      <c r="E51" s="38" t="inlineStr">
        <is>
          <t>모스피란</t>
        </is>
      </c>
      <c r="F51" s="36" t="inlineStr">
        <is>
          <t>수화제</t>
        </is>
      </c>
      <c r="G51" s="36" t="inlineStr">
        <is>
          <t>보유</t>
        </is>
      </c>
      <c r="H51" s="36" t="inlineStr">
        <is>
          <t>등록 농약</t>
        </is>
      </c>
      <c r="I51" s="39" t="n">
        <v>2000</v>
      </c>
      <c r="J51" s="40" t="inlineStr">
        <is>
          <t>경엽처리</t>
        </is>
      </c>
      <c r="K51" s="40" t="n"/>
      <c r="L51" s="40" t="inlineStr">
        <is>
          <t>수확5일전</t>
        </is>
      </c>
      <c r="M51" s="41" t="n">
        <v>3</v>
      </c>
      <c r="N51" s="36" t="n"/>
      <c r="O51" s="42" t="n"/>
      <c r="P51" s="42" t="inlineStr">
        <is>
          <t>혼용 가능 살균제(경농 조회): 탄쟈비상 · 벨리스플러스 · 다놀라 · 벨쿠트 · 가스란</t>
        </is>
      </c>
      <c r="Q51" s="42" t="inlineStr">
        <is>
          <t>아세타미프리드 (Acetamiprid)</t>
        </is>
      </c>
      <c r="R51" s="40" t="inlineStr">
        <is>
          <t>4a</t>
        </is>
      </c>
    </row>
    <row r="52" ht="35" customHeight="1">
      <c r="A52" s="35" t="inlineStr">
        <is>
          <t>복숭아혹진딧물</t>
        </is>
      </c>
      <c r="B52" s="36" t="inlineStr">
        <is>
          <t>해충</t>
        </is>
      </c>
      <c r="C52" s="36" t="inlineStr">
        <is>
          <t>파프리카</t>
        </is>
      </c>
      <c r="D52" s="37" t="n">
        <v>2</v>
      </c>
      <c r="E52" s="38" t="inlineStr">
        <is>
          <t>디져스</t>
        </is>
      </c>
      <c r="F52" s="36" t="inlineStr">
        <is>
          <t>유제</t>
        </is>
      </c>
      <c r="G52" s="36" t="inlineStr">
        <is>
          <t>보유</t>
        </is>
      </c>
      <c r="H52" s="36" t="inlineStr">
        <is>
          <t>등록 농약</t>
        </is>
      </c>
      <c r="I52" s="39" t="n">
        <v>1000</v>
      </c>
      <c r="J52" s="40" t="inlineStr">
        <is>
          <t>경엽처리</t>
        </is>
      </c>
      <c r="K52" s="40" t="n"/>
      <c r="L52" s="40" t="inlineStr">
        <is>
          <t>수확2일전</t>
        </is>
      </c>
      <c r="M52" s="41" t="n">
        <v>2</v>
      </c>
      <c r="N52" s="36" t="n"/>
      <c r="O52" s="42" t="n"/>
      <c r="P52" s="42" t="n"/>
      <c r="Q52" s="42" t="inlineStr">
        <is>
          <t>Fluxametamide+Pyrifluquinazon</t>
        </is>
      </c>
      <c r="R52" s="40" t="inlineStr">
        <is>
          <t>30+9b</t>
        </is>
      </c>
    </row>
    <row r="53" ht="35" customHeight="1">
      <c r="A53" s="35" t="inlineStr">
        <is>
          <t>복숭아혹진딧물</t>
        </is>
      </c>
      <c r="B53" s="36" t="inlineStr">
        <is>
          <t>해충</t>
        </is>
      </c>
      <c r="C53" s="36" t="inlineStr">
        <is>
          <t>파프리카</t>
        </is>
      </c>
      <c r="D53" s="37" t="n">
        <v>3</v>
      </c>
      <c r="E53" s="38" t="inlineStr">
        <is>
          <t>기대찬</t>
        </is>
      </c>
      <c r="F53" s="36" t="inlineStr">
        <is>
          <t>입상수화제</t>
        </is>
      </c>
      <c r="G53" s="36" t="inlineStr">
        <is>
          <t>보유</t>
        </is>
      </c>
      <c r="H53" s="36" t="inlineStr">
        <is>
          <t>등록 농약</t>
        </is>
      </c>
      <c r="I53" s="39" t="n">
        <v>2000</v>
      </c>
      <c r="J53" s="40" t="inlineStr">
        <is>
          <t>경엽처리</t>
        </is>
      </c>
      <c r="K53" s="40" t="n"/>
      <c r="L53" s="40" t="inlineStr">
        <is>
          <t>수확3일전</t>
        </is>
      </c>
      <c r="M53" s="41" t="n">
        <v>2</v>
      </c>
      <c r="N53" s="36" t="n"/>
      <c r="O53" s="42" t="n"/>
      <c r="P53" s="42" t="n"/>
      <c r="Q53" s="42" t="inlineStr">
        <is>
          <t>Emamectin benzoate+Flonicamid</t>
        </is>
      </c>
      <c r="R53" s="40" t="inlineStr">
        <is>
          <t>6+29</t>
        </is>
      </c>
    </row>
    <row r="54" ht="20" customHeight="1">
      <c r="A54" s="35" t="inlineStr">
        <is>
          <t>복숭아혹진딧물</t>
        </is>
      </c>
      <c r="B54" s="36" t="inlineStr">
        <is>
          <t>해충</t>
        </is>
      </c>
      <c r="C54" s="36" t="inlineStr">
        <is>
          <t>파프리카</t>
        </is>
      </c>
      <c r="D54" s="37" t="n">
        <v>4</v>
      </c>
      <c r="E54" s="38" t="inlineStr">
        <is>
          <t>세티스</t>
        </is>
      </c>
      <c r="F54" s="36" t="n"/>
      <c r="G54" s="36" t="inlineStr">
        <is>
          <t>보유</t>
        </is>
      </c>
      <c r="H54" s="36" t="inlineStr">
        <is>
          <t>등록 농약</t>
        </is>
      </c>
      <c r="I54" s="39" t="n">
        <v>2000</v>
      </c>
      <c r="J54" s="40" t="inlineStr">
        <is>
          <t>관주처리(양액재배)</t>
        </is>
      </c>
      <c r="K54" s="40" t="n"/>
      <c r="L54" s="40" t="n"/>
      <c r="M54" s="41" t="n">
        <v>2</v>
      </c>
      <c r="N54" s="36" t="inlineStr">
        <is>
          <t>30일 간격</t>
        </is>
      </c>
      <c r="O54" s="42" t="n"/>
      <c r="P54" s="42" t="n"/>
      <c r="Q54" s="42" t="inlineStr">
        <is>
          <t>Flonicamid</t>
        </is>
      </c>
      <c r="R54" s="40" t="inlineStr">
        <is>
          <t>29</t>
        </is>
      </c>
    </row>
    <row r="55" ht="80" customHeight="1">
      <c r="A55" s="35" t="inlineStr">
        <is>
          <t>복숭아혹진딧물</t>
        </is>
      </c>
      <c r="B55" s="36" t="inlineStr">
        <is>
          <t>해충</t>
        </is>
      </c>
      <c r="C55" s="36" t="inlineStr">
        <is>
          <t>고추</t>
        </is>
      </c>
      <c r="D55" s="37" t="n"/>
      <c r="E55" s="38" t="inlineStr">
        <is>
          <t>뉴응칠이</t>
        </is>
      </c>
      <c r="F55" s="36" t="n"/>
      <c r="G55" s="36" t="n"/>
      <c r="H55" s="36" t="inlineStr">
        <is>
          <t>유기농업자재</t>
        </is>
      </c>
      <c r="I55" s="39" t="n">
        <v>1000</v>
      </c>
      <c r="J55" s="40" t="inlineStr">
        <is>
          <t>경엽처리</t>
        </is>
      </c>
      <c r="K55" s="40" t="inlineStr">
        <is>
          <t>생육기</t>
        </is>
      </c>
      <c r="L55" s="40" t="n"/>
      <c r="M55" s="41" t="n"/>
      <c r="N55" s="36" t="n"/>
      <c r="O55" s="42" t="inlineStr">
        <is>
          <t>화학농약이 아닌 유기농업자재 — 등록 농약과 안전사용기준·법적 지위가 다름 / 접촉성 제제(잎 뒷면까지 흠뻑 살포) · 강알칼리성 제제·석회보르도액·유황합제 혼용 금지 · 꿀벌 활동에 영향 가능</t>
        </is>
      </c>
      <c r="P55" s="42" t="n"/>
      <c r="Q55" s="42" t="inlineStr">
        <is>
          <t>유칼립투스오일 30%+고삼추출물 50%</t>
        </is>
      </c>
      <c r="R55" s="40" t="n"/>
    </row>
    <row r="56" ht="50" customHeight="1">
      <c r="A56" s="43" t="inlineStr">
        <is>
          <t>온실가루이</t>
        </is>
      </c>
      <c r="B56" s="44" t="inlineStr">
        <is>
          <t>해충</t>
        </is>
      </c>
      <c r="C56" s="44" t="inlineStr">
        <is>
          <t>파프리카</t>
        </is>
      </c>
      <c r="D56" s="45" t="n">
        <v>1</v>
      </c>
      <c r="E56" s="46" t="inlineStr">
        <is>
          <t>코니도</t>
        </is>
      </c>
      <c r="F56" s="44" t="inlineStr">
        <is>
          <t>수화제</t>
        </is>
      </c>
      <c r="G56" s="44" t="inlineStr">
        <is>
          <t>미보유</t>
        </is>
      </c>
      <c r="H56" s="44" t="inlineStr">
        <is>
          <t>등록 농약</t>
        </is>
      </c>
      <c r="I56" s="47" t="n">
        <v>2000</v>
      </c>
      <c r="J56" s="48" t="inlineStr">
        <is>
          <t>경엽처리</t>
        </is>
      </c>
      <c r="K56" s="48" t="n"/>
      <c r="L56" s="48" t="inlineStr">
        <is>
          <t>수확3일전</t>
        </is>
      </c>
      <c r="M56" s="49" t="n">
        <v>3</v>
      </c>
      <c r="N56" s="44" t="n"/>
      <c r="O56" s="50" t="inlineStr">
        <is>
          <t>가이드 추천문에는 안전사용기준 '수확5일전 / 3회'(으)로 표기 — 원본 내 표기 상이, 확인 필요</t>
        </is>
      </c>
      <c r="P56" s="50" t="inlineStr">
        <is>
          <t>혼용 가능 살균제(팜한농 조회): 벨쿠트</t>
        </is>
      </c>
      <c r="Q56" s="50" t="inlineStr">
        <is>
          <t>Imidacloprid</t>
        </is>
      </c>
      <c r="R56" s="48" t="inlineStr">
        <is>
          <t>4a</t>
        </is>
      </c>
    </row>
    <row r="57" ht="50" customHeight="1">
      <c r="A57" s="43" t="inlineStr">
        <is>
          <t>온실가루이</t>
        </is>
      </c>
      <c r="B57" s="44" t="inlineStr">
        <is>
          <t>해충</t>
        </is>
      </c>
      <c r="C57" s="44" t="inlineStr">
        <is>
          <t>오이(시험)</t>
        </is>
      </c>
      <c r="D57" s="45" t="n"/>
      <c r="E57" s="46" t="inlineStr">
        <is>
          <t>한방싹충도사</t>
        </is>
      </c>
      <c r="F57" s="44" t="n"/>
      <c r="G57" s="44" t="n"/>
      <c r="H57" s="44" t="inlineStr">
        <is>
          <t>유기농업자재</t>
        </is>
      </c>
      <c r="I57" s="47" t="n">
        <v>1000</v>
      </c>
      <c r="J57" s="48" t="inlineStr">
        <is>
          <t>경엽처리</t>
        </is>
      </c>
      <c r="K57" s="48" t="n"/>
      <c r="L57" s="48" t="n"/>
      <c r="M57" s="49" t="n"/>
      <c r="N57" s="44" t="n"/>
      <c r="O57" s="50" t="inlineStr">
        <is>
          <t>고추가 아닌 오이 시험 결과 / 화학농약이 아닌 유기농업자재 — 등록 농약과 안전사용기준·법적 지위가 다름</t>
        </is>
      </c>
      <c r="P57" s="50" t="n"/>
      <c r="Q57" s="50" t="inlineStr">
        <is>
          <t>오렌지추출물 15%+파라핀오일 65%</t>
        </is>
      </c>
      <c r="R57" s="48" t="n"/>
    </row>
    <row r="58" ht="95" customHeight="1">
      <c r="A58" s="43" t="inlineStr">
        <is>
          <t>온실가루이</t>
        </is>
      </c>
      <c r="B58" s="44" t="inlineStr">
        <is>
          <t>해충</t>
        </is>
      </c>
      <c r="C58" s="44" t="inlineStr">
        <is>
          <t>오이(시험)</t>
        </is>
      </c>
      <c r="D58" s="45" t="n"/>
      <c r="E58" s="46" t="inlineStr">
        <is>
          <t>뉴응칠이</t>
        </is>
      </c>
      <c r="F58" s="44" t="n"/>
      <c r="G58" s="44" t="n"/>
      <c r="H58" s="44" t="inlineStr">
        <is>
          <t>유기농업자재</t>
        </is>
      </c>
      <c r="I58" s="47" t="n">
        <v>1000</v>
      </c>
      <c r="J58" s="48" t="inlineStr">
        <is>
          <t>경엽처리</t>
        </is>
      </c>
      <c r="K58" s="48" t="n"/>
      <c r="L58" s="48" t="n"/>
      <c r="M58" s="49" t="n"/>
      <c r="N58" s="44" t="n"/>
      <c r="O58" s="50" t="inlineStr">
        <is>
          <t>고추가 아닌 오이 시험 결과 / 화학농약이 아닌 유기농업자재 — 등록 농약과 안전사용기준·법적 지위가 다름 / 접촉성 제제(잎 뒷면까지 흠뻑 살포) · 강알칼리성 제제·석회보르도액·유황합제 혼용 금지 · 꿀벌 활동에 영향 가능</t>
        </is>
      </c>
      <c r="P58" s="50" t="n"/>
      <c r="Q58" s="50" t="inlineStr">
        <is>
          <t>유칼립투스오일 30%+고삼추출물 50%</t>
        </is>
      </c>
      <c r="R58" s="48" t="n"/>
    </row>
    <row r="59" ht="50" customHeight="1">
      <c r="A59" s="35" t="inlineStr">
        <is>
          <t>진딧물(목화진딧물, 복숭아혹진딧물)</t>
        </is>
      </c>
      <c r="B59" s="36" t="inlineStr">
        <is>
          <t>해충</t>
        </is>
      </c>
      <c r="C59" s="36" t="inlineStr">
        <is>
          <t>파프리카</t>
        </is>
      </c>
      <c r="D59" s="37" t="n">
        <v>1</v>
      </c>
      <c r="E59" s="38" t="inlineStr">
        <is>
          <t>아라치</t>
        </is>
      </c>
      <c r="F59" s="36" t="inlineStr">
        <is>
          <t>입상수화제</t>
        </is>
      </c>
      <c r="G59" s="36" t="inlineStr">
        <is>
          <t>미보유</t>
        </is>
      </c>
      <c r="H59" s="36" t="inlineStr">
        <is>
          <t>등록 농약</t>
        </is>
      </c>
      <c r="I59" s="39" t="n">
        <v>2000</v>
      </c>
      <c r="J59" s="40" t="inlineStr">
        <is>
          <t>경엽처리</t>
        </is>
      </c>
      <c r="K59" s="40" t="n"/>
      <c r="L59" s="40" t="inlineStr">
        <is>
          <t>수확3일전</t>
        </is>
      </c>
      <c r="M59" s="41" t="n">
        <v>3</v>
      </c>
      <c r="N59" s="36" t="n"/>
      <c r="O59" s="42" t="inlineStr">
        <is>
          <t>가이드 추천문에는 사용방법 '훈연처리', 안전사용기준 '수확2일전 / 2회'(으)로 표기 — 원본 내 표기 상이, 확인 필요</t>
        </is>
      </c>
      <c r="P59" s="42" t="n"/>
      <c r="Q59" s="42" t="inlineStr">
        <is>
          <t>Thiamethoxam</t>
        </is>
      </c>
      <c r="R59" s="40" t="inlineStr">
        <is>
          <t>4a</t>
        </is>
      </c>
    </row>
    <row r="60" ht="35" customHeight="1">
      <c r="A60" s="35" t="inlineStr">
        <is>
          <t>진딧물(목화진딧물, 복숭아혹진딧물)</t>
        </is>
      </c>
      <c r="B60" s="36" t="inlineStr">
        <is>
          <t>해충</t>
        </is>
      </c>
      <c r="C60" s="36" t="inlineStr">
        <is>
          <t>파프리카</t>
        </is>
      </c>
      <c r="D60" s="37" t="n">
        <v>2</v>
      </c>
      <c r="E60" s="38" t="inlineStr">
        <is>
          <t>주렁</t>
        </is>
      </c>
      <c r="F60" s="36" t="inlineStr">
        <is>
          <t>유제</t>
        </is>
      </c>
      <c r="G60" s="36" t="inlineStr">
        <is>
          <t>미보유</t>
        </is>
      </c>
      <c r="H60" s="36" t="inlineStr">
        <is>
          <t>등록 농약</t>
        </is>
      </c>
      <c r="I60" s="39" t="n">
        <v>1000</v>
      </c>
      <c r="J60" s="40" t="inlineStr">
        <is>
          <t>경엽처리</t>
        </is>
      </c>
      <c r="K60" s="40" t="n"/>
      <c r="L60" s="40" t="inlineStr">
        <is>
          <t>수확2일전</t>
        </is>
      </c>
      <c r="M60" s="41" t="n">
        <v>3</v>
      </c>
      <c r="N60" s="36" t="n"/>
      <c r="O60" s="42" t="n"/>
      <c r="P60" s="42" t="n"/>
      <c r="Q60" s="42" t="inlineStr">
        <is>
          <t>Lambda-cyhalothrin</t>
        </is>
      </c>
      <c r="R60" s="40" t="inlineStr">
        <is>
          <t>3a</t>
        </is>
      </c>
    </row>
    <row r="61" ht="35" customHeight="1">
      <c r="A61" s="43" t="inlineStr">
        <is>
          <t>차먼지응애</t>
        </is>
      </c>
      <c r="B61" s="44" t="inlineStr">
        <is>
          <t>해충</t>
        </is>
      </c>
      <c r="C61" s="44" t="inlineStr">
        <is>
          <t>파프리카</t>
        </is>
      </c>
      <c r="D61" s="45" t="n">
        <v>1</v>
      </c>
      <c r="E61" s="46" t="inlineStr">
        <is>
          <t>강철비</t>
        </is>
      </c>
      <c r="F61" s="44" t="inlineStr">
        <is>
          <t>액상수화제</t>
        </is>
      </c>
      <c r="G61" s="44" t="inlineStr">
        <is>
          <t>보유</t>
        </is>
      </c>
      <c r="H61" s="44" t="inlineStr">
        <is>
          <t>등록 농약</t>
        </is>
      </c>
      <c r="I61" s="47" t="n">
        <v>2000</v>
      </c>
      <c r="J61" s="48" t="inlineStr">
        <is>
          <t>경엽처리</t>
        </is>
      </c>
      <c r="K61" s="48" t="n"/>
      <c r="L61" s="48" t="inlineStr">
        <is>
          <t>수확2일전</t>
        </is>
      </c>
      <c r="M61" s="49" t="n">
        <v>2</v>
      </c>
      <c r="N61" s="44" t="n"/>
      <c r="O61" s="50" t="n"/>
      <c r="P61" s="50" t="inlineStr">
        <is>
          <t>혼용정보 미확인 — 사용 전 제조사(인바이오 031-477-6011) 확인</t>
        </is>
      </c>
      <c r="Q61" s="50" t="inlineStr">
        <is>
          <t>Chlorantraniliprole+Emamectin benzoate</t>
        </is>
      </c>
      <c r="R61" s="48" t="inlineStr">
        <is>
          <t>28+6</t>
        </is>
      </c>
    </row>
    <row r="62" ht="20" customHeight="1">
      <c r="A62" s="43" t="inlineStr">
        <is>
          <t>차먼지응애</t>
        </is>
      </c>
      <c r="B62" s="44" t="inlineStr">
        <is>
          <t>해충</t>
        </is>
      </c>
      <c r="C62" s="44" t="inlineStr">
        <is>
          <t>파프리카</t>
        </is>
      </c>
      <c r="D62" s="45" t="n">
        <v>2</v>
      </c>
      <c r="E62" s="46" t="inlineStr">
        <is>
          <t>산마루</t>
        </is>
      </c>
      <c r="F62" s="44" t="inlineStr">
        <is>
          <t>수화제</t>
        </is>
      </c>
      <c r="G62" s="44" t="inlineStr">
        <is>
          <t>보유</t>
        </is>
      </c>
      <c r="H62" s="44" t="inlineStr">
        <is>
          <t>등록 농약</t>
        </is>
      </c>
      <c r="I62" s="47" t="n">
        <v>1000</v>
      </c>
      <c r="J62" s="48" t="inlineStr">
        <is>
          <t>경엽처리</t>
        </is>
      </c>
      <c r="K62" s="48" t="n"/>
      <c r="L62" s="48" t="inlineStr">
        <is>
          <t>수확3일전</t>
        </is>
      </c>
      <c r="M62" s="49" t="n">
        <v>2</v>
      </c>
      <c r="N62" s="44" t="n"/>
      <c r="O62" s="50" t="n"/>
      <c r="P62" s="50" t="n"/>
      <c r="Q62" s="50" t="inlineStr">
        <is>
          <t>Pyridaben</t>
        </is>
      </c>
      <c r="R62" s="48" t="inlineStr">
        <is>
          <t>21a</t>
        </is>
      </c>
    </row>
    <row r="63" ht="35" customHeight="1">
      <c r="A63" s="43" t="inlineStr">
        <is>
          <t>차먼지응애</t>
        </is>
      </c>
      <c r="B63" s="44" t="inlineStr">
        <is>
          <t>해충</t>
        </is>
      </c>
      <c r="C63" s="44" t="inlineStr">
        <is>
          <t>파프리카</t>
        </is>
      </c>
      <c r="D63" s="45" t="n">
        <v>3</v>
      </c>
      <c r="E63" s="46" t="inlineStr">
        <is>
          <t>인도에마</t>
        </is>
      </c>
      <c r="F63" s="44" t="inlineStr">
        <is>
          <t>수화제</t>
        </is>
      </c>
      <c r="G63" s="44" t="inlineStr">
        <is>
          <t>보유</t>
        </is>
      </c>
      <c r="H63" s="44" t="inlineStr">
        <is>
          <t>등록 농약</t>
        </is>
      </c>
      <c r="I63" s="47" t="n">
        <v>2000</v>
      </c>
      <c r="J63" s="48" t="inlineStr">
        <is>
          <t>경엽처리</t>
        </is>
      </c>
      <c r="K63" s="48" t="n"/>
      <c r="L63" s="48" t="inlineStr">
        <is>
          <t>수확3일전</t>
        </is>
      </c>
      <c r="M63" s="49" t="n">
        <v>2</v>
      </c>
      <c r="N63" s="44" t="n"/>
      <c r="O63" s="50" t="n"/>
      <c r="P63" s="50" t="n"/>
      <c r="Q63" s="50" t="inlineStr">
        <is>
          <t>Emamectin benzoate+Indoxacarb</t>
        </is>
      </c>
      <c r="R63" s="48" t="inlineStr">
        <is>
          <t>6+22a</t>
        </is>
      </c>
    </row>
    <row r="64" ht="20" customHeight="1">
      <c r="A64" s="43" t="inlineStr">
        <is>
          <t>차먼지응애</t>
        </is>
      </c>
      <c r="B64" s="44" t="inlineStr">
        <is>
          <t>해충</t>
        </is>
      </c>
      <c r="C64" s="44" t="inlineStr">
        <is>
          <t>파프리카</t>
        </is>
      </c>
      <c r="D64" s="45" t="n">
        <v>4</v>
      </c>
      <c r="E64" s="46" t="inlineStr">
        <is>
          <t>인시피오</t>
        </is>
      </c>
      <c r="F64" s="44" t="inlineStr">
        <is>
          <t>액상수화제</t>
        </is>
      </c>
      <c r="G64" s="44" t="inlineStr">
        <is>
          <t>보유</t>
        </is>
      </c>
      <c r="H64" s="44" t="inlineStr">
        <is>
          <t>등록 농약</t>
        </is>
      </c>
      <c r="I64" s="47" t="n">
        <v>2500</v>
      </c>
      <c r="J64" s="48" t="inlineStr">
        <is>
          <t>경엽처리</t>
        </is>
      </c>
      <c r="K64" s="48" t="n"/>
      <c r="L64" s="48" t="inlineStr">
        <is>
          <t>수확3일전</t>
        </is>
      </c>
      <c r="M64" s="49" t="n">
        <v>2</v>
      </c>
      <c r="N64" s="44" t="n"/>
      <c r="O64" s="50" t="n"/>
      <c r="P64" s="50" t="n"/>
      <c r="Q64" s="50" t="inlineStr">
        <is>
          <t>Isocycloseram</t>
        </is>
      </c>
      <c r="R64" s="48" t="inlineStr">
        <is>
          <t>30</t>
        </is>
      </c>
    </row>
  </sheetData>
  <mergeCells count="10">
    <mergeCell ref="A11:C11"/>
    <mergeCell ref="I11:N11"/>
    <mergeCell ref="B4:E4"/>
    <mergeCell ref="O11:P11"/>
    <mergeCell ref="Q11:R11"/>
    <mergeCell ref="A2:R2"/>
    <mergeCell ref="D11:H11"/>
    <mergeCell ref="A5:C9"/>
    <mergeCell ref="A1:R1"/>
    <mergeCell ref="M4:N4"/>
  </mergeCells>
  <conditionalFormatting sqref="A13:R3000">
    <cfRule type="expression" priority="1" dxfId="0">
      <formula>$A13&lt;&gt;$A12</formula>
    </cfRule>
  </conditionalFormatting>
  <conditionalFormatting sqref="A13:A3000">
    <cfRule type="expression" priority="2" dxfId="1">
      <formula>$A13=$A12</formula>
    </cfRule>
  </conditionalFormatting>
  <conditionalFormatting sqref="G13:G3000">
    <cfRule type="expression" priority="3" dxfId="2">
      <formula>$G13="보유"</formula>
    </cfRule>
  </conditionalFormatting>
  <conditionalFormatting sqref="O13:O3000">
    <cfRule type="expression" priority="4" dxfId="3">
      <formula>LEN($O13)&gt;0</formula>
    </cfRule>
  </conditionalFormatting>
  <conditionalFormatting sqref="G6:G9">
    <cfRule type="expression" priority="5" dxfId="2">
      <formula>$G6="보유"</formula>
    </cfRule>
  </conditionalFormatting>
  <dataValidations count="6">
    <dataValidation sqref="B4" showDropDown="0" showInputMessage="1" showErrorMessage="0" allowBlank="1" promptTitle="병해충 선택" prompt="▼ 목록에서 병해충을 선택하세요." type="list">
      <formula1>=목록_병해충조회용</formula1>
    </dataValidation>
    <dataValidation sqref="B13:B3000" showDropDown="0" showInputMessage="0" showErrorMessage="0" allowBlank="1" errorTitle="입력값 확인" error="[참고 사항] 시트의 분류 값 목록에 있는 값을 선택하세요." type="list" errorStyle="stop">
      <formula1>=목록_병해충구분</formula1>
    </dataValidation>
    <dataValidation sqref="H13:H3000" showDropDown="0" showInputMessage="0" showErrorMessage="0" allowBlank="1" errorTitle="입력값 확인" error="[참고 사항] 시트의 분류 값 목록에 있는 값을 선택하세요." type="list" errorStyle="stop">
      <formula1>=목록_방제구분</formula1>
    </dataValidation>
    <dataValidation sqref="G13:G3000" showDropDown="0" showInputMessage="0" showErrorMessage="0" allowBlank="1" errorTitle="입력값 확인" error="[참고 사항] 시트의 분류 값 목록에 있는 값을 선택하세요." type="list" errorStyle="stop">
      <formula1>=목록_학교보유</formula1>
    </dataValidation>
    <dataValidation sqref="F13:F3000" showDropDown="0" showInputMessage="0" showErrorMessage="0" allowBlank="1" errorTitle="입력값 확인" error="[참고 사항] 시트의 분류 값 목록에 있는 값을 선택하세요." type="list" errorStyle="warning">
      <formula1>=목록_제형</formula1>
    </dataValidation>
    <dataValidation sqref="J13:J3000" showDropDown="0" showInputMessage="0" showErrorMessage="0" allowBlank="1" errorTitle="입력값 확인" error="[참고 사항] 시트의 분류 값 목록에 있는 값을 선택하세요." type="list" errorStyle="warning">
      <formula1>=목록_살포방법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95"/>
  <sheetViews>
    <sheetView zoomScale="9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9" customWidth="1" min="4" max="4"/>
    <col width="20" customWidth="1" min="5" max="5"/>
    <col width="6" customWidth="1" min="6" max="6"/>
    <col width="14" customWidth="1" min="7" max="7"/>
    <col width="11" customWidth="1" min="8" max="8"/>
    <col width="9" customWidth="1" min="9" max="9"/>
    <col width="12" customWidth="1" min="10" max="10"/>
    <col width="10" customWidth="1" min="11" max="11"/>
    <col width="14" customWidth="1" min="12" max="12"/>
    <col width="13" customWidth="1" min="13" max="13"/>
    <col width="12" customWidth="1" min="14" max="14"/>
    <col width="10" customWidth="1" min="15" max="15"/>
    <col width="10" customWidth="1" min="16" max="16"/>
    <col width="44" customWidth="1" min="17" max="17"/>
    <col width="34" customWidth="1" min="18" max="18"/>
    <col width="30" customWidth="1" min="19" max="19"/>
    <col width="12" customWidth="1" min="20" max="20"/>
    <col width="36" customWidth="1" min="21" max="21"/>
    <col width="13" customWidth="1" min="22" max="22"/>
    <col width="13" customWidth="1" min="23" max="23"/>
    <col width="11" customWidth="1" min="24" max="24"/>
    <col width="20" customWidth="1" min="25" max="25"/>
    <col width="13" customWidth="1" min="26" max="26"/>
    <col width="50" customWidth="1" min="27" max="27"/>
    <col width="36" customWidth="1" min="28" max="28"/>
    <col width="22" customWidth="1" min="29" max="29"/>
    <col width="12" customWidth="1" min="30" max="30"/>
    <col width="18" customWidth="1" min="31" max="31"/>
    <col width="11" customWidth="1" min="32" max="32"/>
    <col width="11" customWidth="1" min="33" max="33"/>
    <col width="11" customWidth="1" min="34" max="34"/>
    <col width="11" customWidth="1" min="35" max="35"/>
    <col width="14" customWidth="1" min="36" max="36"/>
    <col width="12" customWidth="1" min="37" max="37"/>
    <col width="34" customWidth="1" min="38" max="38"/>
    <col width="12" customWidth="1" min="39" max="39"/>
    <col width="22" customWidth="1" min="40" max="40"/>
    <col width="16" customWidth="1" min="41" max="41"/>
    <col width="30" customWidth="1" min="42" max="42"/>
    <col width="34" customWidth="1" min="43" max="43"/>
    <col width="11" customWidth="1" min="44" max="44"/>
  </cols>
  <sheetData>
    <row r="1" ht="34" customHeight="1">
      <c r="A1" s="33" t="inlineStr">
        <is>
          <t>번호</t>
        </is>
      </c>
      <c r="B1" s="33" t="inlineStr">
        <is>
          <t>정보 구분</t>
        </is>
      </c>
      <c r="C1" s="33" t="inlineStr">
        <is>
          <t>작물명</t>
        </is>
      </c>
      <c r="D1" s="33" t="inlineStr">
        <is>
          <t>병해충 구분</t>
        </is>
      </c>
      <c r="E1" s="33" t="inlineStr">
        <is>
          <t>병해충명</t>
        </is>
      </c>
      <c r="F1" s="11" t="inlineStr">
        <is>
          <t>순위</t>
        </is>
      </c>
      <c r="G1" s="11" t="inlineStr">
        <is>
          <t>약제명</t>
        </is>
      </c>
      <c r="H1" s="11" t="inlineStr">
        <is>
          <t>제형</t>
        </is>
      </c>
      <c r="I1" s="11" t="inlineStr">
        <is>
          <t>학교 보유</t>
        </is>
      </c>
      <c r="J1" s="11" t="inlineStr">
        <is>
          <t>방제 구분</t>
        </is>
      </c>
      <c r="K1" s="12" t="inlineStr">
        <is>
          <t>희석배수</t>
        </is>
      </c>
      <c r="L1" s="12" t="inlineStr">
        <is>
          <t>살포 방법</t>
        </is>
      </c>
      <c r="M1" s="12" t="inlineStr">
        <is>
          <t>살포 시기</t>
        </is>
      </c>
      <c r="N1" s="12" t="inlineStr">
        <is>
          <t>수확 전 사용 제한</t>
        </is>
      </c>
      <c r="O1" s="12" t="inlineStr">
        <is>
          <t>최대 살포 횟수</t>
        </is>
      </c>
      <c r="P1" s="12" t="inlineStr">
        <is>
          <t>살포 간격</t>
        </is>
      </c>
      <c r="Q1" s="13" t="inlineStr">
        <is>
          <t>주의사항</t>
        </is>
      </c>
      <c r="R1" s="13" t="inlineStr">
        <is>
          <t>혼용 정보</t>
        </is>
      </c>
      <c r="S1" s="34" t="inlineStr">
        <is>
          <t>유효성분</t>
        </is>
      </c>
      <c r="T1" s="34" t="inlineStr">
        <is>
          <t>작용기작</t>
        </is>
      </c>
      <c r="U1" s="34" t="inlineStr">
        <is>
          <t>겸용 대상(전체)</t>
        </is>
      </c>
      <c r="V1" s="34" t="inlineStr">
        <is>
          <t>혼용 상대 약제</t>
        </is>
      </c>
      <c r="W1" s="34" t="inlineStr">
        <is>
          <t>혼용 가능 여부</t>
        </is>
      </c>
      <c r="X1" s="34" t="inlineStr">
        <is>
          <t>방제가(효과)</t>
        </is>
      </c>
      <c r="Y1" s="34" t="inlineStr">
        <is>
          <t>제조사·공시사업자</t>
        </is>
      </c>
      <c r="Z1" s="34" t="inlineStr">
        <is>
          <t>연락처</t>
        </is>
      </c>
      <c r="AA1" s="34" t="inlineStr">
        <is>
          <t>관련 정보</t>
        </is>
      </c>
      <c r="AB1" s="34" t="inlineStr">
        <is>
          <t>비고</t>
        </is>
      </c>
      <c r="AC1" s="34" t="inlineStr">
        <is>
          <t>공시번호</t>
        </is>
      </c>
      <c r="AD1" s="34" t="inlineStr">
        <is>
          <t>자재구분</t>
        </is>
      </c>
      <c r="AE1" s="34" t="inlineStr">
        <is>
          <t>자재명</t>
        </is>
      </c>
      <c r="AF1" s="34" t="inlineStr">
        <is>
          <t>가격(500mL)</t>
        </is>
      </c>
      <c r="AG1" s="34" t="inlineStr">
        <is>
          <t>등재일자</t>
        </is>
      </c>
      <c r="AH1" s="34" t="inlineStr">
        <is>
          <t>공시 시작일</t>
        </is>
      </c>
      <c r="AI1" s="34" t="inlineStr">
        <is>
          <t>공시 종료일</t>
        </is>
      </c>
      <c r="AJ1" s="34" t="inlineStr">
        <is>
          <t>사업자등록번호</t>
        </is>
      </c>
      <c r="AK1" s="34" t="inlineStr">
        <is>
          <t>책임보험 가입여부</t>
        </is>
      </c>
      <c r="AL1" s="34" t="inlineStr">
        <is>
          <t>사업장/제조장</t>
        </is>
      </c>
      <c r="AM1" s="34" t="inlineStr">
        <is>
          <t>농약/비료 등록여부</t>
        </is>
      </c>
      <c r="AN1" s="34" t="inlineStr">
        <is>
          <t>약제명(원문)</t>
        </is>
      </c>
      <c r="AO1" s="34" t="inlineStr">
        <is>
          <t>안전사용기준(원문)</t>
        </is>
      </c>
      <c r="AP1" s="34" t="inlineStr">
        <is>
          <t>원본 위치</t>
        </is>
      </c>
      <c r="AQ1" s="34" t="inlineStr">
        <is>
          <t>출처</t>
        </is>
      </c>
      <c r="AR1" s="34" t="inlineStr">
        <is>
          <t>자료 조회일</t>
        </is>
      </c>
    </row>
    <row r="2" ht="50" customHeight="1">
      <c r="A2" s="51" t="n">
        <v>1</v>
      </c>
      <c r="B2" s="52" t="inlineStr">
        <is>
          <t>추천 약제(로테이션)</t>
        </is>
      </c>
      <c r="C2" s="53" t="inlineStr">
        <is>
          <t>파프리카</t>
        </is>
      </c>
      <c r="D2" s="53" t="inlineStr">
        <is>
          <t>병해</t>
        </is>
      </c>
      <c r="E2" s="54" t="inlineStr">
        <is>
          <t>갈색무늬병</t>
        </is>
      </c>
      <c r="F2" s="55" t="n">
        <v>1</v>
      </c>
      <c r="G2" s="56" t="inlineStr">
        <is>
          <t>탄쟈비상</t>
        </is>
      </c>
      <c r="H2" s="53" t="inlineStr">
        <is>
          <t>액상수화제</t>
        </is>
      </c>
      <c r="I2" s="53" t="inlineStr">
        <is>
          <t>미보유</t>
        </is>
      </c>
      <c r="J2" s="53" t="inlineStr">
        <is>
          <t>등록 농약</t>
        </is>
      </c>
      <c r="K2" s="57" t="n">
        <v>2000</v>
      </c>
      <c r="L2" s="52" t="inlineStr">
        <is>
          <t>경엽처리</t>
        </is>
      </c>
      <c r="M2" s="52" t="n"/>
      <c r="N2" s="52" t="inlineStr">
        <is>
          <t>수확3일전</t>
        </is>
      </c>
      <c r="O2" s="58" t="n">
        <v>3</v>
      </c>
      <c r="P2" s="53" t="n"/>
      <c r="Q2" s="59" t="inlineStr">
        <is>
          <t>등록된 약제가 1개뿐이라 대체(로테이션)용은 없습니다.</t>
        </is>
      </c>
      <c r="R2" s="59" t="inlineStr">
        <is>
          <t>모스피란과 혼용 가능(경농 조회)</t>
        </is>
      </c>
      <c r="S2" s="59" t="inlineStr">
        <is>
          <t>Trifloxystrobin</t>
        </is>
      </c>
      <c r="T2" s="52" t="inlineStr">
        <is>
          <t>다3</t>
        </is>
      </c>
      <c r="U2" s="59" t="inlineStr">
        <is>
          <t>갈색무늬병, 갈색점무늬병, 탄저병</t>
        </is>
      </c>
      <c r="V2" s="52" t="n"/>
      <c r="W2" s="53" t="n"/>
      <c r="X2" s="53" t="n"/>
      <c r="Y2" s="52" t="n"/>
      <c r="Z2" s="52" t="n"/>
      <c r="AA2" s="59" t="inlineStr">
        <is>
          <t>1순위 추천(원문): 탄쟈비상 (Trifloxystrobin) [학교 미보유 - 구매 필요] 2000배 희석 · 경엽처리 · 안전사용기준: 수확3일전 / 3회</t>
        </is>
      </c>
      <c r="AB2" s="59" t="n"/>
      <c r="AC2" s="52" t="n"/>
      <c r="AD2" s="52" t="n"/>
      <c r="AE2" s="52" t="n"/>
      <c r="AF2" s="60" t="n"/>
      <c r="AG2" s="61" t="n"/>
      <c r="AH2" s="61" t="n"/>
      <c r="AI2" s="61" t="n"/>
      <c r="AJ2" s="52" t="n"/>
      <c r="AK2" s="53" t="n"/>
      <c r="AL2" s="59" t="n"/>
      <c r="AM2" s="53" t="n"/>
      <c r="AN2" s="59" t="inlineStr">
        <is>
          <t>탄쟈비상 (액상수화제)</t>
        </is>
      </c>
      <c r="AO2" s="52" t="inlineStr">
        <is>
          <t>수확3일전/3회</t>
        </is>
      </c>
      <c r="AP2" s="59" t="inlineStr">
        <is>
          <t>PART 1. 병해(살균제) &gt; 갈색무늬병 로테이션표</t>
        </is>
      </c>
      <c r="AQ2" s="59" t="n"/>
      <c r="AR2" s="61" t="n"/>
    </row>
    <row r="3" ht="50" customHeight="1">
      <c r="A3" s="51" t="n">
        <v>2</v>
      </c>
      <c r="B3" s="52" t="inlineStr">
        <is>
          <t>추천 약제(로테이션)</t>
        </is>
      </c>
      <c r="C3" s="53" t="inlineStr">
        <is>
          <t>파프리카</t>
        </is>
      </c>
      <c r="D3" s="53" t="inlineStr">
        <is>
          <t>병해</t>
        </is>
      </c>
      <c r="E3" s="54" t="inlineStr">
        <is>
          <t>갈색점무늬병</t>
        </is>
      </c>
      <c r="F3" s="55" t="n">
        <v>1</v>
      </c>
      <c r="G3" s="56" t="inlineStr">
        <is>
          <t>버픽스</t>
        </is>
      </c>
      <c r="H3" s="53" t="inlineStr">
        <is>
          <t>액상수화제</t>
        </is>
      </c>
      <c r="I3" s="53" t="inlineStr">
        <is>
          <t>보유</t>
        </is>
      </c>
      <c r="J3" s="53" t="inlineStr">
        <is>
          <t>등록 농약</t>
        </is>
      </c>
      <c r="K3" s="57" t="n">
        <v>2000</v>
      </c>
      <c r="L3" s="52" t="inlineStr">
        <is>
          <t>경엽처리</t>
        </is>
      </c>
      <c r="M3" s="52" t="n"/>
      <c r="N3" s="52" t="inlineStr">
        <is>
          <t>수확3일전</t>
        </is>
      </c>
      <c r="O3" s="58" t="n">
        <v>3</v>
      </c>
      <c r="P3" s="53" t="n"/>
      <c r="Q3" s="59" t="n"/>
      <c r="R3" s="59" t="inlineStr">
        <is>
          <t>혼용정보 미확인 — 사용 전 제조사(동방아그로 1644-7337) 확인</t>
        </is>
      </c>
      <c r="S3" s="59" t="inlineStr">
        <is>
          <t>Florylpicoxamid</t>
        </is>
      </c>
      <c r="T3" s="52" t="inlineStr">
        <is>
          <t>다4</t>
        </is>
      </c>
      <c r="U3" s="59" t="inlineStr">
        <is>
          <t>갈색점무늬병, 잿빛곰팡이병, 탄저병</t>
        </is>
      </c>
      <c r="V3" s="52" t="n"/>
      <c r="W3" s="53" t="n"/>
      <c r="X3" s="53" t="n"/>
      <c r="Y3" s="52" t="n"/>
      <c r="Z3" s="52" t="n"/>
      <c r="AA3" s="59" t="inlineStr">
        <is>
          <t>1순위 추천(원문): 버픽스 (Florylpicoxamid) [학교 보유 중] 2000배 희석 · 경엽처리 · 안전사용기준: 수확3일전 / 3회</t>
        </is>
      </c>
      <c r="AB3" s="59" t="n"/>
      <c r="AC3" s="52" t="n"/>
      <c r="AD3" s="52" t="n"/>
      <c r="AE3" s="52" t="n"/>
      <c r="AF3" s="60" t="n"/>
      <c r="AG3" s="61" t="n"/>
      <c r="AH3" s="61" t="n"/>
      <c r="AI3" s="61" t="n"/>
      <c r="AJ3" s="52" t="n"/>
      <c r="AK3" s="53" t="n"/>
      <c r="AL3" s="59" t="n"/>
      <c r="AM3" s="53" t="n"/>
      <c r="AN3" s="59" t="inlineStr">
        <is>
          <t>버픽스(액상수화제)</t>
        </is>
      </c>
      <c r="AO3" s="52" t="inlineStr">
        <is>
          <t>수확3일전 / 3회</t>
        </is>
      </c>
      <c r="AP3" s="59" t="inlineStr">
        <is>
          <t>PART 1. 병해(살균제) &gt; 갈색점무늬병 로테이션표</t>
        </is>
      </c>
      <c r="AQ3" s="59" t="n"/>
      <c r="AR3" s="61" t="n"/>
    </row>
    <row r="4" ht="35" customHeight="1">
      <c r="A4" s="51" t="n">
        <v>3</v>
      </c>
      <c r="B4" s="52" t="inlineStr">
        <is>
          <t>추천 약제(로테이션)</t>
        </is>
      </c>
      <c r="C4" s="53" t="inlineStr">
        <is>
          <t>파프리카</t>
        </is>
      </c>
      <c r="D4" s="53" t="inlineStr">
        <is>
          <t>병해</t>
        </is>
      </c>
      <c r="E4" s="54" t="inlineStr">
        <is>
          <t>갈색점무늬병</t>
        </is>
      </c>
      <c r="F4" s="55" t="n">
        <v>2</v>
      </c>
      <c r="G4" s="56" t="inlineStr">
        <is>
          <t>벨리스플러스</t>
        </is>
      </c>
      <c r="H4" s="53" t="inlineStr">
        <is>
          <t>입상수화제</t>
        </is>
      </c>
      <c r="I4" s="53" t="inlineStr">
        <is>
          <t>보유</t>
        </is>
      </c>
      <c r="J4" s="53" t="inlineStr">
        <is>
          <t>등록 농약</t>
        </is>
      </c>
      <c r="K4" s="57" t="n">
        <v>2000</v>
      </c>
      <c r="L4" s="52" t="inlineStr">
        <is>
          <t>경엽처리</t>
        </is>
      </c>
      <c r="M4" s="52" t="n"/>
      <c r="N4" s="52" t="inlineStr">
        <is>
          <t>수확5일전</t>
        </is>
      </c>
      <c r="O4" s="58" t="n">
        <v>2</v>
      </c>
      <c r="P4" s="53" t="n"/>
      <c r="Q4" s="59" t="n"/>
      <c r="R4" s="59" t="inlineStr">
        <is>
          <t>모스피란과 혼용 가능(경농 조회)</t>
        </is>
      </c>
      <c r="S4" s="59" t="inlineStr">
        <is>
          <t>Boscalid+Pyraclostrobin</t>
        </is>
      </c>
      <c r="T4" s="52" t="inlineStr">
        <is>
          <t>다3,다2</t>
        </is>
      </c>
      <c r="U4" s="59" t="inlineStr">
        <is>
          <t>갈색점무늬병, 탄저병</t>
        </is>
      </c>
      <c r="V4" s="52" t="n"/>
      <c r="W4" s="53" t="n"/>
      <c r="X4" s="53" t="n"/>
      <c r="Y4" s="52" t="n"/>
      <c r="Z4" s="52" t="n"/>
      <c r="AA4" s="59" t="n"/>
      <c r="AB4" s="59" t="n"/>
      <c r="AC4" s="52" t="n"/>
      <c r="AD4" s="52" t="n"/>
      <c r="AE4" s="52" t="n"/>
      <c r="AF4" s="60" t="n"/>
      <c r="AG4" s="61" t="n"/>
      <c r="AH4" s="61" t="n"/>
      <c r="AI4" s="61" t="n"/>
      <c r="AJ4" s="52" t="n"/>
      <c r="AK4" s="53" t="n"/>
      <c r="AL4" s="59" t="n"/>
      <c r="AM4" s="53" t="n"/>
      <c r="AN4" s="59" t="inlineStr">
        <is>
          <t>벨리스플러스(입상수화제)</t>
        </is>
      </c>
      <c r="AO4" s="52" t="inlineStr">
        <is>
          <t>수확5일전 / 2회</t>
        </is>
      </c>
      <c r="AP4" s="59" t="inlineStr">
        <is>
          <t>PART 1. 병해(살균제) &gt; 갈색점무늬병 로테이션표</t>
        </is>
      </c>
      <c r="AQ4" s="59" t="n"/>
      <c r="AR4" s="61" t="n"/>
    </row>
    <row r="5" ht="35" customHeight="1">
      <c r="A5" s="51" t="n">
        <v>4</v>
      </c>
      <c r="B5" s="52" t="inlineStr">
        <is>
          <t>추천 약제(로테이션)</t>
        </is>
      </c>
      <c r="C5" s="53" t="inlineStr">
        <is>
          <t>파프리카</t>
        </is>
      </c>
      <c r="D5" s="53" t="inlineStr">
        <is>
          <t>병해</t>
        </is>
      </c>
      <c r="E5" s="54" t="inlineStr">
        <is>
          <t>갈색점무늬병</t>
        </is>
      </c>
      <c r="F5" s="55" t="n">
        <v>3</v>
      </c>
      <c r="G5" s="56" t="inlineStr">
        <is>
          <t>오조아</t>
        </is>
      </c>
      <c r="H5" s="53" t="inlineStr">
        <is>
          <t>수화제</t>
        </is>
      </c>
      <c r="I5" s="53" t="inlineStr">
        <is>
          <t>미보유</t>
        </is>
      </c>
      <c r="J5" s="53" t="inlineStr">
        <is>
          <t>등록 농약</t>
        </is>
      </c>
      <c r="K5" s="57" t="n">
        <v>2000</v>
      </c>
      <c r="L5" s="52" t="inlineStr">
        <is>
          <t>경엽처리</t>
        </is>
      </c>
      <c r="M5" s="52" t="n"/>
      <c r="N5" s="52" t="inlineStr">
        <is>
          <t>수확5일전</t>
        </is>
      </c>
      <c r="O5" s="58" t="n">
        <v>4</v>
      </c>
      <c r="P5" s="53" t="n"/>
      <c r="Q5" s="59" t="n"/>
      <c r="R5" s="59" t="n"/>
      <c r="S5" s="59" t="inlineStr">
        <is>
          <t>Fluazinam</t>
        </is>
      </c>
      <c r="T5" s="52" t="inlineStr">
        <is>
          <t>다5</t>
        </is>
      </c>
      <c r="U5" s="59" t="inlineStr">
        <is>
          <t>갈색점무늬병, 잿빛곰팡이병, 탄저병, 역병, 차먼지응애</t>
        </is>
      </c>
      <c r="V5" s="52" t="n"/>
      <c r="W5" s="53" t="n"/>
      <c r="X5" s="53" t="n"/>
      <c r="Y5" s="52" t="n"/>
      <c r="Z5" s="52" t="n"/>
      <c r="AA5" s="59" t="n"/>
      <c r="AB5" s="59" t="n"/>
      <c r="AC5" s="52" t="n"/>
      <c r="AD5" s="52" t="n"/>
      <c r="AE5" s="52" t="n"/>
      <c r="AF5" s="60" t="n"/>
      <c r="AG5" s="61" t="n"/>
      <c r="AH5" s="61" t="n"/>
      <c r="AI5" s="61" t="n"/>
      <c r="AJ5" s="52" t="n"/>
      <c r="AK5" s="53" t="n"/>
      <c r="AL5" s="59" t="n"/>
      <c r="AM5" s="53" t="n"/>
      <c r="AN5" s="59" t="inlineStr">
        <is>
          <t>오조아 (수화제)</t>
        </is>
      </c>
      <c r="AO5" s="52" t="inlineStr">
        <is>
          <t>수확5일전 / 4회</t>
        </is>
      </c>
      <c r="AP5" s="59" t="inlineStr">
        <is>
          <t>PART 1. 병해(살균제) &gt; 갈색점무늬병 로테이션표</t>
        </is>
      </c>
      <c r="AQ5" s="59" t="n"/>
      <c r="AR5" s="61" t="n"/>
    </row>
    <row r="6" ht="35" customHeight="1">
      <c r="A6" s="51" t="n">
        <v>5</v>
      </c>
      <c r="B6" s="52" t="inlineStr">
        <is>
          <t>추천 약제(로테이션)</t>
        </is>
      </c>
      <c r="C6" s="53" t="inlineStr">
        <is>
          <t>파프리카</t>
        </is>
      </c>
      <c r="D6" s="53" t="inlineStr">
        <is>
          <t>병해</t>
        </is>
      </c>
      <c r="E6" s="54" t="inlineStr">
        <is>
          <t>갈색점무늬병</t>
        </is>
      </c>
      <c r="F6" s="55" t="n">
        <v>4</v>
      </c>
      <c r="G6" s="56" t="inlineStr">
        <is>
          <t>경탄</t>
        </is>
      </c>
      <c r="H6" s="53" t="inlineStr">
        <is>
          <t>액상수화제</t>
        </is>
      </c>
      <c r="I6" s="53" t="inlineStr">
        <is>
          <t>미보유</t>
        </is>
      </c>
      <c r="J6" s="53" t="inlineStr">
        <is>
          <t>등록 농약</t>
        </is>
      </c>
      <c r="K6" s="57" t="n">
        <v>1000</v>
      </c>
      <c r="L6" s="52" t="inlineStr">
        <is>
          <t>경엽처리</t>
        </is>
      </c>
      <c r="M6" s="52" t="n"/>
      <c r="N6" s="52" t="inlineStr">
        <is>
          <t>수확3일전</t>
        </is>
      </c>
      <c r="O6" s="58" t="n">
        <v>3</v>
      </c>
      <c r="P6" s="53" t="n"/>
      <c r="Q6" s="59" t="n"/>
      <c r="R6" s="59" t="n"/>
      <c r="S6" s="59" t="inlineStr">
        <is>
          <t>Chlorothalonil+Kresoxim-methyl</t>
        </is>
      </c>
      <c r="T6" s="52" t="inlineStr">
        <is>
          <t>카,다3</t>
        </is>
      </c>
      <c r="U6" s="59" t="inlineStr">
        <is>
          <t>갈색점무늬병, 탄저병, 역병</t>
        </is>
      </c>
      <c r="V6" s="52" t="n"/>
      <c r="W6" s="53" t="n"/>
      <c r="X6" s="53" t="n"/>
      <c r="Y6" s="52" t="n"/>
      <c r="Z6" s="52" t="n"/>
      <c r="AA6" s="59" t="n"/>
      <c r="AB6" s="59" t="n"/>
      <c r="AC6" s="52" t="n"/>
      <c r="AD6" s="52" t="n"/>
      <c r="AE6" s="52" t="n"/>
      <c r="AF6" s="60" t="n"/>
      <c r="AG6" s="61" t="n"/>
      <c r="AH6" s="61" t="n"/>
      <c r="AI6" s="61" t="n"/>
      <c r="AJ6" s="52" t="n"/>
      <c r="AK6" s="53" t="n"/>
      <c r="AL6" s="59" t="n"/>
      <c r="AM6" s="53" t="n"/>
      <c r="AN6" s="59" t="inlineStr">
        <is>
          <t>경탄 (액상수화제)</t>
        </is>
      </c>
      <c r="AO6" s="52" t="inlineStr">
        <is>
          <t>수확3일전 / 3회</t>
        </is>
      </c>
      <c r="AP6" s="59" t="inlineStr">
        <is>
          <t>PART 1. 병해(살균제) &gt; 갈색점무늬병 로테이션표</t>
        </is>
      </c>
      <c r="AQ6" s="59" t="n"/>
      <c r="AR6" s="61" t="n"/>
    </row>
    <row r="7" ht="50" customHeight="1">
      <c r="A7" s="51" t="n">
        <v>6</v>
      </c>
      <c r="B7" s="52" t="inlineStr">
        <is>
          <t>추천 약제(로테이션)</t>
        </is>
      </c>
      <c r="C7" s="53" t="inlineStr">
        <is>
          <t>파프리카</t>
        </is>
      </c>
      <c r="D7" s="53" t="inlineStr">
        <is>
          <t>병해</t>
        </is>
      </c>
      <c r="E7" s="54" t="inlineStr">
        <is>
          <t>붉은썩음병</t>
        </is>
      </c>
      <c r="F7" s="55" t="n">
        <v>1</v>
      </c>
      <c r="G7" s="56" t="inlineStr">
        <is>
          <t>스포르곤</t>
        </is>
      </c>
      <c r="H7" s="53" t="inlineStr">
        <is>
          <t>수화제</t>
        </is>
      </c>
      <c r="I7" s="53" t="inlineStr">
        <is>
          <t>미보유</t>
        </is>
      </c>
      <c r="J7" s="53" t="inlineStr">
        <is>
          <t>등록 농약</t>
        </is>
      </c>
      <c r="K7" s="57" t="n">
        <v>1000</v>
      </c>
      <c r="L7" s="52" t="inlineStr">
        <is>
          <t>관주처리</t>
        </is>
      </c>
      <c r="M7" s="52" t="n"/>
      <c r="N7" s="52" t="inlineStr">
        <is>
          <t>수확7일전</t>
        </is>
      </c>
      <c r="O7" s="58" t="n">
        <v>3</v>
      </c>
      <c r="P7" s="53" t="n"/>
      <c r="Q7" s="59" t="n"/>
      <c r="R7" s="59" t="inlineStr">
        <is>
          <t>모스피란 · 코니도 · 타스타와의 혼용 조합 자료 없음</t>
        </is>
      </c>
      <c r="S7" s="59" t="inlineStr">
        <is>
          <t>Prochloraz-manganese</t>
        </is>
      </c>
      <c r="T7" s="52" t="inlineStr">
        <is>
          <t>사1</t>
        </is>
      </c>
      <c r="U7" s="59" t="inlineStr">
        <is>
          <t>붉은썩음병, 뿌리썩음병, 탄저병, 흰가루병, 흰비단병</t>
        </is>
      </c>
      <c r="V7" s="52" t="n"/>
      <c r="W7" s="53" t="n"/>
      <c r="X7" s="53" t="n"/>
      <c r="Y7" s="52" t="n"/>
      <c r="Z7" s="52" t="n"/>
      <c r="AA7" s="59" t="inlineStr">
        <is>
          <t>1순위 추천(원문): 스포르곤 (Prochloraz-manganese) [학교 미보유 - 구매 필요] 1000배 희석 · 관주처리 · 안전사용기준: 수확7일전 / 3회</t>
        </is>
      </c>
      <c r="AB7" s="59" t="n"/>
      <c r="AC7" s="52" t="n"/>
      <c r="AD7" s="52" t="n"/>
      <c r="AE7" s="52" t="n"/>
      <c r="AF7" s="60" t="n"/>
      <c r="AG7" s="61" t="n"/>
      <c r="AH7" s="61" t="n"/>
      <c r="AI7" s="61" t="n"/>
      <c r="AJ7" s="52" t="n"/>
      <c r="AK7" s="53" t="n"/>
      <c r="AL7" s="59" t="n"/>
      <c r="AM7" s="53" t="n"/>
      <c r="AN7" s="59" t="inlineStr">
        <is>
          <t>스포르곤(수화제)</t>
        </is>
      </c>
      <c r="AO7" s="52" t="inlineStr">
        <is>
          <t>수확7일전 / 3회</t>
        </is>
      </c>
      <c r="AP7" s="59" t="inlineStr">
        <is>
          <t>PART 1. 병해(살균제) &gt; 붉은썩음병 로테이션표</t>
        </is>
      </c>
      <c r="AQ7" s="59" t="n"/>
      <c r="AR7" s="61" t="n"/>
    </row>
    <row r="8" ht="35" customHeight="1">
      <c r="A8" s="51" t="n">
        <v>7</v>
      </c>
      <c r="B8" s="52" t="inlineStr">
        <is>
          <t>추천 약제(로테이션)</t>
        </is>
      </c>
      <c r="C8" s="53" t="inlineStr">
        <is>
          <t>파프리카</t>
        </is>
      </c>
      <c r="D8" s="53" t="inlineStr">
        <is>
          <t>병해</t>
        </is>
      </c>
      <c r="E8" s="54" t="inlineStr">
        <is>
          <t>붉은썩음병</t>
        </is>
      </c>
      <c r="F8" s="55" t="n">
        <v>2</v>
      </c>
      <c r="G8" s="56" t="inlineStr">
        <is>
          <t>균디스</t>
        </is>
      </c>
      <c r="H8" s="53" t="inlineStr">
        <is>
          <t>액상수화제</t>
        </is>
      </c>
      <c r="I8" s="53" t="inlineStr">
        <is>
          <t>미보유</t>
        </is>
      </c>
      <c r="J8" s="53" t="inlineStr">
        <is>
          <t>등록 농약</t>
        </is>
      </c>
      <c r="K8" s="57" t="n">
        <v>4000</v>
      </c>
      <c r="L8" s="52" t="inlineStr">
        <is>
          <t>관주처리</t>
        </is>
      </c>
      <c r="M8" s="52" t="n"/>
      <c r="N8" s="52" t="inlineStr">
        <is>
          <t>수확3일전</t>
        </is>
      </c>
      <c r="O8" s="58" t="n">
        <v>3</v>
      </c>
      <c r="P8" s="53" t="n"/>
      <c r="Q8" s="59" t="n"/>
      <c r="R8" s="59" t="n"/>
      <c r="S8" s="59" t="inlineStr">
        <is>
          <t>Azoxystrobin</t>
        </is>
      </c>
      <c r="T8" s="52" t="inlineStr">
        <is>
          <t>다3</t>
        </is>
      </c>
      <c r="U8" s="59" t="inlineStr">
        <is>
          <t>붉은썩음병, 탄저병</t>
        </is>
      </c>
      <c r="V8" s="52" t="n"/>
      <c r="W8" s="53" t="n"/>
      <c r="X8" s="53" t="n"/>
      <c r="Y8" s="52" t="n"/>
      <c r="Z8" s="52" t="n"/>
      <c r="AA8" s="59" t="n"/>
      <c r="AB8" s="59" t="n"/>
      <c r="AC8" s="52" t="n"/>
      <c r="AD8" s="52" t="n"/>
      <c r="AE8" s="52" t="n"/>
      <c r="AF8" s="60" t="n"/>
      <c r="AG8" s="61" t="n"/>
      <c r="AH8" s="61" t="n"/>
      <c r="AI8" s="61" t="n"/>
      <c r="AJ8" s="52" t="n"/>
      <c r="AK8" s="53" t="n"/>
      <c r="AL8" s="59" t="n"/>
      <c r="AM8" s="53" t="n"/>
      <c r="AN8" s="59" t="inlineStr">
        <is>
          <t>균디스(액상수화제)</t>
        </is>
      </c>
      <c r="AO8" s="52" t="inlineStr">
        <is>
          <t>수확3일전 / 3회</t>
        </is>
      </c>
      <c r="AP8" s="59" t="inlineStr">
        <is>
          <t>PART 1. 병해(살균제) &gt; 붉은썩음병 로테이션표</t>
        </is>
      </c>
      <c r="AQ8" s="59" t="n"/>
      <c r="AR8" s="61" t="n"/>
    </row>
    <row r="9" ht="50" customHeight="1">
      <c r="A9" s="51" t="n">
        <v>8</v>
      </c>
      <c r="B9" s="52" t="inlineStr">
        <is>
          <t>추천 약제(로테이션)</t>
        </is>
      </c>
      <c r="C9" s="53" t="inlineStr">
        <is>
          <t>파프리카</t>
        </is>
      </c>
      <c r="D9" s="53" t="inlineStr">
        <is>
          <t>병해</t>
        </is>
      </c>
      <c r="E9" s="54" t="inlineStr">
        <is>
          <t>뿌리썩음병</t>
        </is>
      </c>
      <c r="F9" s="55" t="n">
        <v>1</v>
      </c>
      <c r="G9" s="56" t="inlineStr">
        <is>
          <t>스포르곤</t>
        </is>
      </c>
      <c r="H9" s="53" t="inlineStr">
        <is>
          <t>입제</t>
        </is>
      </c>
      <c r="I9" s="53" t="inlineStr">
        <is>
          <t>미보유</t>
        </is>
      </c>
      <c r="J9" s="53" t="inlineStr">
        <is>
          <t>등록 농약</t>
        </is>
      </c>
      <c r="K9" s="57" t="n">
        <v>1000</v>
      </c>
      <c r="L9" s="52" t="inlineStr">
        <is>
          <t>관주처리</t>
        </is>
      </c>
      <c r="M9" s="52" t="n"/>
      <c r="N9" s="52" t="inlineStr">
        <is>
          <t>수확7일전</t>
        </is>
      </c>
      <c r="O9" s="58" t="n">
        <v>3</v>
      </c>
      <c r="P9" s="53" t="n"/>
      <c r="Q9" s="59" t="inlineStr">
        <is>
          <t>등록된 약제가 1개뿐이라 대체(로테이션)용은 없습니다.</t>
        </is>
      </c>
      <c r="R9" s="59" t="inlineStr">
        <is>
          <t>모스피란 · 코니도 · 타스타와의 혼용 조합 자료 없음</t>
        </is>
      </c>
      <c r="S9" s="59" t="inlineStr">
        <is>
          <t>Prochloraz-manganese</t>
        </is>
      </c>
      <c r="T9" s="52" t="inlineStr">
        <is>
          <t>사1</t>
        </is>
      </c>
      <c r="U9" s="59" t="inlineStr">
        <is>
          <t>붉은썩음병, 뿌리썩음병, 탄저병</t>
        </is>
      </c>
      <c r="V9" s="52" t="n"/>
      <c r="W9" s="53" t="n"/>
      <c r="X9" s="53" t="n"/>
      <c r="Y9" s="52" t="n"/>
      <c r="Z9" s="52" t="n"/>
      <c r="AA9" s="59" t="inlineStr">
        <is>
          <t>1순위 추천(원문): 스포르곤 (Prochloraz-manganese) [학교 미보유 - 구매 필요] 1000배 희석 · 관주처리 · 안전사용기준: 수확7일전 / 3회</t>
        </is>
      </c>
      <c r="AB9" s="59" t="n"/>
      <c r="AC9" s="52" t="n"/>
      <c r="AD9" s="52" t="n"/>
      <c r="AE9" s="52" t="n"/>
      <c r="AF9" s="60" t="n"/>
      <c r="AG9" s="61" t="n"/>
      <c r="AH9" s="61" t="n"/>
      <c r="AI9" s="61" t="n"/>
      <c r="AJ9" s="52" t="n"/>
      <c r="AK9" s="53" t="n"/>
      <c r="AL9" s="59" t="n"/>
      <c r="AM9" s="53" t="n"/>
      <c r="AN9" s="59" t="inlineStr">
        <is>
          <t>스포르곤(입제)</t>
        </is>
      </c>
      <c r="AO9" s="52" t="inlineStr">
        <is>
          <t>수확7일전 / 3회</t>
        </is>
      </c>
      <c r="AP9" s="59" t="inlineStr">
        <is>
          <t>PART 1. 병해(살균제) &gt; 뿌리썩음병 로테이션표</t>
        </is>
      </c>
      <c r="AQ9" s="59" t="n"/>
      <c r="AR9" s="61" t="n"/>
    </row>
    <row r="10" ht="50" customHeight="1">
      <c r="A10" s="51" t="n">
        <v>9</v>
      </c>
      <c r="B10" s="52" t="inlineStr">
        <is>
          <t>추천 약제(로테이션)</t>
        </is>
      </c>
      <c r="C10" s="53" t="inlineStr">
        <is>
          <t>파프리카</t>
        </is>
      </c>
      <c r="D10" s="53" t="inlineStr">
        <is>
          <t>병해</t>
        </is>
      </c>
      <c r="E10" s="54" t="inlineStr">
        <is>
          <t>세균점무늬병</t>
        </is>
      </c>
      <c r="F10" s="55" t="n">
        <v>1</v>
      </c>
      <c r="G10" s="56" t="inlineStr">
        <is>
          <t>무름반점뚝</t>
        </is>
      </c>
      <c r="H10" s="53" t="inlineStr">
        <is>
          <t>수화제</t>
        </is>
      </c>
      <c r="I10" s="53" t="inlineStr">
        <is>
          <t>보유</t>
        </is>
      </c>
      <c r="J10" s="53" t="inlineStr">
        <is>
          <t>등록 농약</t>
        </is>
      </c>
      <c r="K10" s="57" t="n">
        <v>1000</v>
      </c>
      <c r="L10" s="52" t="inlineStr">
        <is>
          <t>경엽처리</t>
        </is>
      </c>
      <c r="M10" s="52" t="n"/>
      <c r="N10" s="52" t="inlineStr">
        <is>
          <t>수확7일전</t>
        </is>
      </c>
      <c r="O10" s="58" t="n">
        <v>3</v>
      </c>
      <c r="P10" s="53" t="n"/>
      <c r="Q10" s="59" t="n"/>
      <c r="R10" s="59" t="inlineStr">
        <is>
          <t>혼용정보 미확인 — 사용 전 제조사(대유) 확인</t>
        </is>
      </c>
      <c r="S10" s="59" t="inlineStr">
        <is>
          <t>Oxolinic acid</t>
        </is>
      </c>
      <c r="T10" s="52" t="inlineStr">
        <is>
          <t>가4</t>
        </is>
      </c>
      <c r="U10" s="59" t="inlineStr">
        <is>
          <t>세균점무늬병</t>
        </is>
      </c>
      <c r="V10" s="52" t="n"/>
      <c r="W10" s="53" t="n"/>
      <c r="X10" s="53" t="n"/>
      <c r="Y10" s="52" t="n"/>
      <c r="Z10" s="52" t="n"/>
      <c r="AA10" s="59" t="inlineStr">
        <is>
          <t>1순위 추천(원문): 무름반점뚝 (Oxolinic acid) [학교 보유 중] 1000배 희석 · 경엽처리 · 안전사용기준: 수확7일전 / 3회</t>
        </is>
      </c>
      <c r="AB10" s="59" t="n"/>
      <c r="AC10" s="52" t="n"/>
      <c r="AD10" s="52" t="n"/>
      <c r="AE10" s="52" t="n"/>
      <c r="AF10" s="60" t="n"/>
      <c r="AG10" s="61" t="n"/>
      <c r="AH10" s="61" t="n"/>
      <c r="AI10" s="61" t="n"/>
      <c r="AJ10" s="52" t="n"/>
      <c r="AK10" s="53" t="n"/>
      <c r="AL10" s="59" t="n"/>
      <c r="AM10" s="53" t="n"/>
      <c r="AN10" s="59" t="inlineStr">
        <is>
          <t>무름반점뚝(수화제)</t>
        </is>
      </c>
      <c r="AO10" s="52" t="inlineStr">
        <is>
          <t>수확7일전 / 3회</t>
        </is>
      </c>
      <c r="AP10" s="59" t="inlineStr">
        <is>
          <t>PART 1. 병해(살균제) &gt; 세균점무늬병 로테이션표</t>
        </is>
      </c>
      <c r="AQ10" s="59" t="n"/>
      <c r="AR10" s="61" t="n"/>
    </row>
    <row r="11" ht="35" customHeight="1">
      <c r="A11" s="51" t="n">
        <v>10</v>
      </c>
      <c r="B11" s="52" t="inlineStr">
        <is>
          <t>추천 약제(로테이션)</t>
        </is>
      </c>
      <c r="C11" s="53" t="inlineStr">
        <is>
          <t>파프리카</t>
        </is>
      </c>
      <c r="D11" s="53" t="inlineStr">
        <is>
          <t>병해</t>
        </is>
      </c>
      <c r="E11" s="54" t="inlineStr">
        <is>
          <t>세균점무늬병</t>
        </is>
      </c>
      <c r="F11" s="55" t="n">
        <v>2</v>
      </c>
      <c r="G11" s="56" t="inlineStr">
        <is>
          <t>미스타클린</t>
        </is>
      </c>
      <c r="H11" s="53" t="inlineStr">
        <is>
          <t>수화제</t>
        </is>
      </c>
      <c r="I11" s="53" t="inlineStr">
        <is>
          <t>보유</t>
        </is>
      </c>
      <c r="J11" s="53" t="inlineStr">
        <is>
          <t>등록 농약</t>
        </is>
      </c>
      <c r="K11" s="57" t="n">
        <v>1000</v>
      </c>
      <c r="L11" s="52" t="inlineStr">
        <is>
          <t>경엽처리</t>
        </is>
      </c>
      <c r="M11" s="52" t="n"/>
      <c r="N11" s="52" t="inlineStr">
        <is>
          <t>수확3일전</t>
        </is>
      </c>
      <c r="O11" s="58" t="n">
        <v>3</v>
      </c>
      <c r="P11" s="53" t="n"/>
      <c r="Q11" s="59" t="n"/>
      <c r="R11" s="59" t="n"/>
      <c r="S11" s="59" t="inlineStr">
        <is>
          <t>Oxytetracycline dihydrate+Validamycin A</t>
        </is>
      </c>
      <c r="T11" s="52" t="inlineStr">
        <is>
          <t>라5+미분류(살균제)</t>
        </is>
      </c>
      <c r="U11" s="59" t="inlineStr">
        <is>
          <t>세균점무늬병</t>
        </is>
      </c>
      <c r="V11" s="52" t="n"/>
      <c r="W11" s="53" t="n"/>
      <c r="X11" s="53" t="n"/>
      <c r="Y11" s="52" t="n"/>
      <c r="Z11" s="52" t="n"/>
      <c r="AA11" s="59" t="n"/>
      <c r="AB11" s="59" t="n"/>
      <c r="AC11" s="52" t="n"/>
      <c r="AD11" s="52" t="n"/>
      <c r="AE11" s="52" t="n"/>
      <c r="AF11" s="60" t="n"/>
      <c r="AG11" s="61" t="n"/>
      <c r="AH11" s="61" t="n"/>
      <c r="AI11" s="61" t="n"/>
      <c r="AJ11" s="52" t="n"/>
      <c r="AK11" s="53" t="n"/>
      <c r="AL11" s="59" t="n"/>
      <c r="AM11" s="53" t="n"/>
      <c r="AN11" s="59" t="inlineStr">
        <is>
          <t>미스타클린 수화제</t>
        </is>
      </c>
      <c r="AO11" s="52" t="inlineStr">
        <is>
          <t>수확3일전 / 3회</t>
        </is>
      </c>
      <c r="AP11" s="59" t="inlineStr">
        <is>
          <t>PART 1. 병해(살균제) &gt; 세균점무늬병 로테이션표</t>
        </is>
      </c>
      <c r="AQ11" s="59" t="n"/>
      <c r="AR11" s="61" t="n"/>
    </row>
    <row r="12" ht="50" customHeight="1">
      <c r="A12" s="51" t="n">
        <v>11</v>
      </c>
      <c r="B12" s="52" t="inlineStr">
        <is>
          <t>추천 약제(로테이션)</t>
        </is>
      </c>
      <c r="C12" s="53" t="inlineStr">
        <is>
          <t>파프리카</t>
        </is>
      </c>
      <c r="D12" s="53" t="inlineStr">
        <is>
          <t>병해</t>
        </is>
      </c>
      <c r="E12" s="54" t="inlineStr">
        <is>
          <t>세균점무늬병</t>
        </is>
      </c>
      <c r="F12" s="55" t="n">
        <v>3</v>
      </c>
      <c r="G12" s="56" t="inlineStr">
        <is>
          <t>가스란</t>
        </is>
      </c>
      <c r="H12" s="53" t="inlineStr">
        <is>
          <t>수화제</t>
        </is>
      </c>
      <c r="I12" s="53" t="inlineStr">
        <is>
          <t>미보유</t>
        </is>
      </c>
      <c r="J12" s="53" t="inlineStr">
        <is>
          <t>등록 농약</t>
        </is>
      </c>
      <c r="K12" s="57" t="n">
        <v>1000</v>
      </c>
      <c r="L12" s="52" t="inlineStr">
        <is>
          <t>경엽처리</t>
        </is>
      </c>
      <c r="M12" s="52" t="n"/>
      <c r="N12" s="52" t="inlineStr">
        <is>
          <t>수확2일전</t>
        </is>
      </c>
      <c r="O12" s="58" t="n">
        <v>5</v>
      </c>
      <c r="P12" s="53" t="n"/>
      <c r="Q12" s="59" t="n"/>
      <c r="R12" s="59" t="inlineStr">
        <is>
          <t>모스피란과 혼용 가능(경농 조회)</t>
        </is>
      </c>
      <c r="S12" s="59" t="inlineStr">
        <is>
          <t>코퍼옥시클로라이드.가스가마이신 (Copper oxychloride+Kasugamycin)</t>
        </is>
      </c>
      <c r="T12" s="52" t="inlineStr">
        <is>
          <t>라3,카</t>
        </is>
      </c>
      <c r="U12" s="59" t="inlineStr">
        <is>
          <t>세균점무늬병, 탄저병</t>
        </is>
      </c>
      <c r="V12" s="52" t="n"/>
      <c r="W12" s="53" t="n"/>
      <c r="X12" s="53" t="n"/>
      <c r="Y12" s="52" t="n"/>
      <c r="Z12" s="52" t="n"/>
      <c r="AA12" s="59" t="n"/>
      <c r="AB12" s="59" t="n"/>
      <c r="AC12" s="52" t="n"/>
      <c r="AD12" s="52" t="n"/>
      <c r="AE12" s="52" t="n"/>
      <c r="AF12" s="60" t="n"/>
      <c r="AG12" s="61" t="n"/>
      <c r="AH12" s="61" t="n"/>
      <c r="AI12" s="61" t="n"/>
      <c r="AJ12" s="52" t="n"/>
      <c r="AK12" s="53" t="n"/>
      <c r="AL12" s="59" t="n"/>
      <c r="AM12" s="53" t="n"/>
      <c r="AN12" s="59" t="inlineStr">
        <is>
          <t>가스란(수화제)</t>
        </is>
      </c>
      <c r="AO12" s="52" t="inlineStr">
        <is>
          <t>수확2일전 / 5회</t>
        </is>
      </c>
      <c r="AP12" s="59" t="inlineStr">
        <is>
          <t>PART 1. 병해(살균제) &gt; 세균점무늬병 로테이션표</t>
        </is>
      </c>
      <c r="AQ12" s="59" t="n"/>
      <c r="AR12" s="61" t="n"/>
    </row>
    <row r="13" ht="50" customHeight="1">
      <c r="A13" s="51" t="n">
        <v>12</v>
      </c>
      <c r="B13" s="52" t="inlineStr">
        <is>
          <t>추천 약제(로테이션)</t>
        </is>
      </c>
      <c r="C13" s="53" t="inlineStr">
        <is>
          <t>파프리카</t>
        </is>
      </c>
      <c r="D13" s="53" t="inlineStr">
        <is>
          <t>병해</t>
        </is>
      </c>
      <c r="E13" s="54" t="inlineStr">
        <is>
          <t>세균점무늬병</t>
        </is>
      </c>
      <c r="F13" s="55" t="n">
        <v>4</v>
      </c>
      <c r="G13" s="56" t="inlineStr">
        <is>
          <t>골든벨</t>
        </is>
      </c>
      <c r="H13" s="53" t="inlineStr">
        <is>
          <t>액상수화제</t>
        </is>
      </c>
      <c r="I13" s="53" t="inlineStr">
        <is>
          <t>미보유</t>
        </is>
      </c>
      <c r="J13" s="53" t="inlineStr">
        <is>
          <t>등록 농약</t>
        </is>
      </c>
      <c r="K13" s="57" t="n">
        <v>1000</v>
      </c>
      <c r="L13" s="52" t="inlineStr">
        <is>
          <t>경엽처리</t>
        </is>
      </c>
      <c r="M13" s="52" t="n"/>
      <c r="N13" s="52" t="inlineStr">
        <is>
          <t>수확2일전</t>
        </is>
      </c>
      <c r="O13" s="58" t="n">
        <v>3</v>
      </c>
      <c r="P13" s="53" t="n"/>
      <c r="Q13" s="59" t="n"/>
      <c r="R13" s="59" t="n"/>
      <c r="S13" s="59" t="inlineStr">
        <is>
          <t>가스가마이신.티오파네이트메틸 (Kasugamycin+Thiophanate-methyl)</t>
        </is>
      </c>
      <c r="T13" s="52" t="inlineStr">
        <is>
          <t>나1,라3</t>
        </is>
      </c>
      <c r="U13" s="59" t="inlineStr">
        <is>
          <t>세균점무늬병, 탄저병</t>
        </is>
      </c>
      <c r="V13" s="52" t="n"/>
      <c r="W13" s="53" t="n"/>
      <c r="X13" s="53" t="n"/>
      <c r="Y13" s="52" t="n"/>
      <c r="Z13" s="52" t="n"/>
      <c r="AA13" s="59" t="n"/>
      <c r="AB13" s="59" t="n"/>
      <c r="AC13" s="52" t="n"/>
      <c r="AD13" s="52" t="n"/>
      <c r="AE13" s="52" t="n"/>
      <c r="AF13" s="60" t="n"/>
      <c r="AG13" s="61" t="n"/>
      <c r="AH13" s="61" t="n"/>
      <c r="AI13" s="61" t="n"/>
      <c r="AJ13" s="52" t="n"/>
      <c r="AK13" s="53" t="n"/>
      <c r="AL13" s="59" t="n"/>
      <c r="AM13" s="53" t="n"/>
      <c r="AN13" s="59" t="inlineStr">
        <is>
          <t>골든벨(액상수화제)</t>
        </is>
      </c>
      <c r="AO13" s="52" t="inlineStr">
        <is>
          <t>수확2일전 / 3회</t>
        </is>
      </c>
      <c r="AP13" s="59" t="inlineStr">
        <is>
          <t>PART 1. 병해(살균제) &gt; 세균점무늬병 로테이션표</t>
        </is>
      </c>
      <c r="AQ13" s="59" t="n"/>
      <c r="AR13" s="61" t="n"/>
    </row>
    <row r="14" ht="50" customHeight="1">
      <c r="A14" s="51" t="n">
        <v>13</v>
      </c>
      <c r="B14" s="52" t="inlineStr">
        <is>
          <t>추천 약제(로테이션)</t>
        </is>
      </c>
      <c r="C14" s="53" t="inlineStr">
        <is>
          <t>파프리카</t>
        </is>
      </c>
      <c r="D14" s="53" t="inlineStr">
        <is>
          <t>병해</t>
        </is>
      </c>
      <c r="E14" s="54" t="inlineStr">
        <is>
          <t>잿빛곰팡이병</t>
        </is>
      </c>
      <c r="F14" s="55" t="n">
        <v>1</v>
      </c>
      <c r="G14" s="56" t="inlineStr">
        <is>
          <t>버픽스</t>
        </is>
      </c>
      <c r="H14" s="53" t="inlineStr">
        <is>
          <t>액상수화제</t>
        </is>
      </c>
      <c r="I14" s="53" t="inlineStr">
        <is>
          <t>보유</t>
        </is>
      </c>
      <c r="J14" s="53" t="inlineStr">
        <is>
          <t>등록 농약</t>
        </is>
      </c>
      <c r="K14" s="57" t="n">
        <v>2000</v>
      </c>
      <c r="L14" s="52" t="inlineStr">
        <is>
          <t>경엽처리</t>
        </is>
      </c>
      <c r="M14" s="52" t="n"/>
      <c r="N14" s="52" t="inlineStr">
        <is>
          <t>수확3일전</t>
        </is>
      </c>
      <c r="O14" s="58" t="n">
        <v>3</v>
      </c>
      <c r="P14" s="53" t="n"/>
      <c r="Q14" s="59" t="n"/>
      <c r="R14" s="59" t="inlineStr">
        <is>
          <t>혼용정보 미확인 — 사용 전 제조사(동방아그로 1644-7337) 확인</t>
        </is>
      </c>
      <c r="S14" s="59" t="inlineStr">
        <is>
          <t>Florylpicoxamid</t>
        </is>
      </c>
      <c r="T14" s="52" t="inlineStr">
        <is>
          <t>다4</t>
        </is>
      </c>
      <c r="U14" s="59" t="inlineStr">
        <is>
          <t>갈색점무늬병, 잿빛곰팡이병</t>
        </is>
      </c>
      <c r="V14" s="52" t="n"/>
      <c r="W14" s="53" t="n"/>
      <c r="X14" s="53" t="n"/>
      <c r="Y14" s="52" t="n"/>
      <c r="Z14" s="52" t="n"/>
      <c r="AA14" s="59" t="inlineStr">
        <is>
          <t>1순위 추천(원문): 버픽스 (Florylpicoxamid) [학교 보유 중] 2000배 희석 · 경엽처리 · 안전사용기준: 수확3일전 / 3회</t>
        </is>
      </c>
      <c r="AB14" s="59" t="n"/>
      <c r="AC14" s="52" t="n"/>
      <c r="AD14" s="52" t="n"/>
      <c r="AE14" s="52" t="n"/>
      <c r="AF14" s="60" t="n"/>
      <c r="AG14" s="61" t="n"/>
      <c r="AH14" s="61" t="n"/>
      <c r="AI14" s="61" t="n"/>
      <c r="AJ14" s="52" t="n"/>
      <c r="AK14" s="53" t="n"/>
      <c r="AL14" s="59" t="n"/>
      <c r="AM14" s="53" t="n"/>
      <c r="AN14" s="59" t="inlineStr">
        <is>
          <t>버픽스 (액상수화제)</t>
        </is>
      </c>
      <c r="AO14" s="52" t="inlineStr">
        <is>
          <t>수확3일전 / 3회</t>
        </is>
      </c>
      <c r="AP14" s="59" t="inlineStr">
        <is>
          <t>PART 1. 병해(살균제) &gt; 잿빛곰팡이병 로테이션표</t>
        </is>
      </c>
      <c r="AQ14" s="59" t="n"/>
      <c r="AR14" s="61" t="n"/>
    </row>
    <row r="15" ht="35" customHeight="1">
      <c r="A15" s="51" t="n">
        <v>14</v>
      </c>
      <c r="B15" s="52" t="inlineStr">
        <is>
          <t>추천 약제(로테이션)</t>
        </is>
      </c>
      <c r="C15" s="53" t="inlineStr">
        <is>
          <t>파프리카</t>
        </is>
      </c>
      <c r="D15" s="53" t="inlineStr">
        <is>
          <t>병해</t>
        </is>
      </c>
      <c r="E15" s="54" t="inlineStr">
        <is>
          <t>잿빛곰팡이병</t>
        </is>
      </c>
      <c r="F15" s="55" t="n">
        <v>2</v>
      </c>
      <c r="G15" s="56" t="inlineStr">
        <is>
          <t>미래빛</t>
        </is>
      </c>
      <c r="H15" s="53" t="inlineStr">
        <is>
          <t>액상수화제</t>
        </is>
      </c>
      <c r="I15" s="53" t="inlineStr">
        <is>
          <t>보유</t>
        </is>
      </c>
      <c r="J15" s="53" t="inlineStr">
        <is>
          <t>등록 농약</t>
        </is>
      </c>
      <c r="K15" s="57" t="n">
        <v>4000</v>
      </c>
      <c r="L15" s="52" t="inlineStr">
        <is>
          <t>경엽처리</t>
        </is>
      </c>
      <c r="M15" s="52" t="n"/>
      <c r="N15" s="52" t="inlineStr">
        <is>
          <t>수확3일전</t>
        </is>
      </c>
      <c r="O15" s="58" t="n">
        <v>3</v>
      </c>
      <c r="P15" s="53" t="n"/>
      <c r="Q15" s="59" t="n"/>
      <c r="R15" s="59" t="n"/>
      <c r="S15" s="59" t="inlineStr">
        <is>
          <t>Pydiflumetofen</t>
        </is>
      </c>
      <c r="T15" s="52" t="inlineStr">
        <is>
          <t>다2</t>
        </is>
      </c>
      <c r="U15" s="59" t="inlineStr">
        <is>
          <t>잿빛곰팡이병</t>
        </is>
      </c>
      <c r="V15" s="52" t="n"/>
      <c r="W15" s="53" t="n"/>
      <c r="X15" s="53" t="n"/>
      <c r="Y15" s="52" t="n"/>
      <c r="Z15" s="52" t="n"/>
      <c r="AA15" s="59" t="n"/>
      <c r="AB15" s="59" t="n"/>
      <c r="AC15" s="52" t="n"/>
      <c r="AD15" s="52" t="n"/>
      <c r="AE15" s="52" t="n"/>
      <c r="AF15" s="60" t="n"/>
      <c r="AG15" s="61" t="n"/>
      <c r="AH15" s="61" t="n"/>
      <c r="AI15" s="61" t="n"/>
      <c r="AJ15" s="52" t="n"/>
      <c r="AK15" s="53" t="n"/>
      <c r="AL15" s="59" t="n"/>
      <c r="AM15" s="53" t="n"/>
      <c r="AN15" s="59" t="inlineStr">
        <is>
          <t>미래빛 (액상수화제)</t>
        </is>
      </c>
      <c r="AO15" s="52" t="inlineStr">
        <is>
          <t>수확3일전 / 3회</t>
        </is>
      </c>
      <c r="AP15" s="59" t="inlineStr">
        <is>
          <t>PART 1. 병해(살균제) &gt; 잿빛곰팡이병 로테이션표</t>
        </is>
      </c>
      <c r="AQ15" s="59" t="n"/>
      <c r="AR15" s="61" t="n"/>
    </row>
    <row r="16" ht="35" customHeight="1">
      <c r="A16" s="51" t="n">
        <v>15</v>
      </c>
      <c r="B16" s="52" t="inlineStr">
        <is>
          <t>추천 약제(로테이션)</t>
        </is>
      </c>
      <c r="C16" s="53" t="inlineStr">
        <is>
          <t>파프리카</t>
        </is>
      </c>
      <c r="D16" s="53" t="inlineStr">
        <is>
          <t>병해</t>
        </is>
      </c>
      <c r="E16" s="54" t="inlineStr">
        <is>
          <t>잿빛곰팡이병</t>
        </is>
      </c>
      <c r="F16" s="55" t="n">
        <v>3</v>
      </c>
      <c r="G16" s="56" t="inlineStr">
        <is>
          <t>사파이어</t>
        </is>
      </c>
      <c r="H16" s="53" t="inlineStr">
        <is>
          <t>액상수화제</t>
        </is>
      </c>
      <c r="I16" s="53" t="inlineStr">
        <is>
          <t>보유</t>
        </is>
      </c>
      <c r="J16" s="53" t="inlineStr">
        <is>
          <t>등록 농약</t>
        </is>
      </c>
      <c r="K16" s="57" t="n">
        <v>2000</v>
      </c>
      <c r="L16" s="52" t="inlineStr">
        <is>
          <t>경엽처리</t>
        </is>
      </c>
      <c r="M16" s="52" t="n"/>
      <c r="N16" s="52" t="inlineStr">
        <is>
          <t>수확3일전</t>
        </is>
      </c>
      <c r="O16" s="58" t="n">
        <v>2</v>
      </c>
      <c r="P16" s="53" t="n"/>
      <c r="Q16" s="59" t="n"/>
      <c r="R16" s="59" t="n"/>
      <c r="S16" s="59" t="inlineStr">
        <is>
          <t>Fludioxonil</t>
        </is>
      </c>
      <c r="T16" s="52" t="inlineStr">
        <is>
          <t>마2</t>
        </is>
      </c>
      <c r="U16" s="59" t="inlineStr">
        <is>
          <t>잿빛곰팡이병</t>
        </is>
      </c>
      <c r="V16" s="52" t="n"/>
      <c r="W16" s="53" t="n"/>
      <c r="X16" s="53" t="n"/>
      <c r="Y16" s="52" t="n"/>
      <c r="Z16" s="52" t="n"/>
      <c r="AA16" s="59" t="n"/>
      <c r="AB16" s="59" t="n"/>
      <c r="AC16" s="52" t="n"/>
      <c r="AD16" s="52" t="n"/>
      <c r="AE16" s="52" t="n"/>
      <c r="AF16" s="60" t="n"/>
      <c r="AG16" s="61" t="n"/>
      <c r="AH16" s="61" t="n"/>
      <c r="AI16" s="61" t="n"/>
      <c r="AJ16" s="52" t="n"/>
      <c r="AK16" s="53" t="n"/>
      <c r="AL16" s="59" t="n"/>
      <c r="AM16" s="53" t="n"/>
      <c r="AN16" s="59" t="inlineStr">
        <is>
          <t>사파이어 (액상수화제)</t>
        </is>
      </c>
      <c r="AO16" s="52" t="inlineStr">
        <is>
          <t>수확3일전 / 2회</t>
        </is>
      </c>
      <c r="AP16" s="59" t="inlineStr">
        <is>
          <t>PART 1. 병해(살균제) &gt; 잿빛곰팡이병 로테이션표</t>
        </is>
      </c>
      <c r="AQ16" s="59" t="n"/>
      <c r="AR16" s="61" t="n"/>
    </row>
    <row r="17" ht="35" customHeight="1">
      <c r="A17" s="51" t="n">
        <v>16</v>
      </c>
      <c r="B17" s="52" t="inlineStr">
        <is>
          <t>추천 약제(로테이션)</t>
        </is>
      </c>
      <c r="C17" s="53" t="inlineStr">
        <is>
          <t>파프리카</t>
        </is>
      </c>
      <c r="D17" s="53" t="inlineStr">
        <is>
          <t>병해</t>
        </is>
      </c>
      <c r="E17" s="54" t="inlineStr">
        <is>
          <t>잿빛곰팡이병</t>
        </is>
      </c>
      <c r="F17" s="55" t="n">
        <v>4</v>
      </c>
      <c r="G17" s="56" t="inlineStr">
        <is>
          <t>오조아</t>
        </is>
      </c>
      <c r="H17" s="53" t="inlineStr">
        <is>
          <t>수화제</t>
        </is>
      </c>
      <c r="I17" s="53" t="inlineStr">
        <is>
          <t>미보유</t>
        </is>
      </c>
      <c r="J17" s="53" t="inlineStr">
        <is>
          <t>등록 농약</t>
        </is>
      </c>
      <c r="K17" s="57" t="n">
        <v>2000</v>
      </c>
      <c r="L17" s="52" t="inlineStr">
        <is>
          <t>경엽처리</t>
        </is>
      </c>
      <c r="M17" s="52" t="n"/>
      <c r="N17" s="52" t="inlineStr">
        <is>
          <t>수확5일전</t>
        </is>
      </c>
      <c r="O17" s="58" t="n">
        <v>4</v>
      </c>
      <c r="P17" s="53" t="n"/>
      <c r="Q17" s="59" t="n"/>
      <c r="R17" s="59" t="n"/>
      <c r="S17" s="59" t="inlineStr">
        <is>
          <t>Fluazinam</t>
        </is>
      </c>
      <c r="T17" s="52" t="inlineStr">
        <is>
          <t>다5</t>
        </is>
      </c>
      <c r="U17" s="59" t="inlineStr">
        <is>
          <t>갈색점무늬병, 잿빛곰팡이병, 탄저병</t>
        </is>
      </c>
      <c r="V17" s="52" t="n"/>
      <c r="W17" s="53" t="n"/>
      <c r="X17" s="53" t="n"/>
      <c r="Y17" s="52" t="n"/>
      <c r="Z17" s="52" t="n"/>
      <c r="AA17" s="59" t="n"/>
      <c r="AB17" s="59" t="n"/>
      <c r="AC17" s="52" t="n"/>
      <c r="AD17" s="52" t="n"/>
      <c r="AE17" s="52" t="n"/>
      <c r="AF17" s="60" t="n"/>
      <c r="AG17" s="61" t="n"/>
      <c r="AH17" s="61" t="n"/>
      <c r="AI17" s="61" t="n"/>
      <c r="AJ17" s="52" t="n"/>
      <c r="AK17" s="53" t="n"/>
      <c r="AL17" s="59" t="n"/>
      <c r="AM17" s="53" t="n"/>
      <c r="AN17" s="59" t="inlineStr">
        <is>
          <t>오조아 (수화제)</t>
        </is>
      </c>
      <c r="AO17" s="52" t="inlineStr">
        <is>
          <t>수확5일전 / 4회</t>
        </is>
      </c>
      <c r="AP17" s="59" t="inlineStr">
        <is>
          <t>PART 1. 병해(살균제) &gt; 잿빛곰팡이병 로테이션표</t>
        </is>
      </c>
      <c r="AQ17" s="59" t="n"/>
      <c r="AR17" s="61" t="n"/>
    </row>
    <row r="18" ht="50" customHeight="1">
      <c r="A18" s="51" t="n">
        <v>17</v>
      </c>
      <c r="B18" s="52" t="inlineStr">
        <is>
          <t>추천 약제(로테이션)</t>
        </is>
      </c>
      <c r="C18" s="53" t="inlineStr">
        <is>
          <t>파프리카</t>
        </is>
      </c>
      <c r="D18" s="53" t="inlineStr">
        <is>
          <t>병해</t>
        </is>
      </c>
      <c r="E18" s="54" t="inlineStr">
        <is>
          <t>탄저병</t>
        </is>
      </c>
      <c r="F18" s="55" t="n">
        <v>1</v>
      </c>
      <c r="G18" s="56" t="inlineStr">
        <is>
          <t>벨리스플러스</t>
        </is>
      </c>
      <c r="H18" s="53" t="inlineStr">
        <is>
          <t>입상수화제</t>
        </is>
      </c>
      <c r="I18" s="53" t="inlineStr">
        <is>
          <t>보유</t>
        </is>
      </c>
      <c r="J18" s="53" t="inlineStr">
        <is>
          <t>등록 농약</t>
        </is>
      </c>
      <c r="K18" s="57" t="n">
        <v>2000</v>
      </c>
      <c r="L18" s="52" t="inlineStr">
        <is>
          <t>경엽처리</t>
        </is>
      </c>
      <c r="M18" s="52" t="n"/>
      <c r="N18" s="52" t="inlineStr">
        <is>
          <t>수확5일전</t>
        </is>
      </c>
      <c r="O18" s="58" t="n">
        <v>2</v>
      </c>
      <c r="P18" s="53" t="n"/>
      <c r="Q18" s="59" t="n"/>
      <c r="R18" s="59" t="inlineStr">
        <is>
          <t>모스피란과 혼용 가능(경농 조회)</t>
        </is>
      </c>
      <c r="S18" s="59" t="inlineStr">
        <is>
          <t>Boscalid+Pyraclostrobin</t>
        </is>
      </c>
      <c r="T18" s="52" t="inlineStr">
        <is>
          <t>다3,다2</t>
        </is>
      </c>
      <c r="U18" s="59" t="inlineStr">
        <is>
          <t>역병, 잿빛곰팡이병, 갈색점무늬병, 탄저병</t>
        </is>
      </c>
      <c r="V18" s="52" t="n"/>
      <c r="W18" s="53" t="n"/>
      <c r="X18" s="53" t="n"/>
      <c r="Y18" s="52" t="n"/>
      <c r="Z18" s="52" t="n"/>
      <c r="AA18" s="59" t="inlineStr">
        <is>
          <t>1순위 추천(원문): 벨리스플러스 (Boscalid+Pyraclostrobin) [학교 보유 중] 2000배 희석 · 경엽처리 · 안전사용기준: 수확5일전 / 2회</t>
        </is>
      </c>
      <c r="AB18" s="59" t="n"/>
      <c r="AC18" s="52" t="n"/>
      <c r="AD18" s="52" t="n"/>
      <c r="AE18" s="52" t="n"/>
      <c r="AF18" s="60" t="n"/>
      <c r="AG18" s="61" t="n"/>
      <c r="AH18" s="61" t="n"/>
      <c r="AI18" s="61" t="n"/>
      <c r="AJ18" s="52" t="n"/>
      <c r="AK18" s="53" t="n"/>
      <c r="AL18" s="59" t="n"/>
      <c r="AM18" s="53" t="n"/>
      <c r="AN18" s="59" t="inlineStr">
        <is>
          <t>벨리스플러스(입상수화제)</t>
        </is>
      </c>
      <c r="AO18" s="52" t="inlineStr">
        <is>
          <t>수확5일전 / 2회</t>
        </is>
      </c>
      <c r="AP18" s="59" t="inlineStr">
        <is>
          <t>PART 1. 병해(살균제) &gt; 탄저병 로테이션표</t>
        </is>
      </c>
      <c r="AQ18" s="59" t="n"/>
      <c r="AR18" s="61" t="n"/>
    </row>
    <row r="19" ht="50" customHeight="1">
      <c r="A19" s="51" t="n">
        <v>18</v>
      </c>
      <c r="B19" s="52" t="inlineStr">
        <is>
          <t>추천 약제(로테이션)</t>
        </is>
      </c>
      <c r="C19" s="53" t="inlineStr">
        <is>
          <t>파프리카</t>
        </is>
      </c>
      <c r="D19" s="53" t="inlineStr">
        <is>
          <t>병해</t>
        </is>
      </c>
      <c r="E19" s="54" t="inlineStr">
        <is>
          <t>탄저병</t>
        </is>
      </c>
      <c r="F19" s="55" t="n">
        <v>2</v>
      </c>
      <c r="G19" s="56" t="inlineStr">
        <is>
          <t>다놀라</t>
        </is>
      </c>
      <c r="H19" s="53" t="inlineStr">
        <is>
          <t>액상</t>
        </is>
      </c>
      <c r="I19" s="53" t="inlineStr">
        <is>
          <t>보유</t>
        </is>
      </c>
      <c r="J19" s="53" t="inlineStr">
        <is>
          <t>등록 농약</t>
        </is>
      </c>
      <c r="K19" s="57" t="n"/>
      <c r="L19" s="52" t="n"/>
      <c r="M19" s="52" t="n"/>
      <c r="N19" s="52" t="n"/>
      <c r="O19" s="58" t="n"/>
      <c r="P19" s="53" t="n"/>
      <c r="Q19" s="59" t="inlineStr">
        <is>
          <t>원본에 희석배수·사용방법·안전사용기준 미기재</t>
        </is>
      </c>
      <c r="R19" s="59" t="inlineStr">
        <is>
          <t>모스피란과 혼용 가능(경농 조회)</t>
        </is>
      </c>
      <c r="S19" s="59" t="inlineStr">
        <is>
          <t>디페노코나졸.피라클로스트로빈 (Difenoconazole+Pyraclostrobin)</t>
        </is>
      </c>
      <c r="T19" s="52" t="inlineStr">
        <is>
          <t>사1,다3</t>
        </is>
      </c>
      <c r="U19" s="59" t="inlineStr">
        <is>
          <t>탄저병</t>
        </is>
      </c>
      <c r="V19" s="52" t="n"/>
      <c r="W19" s="53" t="n"/>
      <c r="X19" s="53" t="n"/>
      <c r="Y19" s="52" t="n"/>
      <c r="Z19" s="52" t="n"/>
      <c r="AA19" s="59" t="n"/>
      <c r="AB19" s="59" t="n"/>
      <c r="AC19" s="52" t="n"/>
      <c r="AD19" s="52" t="n"/>
      <c r="AE19" s="52" t="n"/>
      <c r="AF19" s="60" t="n"/>
      <c r="AG19" s="61" t="n"/>
      <c r="AH19" s="61" t="n"/>
      <c r="AI19" s="61" t="n"/>
      <c r="AJ19" s="52" t="n"/>
      <c r="AK19" s="53" t="n"/>
      <c r="AL19" s="59" t="n"/>
      <c r="AM19" s="53" t="n"/>
      <c r="AN19" s="59" t="inlineStr">
        <is>
          <t>다놀라 (액상)</t>
        </is>
      </c>
      <c r="AO19" s="52" t="inlineStr">
        <is>
          <t>-</t>
        </is>
      </c>
      <c r="AP19" s="59" t="inlineStr">
        <is>
          <t>PART 1. 병해(살균제) &gt; 탄저병 로테이션표</t>
        </is>
      </c>
      <c r="AQ19" s="59" t="n"/>
      <c r="AR19" s="61" t="n"/>
    </row>
    <row r="20" ht="50" customHeight="1">
      <c r="A20" s="51" t="n">
        <v>19</v>
      </c>
      <c r="B20" s="52" t="inlineStr">
        <is>
          <t>추천 약제(로테이션)</t>
        </is>
      </c>
      <c r="C20" s="53" t="inlineStr">
        <is>
          <t>파프리카</t>
        </is>
      </c>
      <c r="D20" s="53" t="inlineStr">
        <is>
          <t>병해</t>
        </is>
      </c>
      <c r="E20" s="54" t="inlineStr">
        <is>
          <t>탄저병</t>
        </is>
      </c>
      <c r="F20" s="55" t="n">
        <v>3</v>
      </c>
      <c r="G20" s="56" t="inlineStr">
        <is>
          <t>미리본</t>
        </is>
      </c>
      <c r="H20" s="53" t="n"/>
      <c r="I20" s="53" t="inlineStr">
        <is>
          <t>보유</t>
        </is>
      </c>
      <c r="J20" s="53" t="inlineStr">
        <is>
          <t>등록 농약</t>
        </is>
      </c>
      <c r="K20" s="57" t="n"/>
      <c r="L20" s="52" t="n"/>
      <c r="M20" s="52" t="n"/>
      <c r="N20" s="52" t="n"/>
      <c r="O20" s="58" t="n"/>
      <c r="P20" s="53" t="n"/>
      <c r="Q20" s="59" t="inlineStr">
        <is>
          <t>원본에 희석배수·사용방법·안전사용기준 미기재</t>
        </is>
      </c>
      <c r="R20" s="59" t="n"/>
      <c r="S20" s="59" t="inlineStr">
        <is>
          <t>플룩사피록사드.피라클로스트로빈 (Fluxapyroxad+Pyraclostrobin)</t>
        </is>
      </c>
      <c r="T20" s="52" t="inlineStr">
        <is>
          <t>다3,다2</t>
        </is>
      </c>
      <c r="U20" s="59" t="inlineStr">
        <is>
          <t>탄저병</t>
        </is>
      </c>
      <c r="V20" s="52" t="n"/>
      <c r="W20" s="53" t="n"/>
      <c r="X20" s="53" t="n"/>
      <c r="Y20" s="52" t="n"/>
      <c r="Z20" s="52" t="n"/>
      <c r="AA20" s="59" t="n"/>
      <c r="AB20" s="59" t="n"/>
      <c r="AC20" s="52" t="n"/>
      <c r="AD20" s="52" t="n"/>
      <c r="AE20" s="52" t="n"/>
      <c r="AF20" s="60" t="n"/>
      <c r="AG20" s="61" t="n"/>
      <c r="AH20" s="61" t="n"/>
      <c r="AI20" s="61" t="n"/>
      <c r="AJ20" s="52" t="n"/>
      <c r="AK20" s="53" t="n"/>
      <c r="AL20" s="59" t="n"/>
      <c r="AM20" s="53" t="n"/>
      <c r="AN20" s="59" t="inlineStr">
        <is>
          <t>미리본</t>
        </is>
      </c>
      <c r="AO20" s="52" t="inlineStr">
        <is>
          <t>-</t>
        </is>
      </c>
      <c r="AP20" s="59" t="inlineStr">
        <is>
          <t>PART 1. 병해(살균제) &gt; 탄저병 로테이션표</t>
        </is>
      </c>
      <c r="AQ20" s="59" t="n"/>
      <c r="AR20" s="61" t="n"/>
    </row>
    <row r="21" ht="50" customHeight="1">
      <c r="A21" s="51" t="n">
        <v>20</v>
      </c>
      <c r="B21" s="52" t="inlineStr">
        <is>
          <t>추천 약제(로테이션)</t>
        </is>
      </c>
      <c r="C21" s="53" t="inlineStr">
        <is>
          <t>파프리카</t>
        </is>
      </c>
      <c r="D21" s="53" t="inlineStr">
        <is>
          <t>병해</t>
        </is>
      </c>
      <c r="E21" s="54" t="inlineStr">
        <is>
          <t>탄저병</t>
        </is>
      </c>
      <c r="F21" s="55" t="n">
        <v>4</v>
      </c>
      <c r="G21" s="56" t="inlineStr">
        <is>
          <t>벨쿠트</t>
        </is>
      </c>
      <c r="H21" s="53" t="inlineStr">
        <is>
          <t>수화제</t>
        </is>
      </c>
      <c r="I21" s="53" t="inlineStr">
        <is>
          <t>보유</t>
        </is>
      </c>
      <c r="J21" s="53" t="inlineStr">
        <is>
          <t>등록 농약</t>
        </is>
      </c>
      <c r="K21" s="57" t="n"/>
      <c r="L21" s="52" t="n"/>
      <c r="M21" s="52" t="n"/>
      <c r="N21" s="52" t="n"/>
      <c r="O21" s="58" t="n"/>
      <c r="P21" s="53" t="n"/>
      <c r="Q21" s="59" t="inlineStr">
        <is>
          <t>원본에 희석배수·사용방법·안전사용기준 미기재</t>
        </is>
      </c>
      <c r="R21" s="59" t="inlineStr">
        <is>
          <t>모스피란 · 코니도와 혼용 가능(경농·팜한농 조회)</t>
        </is>
      </c>
      <c r="S21" s="59" t="inlineStr">
        <is>
          <t>이미녹타딘트리스알베실레이트 (Iminoctadin tris (albesilate))</t>
        </is>
      </c>
      <c r="T21" s="52" t="inlineStr">
        <is>
          <t>카</t>
        </is>
      </c>
      <c r="U21" s="59" t="inlineStr">
        <is>
          <t>탄저병, 잿빛곰팡이병</t>
        </is>
      </c>
      <c r="V21" s="52" t="n"/>
      <c r="W21" s="53" t="n"/>
      <c r="X21" s="53" t="n"/>
      <c r="Y21" s="52" t="n"/>
      <c r="Z21" s="52" t="n"/>
      <c r="AA21" s="59" t="n"/>
      <c r="AB21" s="59" t="n"/>
      <c r="AC21" s="52" t="n"/>
      <c r="AD21" s="52" t="n"/>
      <c r="AE21" s="52" t="n"/>
      <c r="AF21" s="60" t="n"/>
      <c r="AG21" s="61" t="n"/>
      <c r="AH21" s="61" t="n"/>
      <c r="AI21" s="61" t="n"/>
      <c r="AJ21" s="52" t="n"/>
      <c r="AK21" s="53" t="n"/>
      <c r="AL21" s="59" t="n"/>
      <c r="AM21" s="53" t="n"/>
      <c r="AN21" s="59" t="inlineStr">
        <is>
          <t>벨쿠트(수화제)</t>
        </is>
      </c>
      <c r="AO21" s="52" t="inlineStr">
        <is>
          <t>-</t>
        </is>
      </c>
      <c r="AP21" s="59" t="inlineStr">
        <is>
          <t>PART 1. 병해(살균제) &gt; 탄저병 로테이션표</t>
        </is>
      </c>
      <c r="AQ21" s="59" t="n"/>
      <c r="AR21" s="61" t="n"/>
    </row>
    <row r="22" ht="65" customHeight="1">
      <c r="A22" s="51" t="n">
        <v>21</v>
      </c>
      <c r="B22" s="52" t="inlineStr">
        <is>
          <t>추천 약제(로테이션)</t>
        </is>
      </c>
      <c r="C22" s="53" t="inlineStr">
        <is>
          <t>파프리카</t>
        </is>
      </c>
      <c r="D22" s="53" t="inlineStr">
        <is>
          <t>병해</t>
        </is>
      </c>
      <c r="E22" s="54" t="inlineStr">
        <is>
          <t>풋마름병</t>
        </is>
      </c>
      <c r="F22" s="55" t="n">
        <v>1</v>
      </c>
      <c r="G22" s="56" t="inlineStr">
        <is>
          <t>크린쏘일</t>
        </is>
      </c>
      <c r="H22" s="53" t="inlineStr">
        <is>
          <t>입제</t>
        </is>
      </c>
      <c r="I22" s="53" t="inlineStr">
        <is>
          <t>미보유</t>
        </is>
      </c>
      <c r="J22" s="53" t="inlineStr">
        <is>
          <t>등록 농약</t>
        </is>
      </c>
      <c r="K22" s="57" t="n"/>
      <c r="L22" s="52" t="inlineStr">
        <is>
          <t>토양처리</t>
        </is>
      </c>
      <c r="M22" s="52" t="inlineStr">
        <is>
          <t>정식 4주일 전</t>
        </is>
      </c>
      <c r="N22" s="52" t="n"/>
      <c r="O22" s="58" t="n">
        <v>1</v>
      </c>
      <c r="P22" s="53" t="n"/>
      <c r="Q22" s="59" t="inlineStr">
        <is>
          <t>가이드 추천문에는 유효성분 'Metam-sodium', 사용방법 '관주처리', 안전사용기준 '정식4주전 / 1회'(으)로 표기 — 원본 내 표기 상이, 확인 필요</t>
        </is>
      </c>
      <c r="R22" s="59" t="n"/>
      <c r="S22" s="59" t="inlineStr">
        <is>
          <t>Dazomet</t>
        </is>
      </c>
      <c r="T22" s="52" t="inlineStr">
        <is>
          <t>미분류(살균제)</t>
        </is>
      </c>
      <c r="U22" s="59" t="inlineStr">
        <is>
          <t>풋마름병</t>
        </is>
      </c>
      <c r="V22" s="52" t="n"/>
      <c r="W22" s="53" t="n"/>
      <c r="X22" s="53" t="n"/>
      <c r="Y22" s="52" t="n"/>
      <c r="Z22" s="52" t="n"/>
      <c r="AA22" s="59" t="inlineStr">
        <is>
          <t>1순위 추천(원문): 크린쏘일 (Metam-sodium) [학교 미보유 - 구매 필요]  관주처리 · 안전사용기준: 정식4주전 / 1회</t>
        </is>
      </c>
      <c r="AB22" s="59" t="n"/>
      <c r="AC22" s="52" t="n"/>
      <c r="AD22" s="52" t="n"/>
      <c r="AE22" s="52" t="n"/>
      <c r="AF22" s="60" t="n"/>
      <c r="AG22" s="61" t="n"/>
      <c r="AH22" s="61" t="n"/>
      <c r="AI22" s="61" t="n"/>
      <c r="AJ22" s="52" t="n"/>
      <c r="AK22" s="53" t="n"/>
      <c r="AL22" s="59" t="n"/>
      <c r="AM22" s="53" t="n"/>
      <c r="AN22" s="59" t="inlineStr">
        <is>
          <t>크린쏘일 (입제)</t>
        </is>
      </c>
      <c r="AO22" s="52" t="inlineStr">
        <is>
          <t>정식기 / 1회</t>
        </is>
      </c>
      <c r="AP22" s="59" t="inlineStr">
        <is>
          <t>PART 1. 병해(살균제) &gt; 풋마름병 로테이션표</t>
        </is>
      </c>
      <c r="AQ22" s="59" t="n"/>
      <c r="AR22" s="61" t="n"/>
    </row>
    <row r="23" ht="50" customHeight="1">
      <c r="A23" s="51" t="n">
        <v>22</v>
      </c>
      <c r="B23" s="52" t="inlineStr">
        <is>
          <t>추천 약제(로테이션)</t>
        </is>
      </c>
      <c r="C23" s="53" t="inlineStr">
        <is>
          <t>파프리카</t>
        </is>
      </c>
      <c r="D23" s="53" t="inlineStr">
        <is>
          <t>해충</t>
        </is>
      </c>
      <c r="E23" s="54" t="inlineStr">
        <is>
          <t>거세미나방류</t>
        </is>
      </c>
      <c r="F23" s="55" t="n">
        <v>1</v>
      </c>
      <c r="G23" s="56" t="inlineStr">
        <is>
          <t>쏘버린</t>
        </is>
      </c>
      <c r="H23" s="53" t="inlineStr">
        <is>
          <t>입제</t>
        </is>
      </c>
      <c r="I23" s="53" t="inlineStr">
        <is>
          <t>미보유</t>
        </is>
      </c>
      <c r="J23" s="53" t="inlineStr">
        <is>
          <t>등록 농약</t>
        </is>
      </c>
      <c r="K23" s="57" t="n"/>
      <c r="L23" s="52" t="inlineStr">
        <is>
          <t>토양처리</t>
        </is>
      </c>
      <c r="M23" s="52" t="inlineStr">
        <is>
          <t>정식기</t>
        </is>
      </c>
      <c r="N23" s="52" t="n"/>
      <c r="O23" s="58" t="n">
        <v>1</v>
      </c>
      <c r="P23" s="53" t="n"/>
      <c r="Q23" s="59" t="n"/>
      <c r="R23" s="59" t="inlineStr">
        <is>
          <t>정식 시 흙에 뿌리는 입제 — 혼용정보표 대상 아님</t>
        </is>
      </c>
      <c r="S23" s="59" t="inlineStr">
        <is>
          <t>Carbosulfan</t>
        </is>
      </c>
      <c r="T23" s="52" t="inlineStr">
        <is>
          <t>1a</t>
        </is>
      </c>
      <c r="U23" s="59" t="inlineStr">
        <is>
          <t>거세미나방류, 꽃노랑총채벌레</t>
        </is>
      </c>
      <c r="V23" s="52" t="n"/>
      <c r="W23" s="53" t="n"/>
      <c r="X23" s="53" t="n"/>
      <c r="Y23" s="52" t="n"/>
      <c r="Z23" s="52" t="n"/>
      <c r="AA23" s="59" t="inlineStr">
        <is>
          <t>1순위 추천(원문): 쏘버린 (Carbosulfan) [학교 미보유 - 구매 필요] 토양처리 · 안전사용기준: 정식기 / 1회</t>
        </is>
      </c>
      <c r="AB23" s="59" t="n"/>
      <c r="AC23" s="52" t="n"/>
      <c r="AD23" s="52" t="n"/>
      <c r="AE23" s="52" t="n"/>
      <c r="AF23" s="60" t="n"/>
      <c r="AG23" s="61" t="n"/>
      <c r="AH23" s="61" t="n"/>
      <c r="AI23" s="61" t="n"/>
      <c r="AJ23" s="52" t="n"/>
      <c r="AK23" s="53" t="n"/>
      <c r="AL23" s="59" t="n"/>
      <c r="AM23" s="53" t="n"/>
      <c r="AN23" s="59" t="inlineStr">
        <is>
          <t>쏘버린 (입제)</t>
        </is>
      </c>
      <c r="AO23" s="52" t="inlineStr">
        <is>
          <t>정식기 / 1회</t>
        </is>
      </c>
      <c r="AP23" s="59" t="inlineStr">
        <is>
          <t>PART 2. 해충(살충제) &gt; 거세미나방류 로테이션표</t>
        </is>
      </c>
      <c r="AQ23" s="59" t="n"/>
      <c r="AR23" s="61" t="n"/>
    </row>
    <row r="24" ht="35" customHeight="1">
      <c r="A24" s="51" t="n">
        <v>23</v>
      </c>
      <c r="B24" s="52" t="inlineStr">
        <is>
          <t>추천 약제(로테이션)</t>
        </is>
      </c>
      <c r="C24" s="53" t="inlineStr">
        <is>
          <t>파프리카</t>
        </is>
      </c>
      <c r="D24" s="53" t="inlineStr">
        <is>
          <t>해충</t>
        </is>
      </c>
      <c r="E24" s="54" t="inlineStr">
        <is>
          <t>거세미나방류</t>
        </is>
      </c>
      <c r="F24" s="55" t="n">
        <v>2</v>
      </c>
      <c r="G24" s="56" t="inlineStr">
        <is>
          <t>보라충</t>
        </is>
      </c>
      <c r="H24" s="53" t="inlineStr">
        <is>
          <t>입제</t>
        </is>
      </c>
      <c r="I24" s="53" t="inlineStr">
        <is>
          <t>미보유</t>
        </is>
      </c>
      <c r="J24" s="53" t="inlineStr">
        <is>
          <t>등록 농약</t>
        </is>
      </c>
      <c r="K24" s="57" t="n"/>
      <c r="L24" s="52" t="inlineStr">
        <is>
          <t>토양처리</t>
        </is>
      </c>
      <c r="M24" s="52" t="inlineStr">
        <is>
          <t>정식기</t>
        </is>
      </c>
      <c r="N24" s="52" t="n"/>
      <c r="O24" s="58" t="n">
        <v>1</v>
      </c>
      <c r="P24" s="53" t="n"/>
      <c r="Q24" s="59" t="n"/>
      <c r="R24" s="59" t="n"/>
      <c r="S24" s="59" t="inlineStr">
        <is>
          <t>Phoxim</t>
        </is>
      </c>
      <c r="T24" s="52" t="inlineStr">
        <is>
          <t>1b</t>
        </is>
      </c>
      <c r="U24" s="59" t="inlineStr">
        <is>
          <t>거세미나방류</t>
        </is>
      </c>
      <c r="V24" s="52" t="n"/>
      <c r="W24" s="53" t="n"/>
      <c r="X24" s="53" t="n"/>
      <c r="Y24" s="52" t="n"/>
      <c r="Z24" s="52" t="n"/>
      <c r="AA24" s="59" t="n"/>
      <c r="AB24" s="59" t="n"/>
      <c r="AC24" s="52" t="n"/>
      <c r="AD24" s="52" t="n"/>
      <c r="AE24" s="52" t="n"/>
      <c r="AF24" s="60" t="n"/>
      <c r="AG24" s="61" t="n"/>
      <c r="AH24" s="61" t="n"/>
      <c r="AI24" s="61" t="n"/>
      <c r="AJ24" s="52" t="n"/>
      <c r="AK24" s="53" t="n"/>
      <c r="AL24" s="59" t="n"/>
      <c r="AM24" s="53" t="n"/>
      <c r="AN24" s="59" t="inlineStr">
        <is>
          <t>보라충 (입제)</t>
        </is>
      </c>
      <c r="AO24" s="52" t="inlineStr">
        <is>
          <t>정식기 / 1회</t>
        </is>
      </c>
      <c r="AP24" s="59" t="inlineStr">
        <is>
          <t>PART 2. 해충(살충제) &gt; 거세미나방류 로테이션표</t>
        </is>
      </c>
      <c r="AQ24" s="59" t="n"/>
      <c r="AR24" s="61" t="n"/>
    </row>
    <row r="25" ht="35" customHeight="1">
      <c r="A25" s="51" t="n">
        <v>24</v>
      </c>
      <c r="B25" s="52" t="inlineStr">
        <is>
          <t>추천 약제(로테이션)</t>
        </is>
      </c>
      <c r="C25" s="53" t="inlineStr">
        <is>
          <t>파프리카</t>
        </is>
      </c>
      <c r="D25" s="53" t="inlineStr">
        <is>
          <t>해충</t>
        </is>
      </c>
      <c r="E25" s="54" t="inlineStr">
        <is>
          <t>거세미나방류</t>
        </is>
      </c>
      <c r="F25" s="55" t="n">
        <v>3</v>
      </c>
      <c r="G25" s="56" t="inlineStr">
        <is>
          <t>싸이포스</t>
        </is>
      </c>
      <c r="H25" s="53" t="inlineStr">
        <is>
          <t>입제</t>
        </is>
      </c>
      <c r="I25" s="53" t="inlineStr">
        <is>
          <t>미보유</t>
        </is>
      </c>
      <c r="J25" s="53" t="inlineStr">
        <is>
          <t>등록 농약</t>
        </is>
      </c>
      <c r="K25" s="57" t="n"/>
      <c r="L25" s="52" t="inlineStr">
        <is>
          <t>토양처리</t>
        </is>
      </c>
      <c r="M25" s="52" t="inlineStr">
        <is>
          <t>정식기</t>
        </is>
      </c>
      <c r="N25" s="52" t="n"/>
      <c r="O25" s="58" t="n">
        <v>1</v>
      </c>
      <c r="P25" s="53" t="n"/>
      <c r="Q25" s="59" t="n"/>
      <c r="R25" s="59" t="n"/>
      <c r="S25" s="59" t="inlineStr">
        <is>
          <t>Cypermethrin+Tebupirimfos</t>
        </is>
      </c>
      <c r="T25" s="52" t="inlineStr">
        <is>
          <t>3a+1b</t>
        </is>
      </c>
      <c r="U25" s="59" t="inlineStr">
        <is>
          <t>거세미나방류</t>
        </is>
      </c>
      <c r="V25" s="52" t="n"/>
      <c r="W25" s="53" t="n"/>
      <c r="X25" s="53" t="n"/>
      <c r="Y25" s="52" t="n"/>
      <c r="Z25" s="52" t="n"/>
      <c r="AA25" s="59" t="n"/>
      <c r="AB25" s="59" t="n"/>
      <c r="AC25" s="52" t="n"/>
      <c r="AD25" s="52" t="n"/>
      <c r="AE25" s="52" t="n"/>
      <c r="AF25" s="60" t="n"/>
      <c r="AG25" s="61" t="n"/>
      <c r="AH25" s="61" t="n"/>
      <c r="AI25" s="61" t="n"/>
      <c r="AJ25" s="52" t="n"/>
      <c r="AK25" s="53" t="n"/>
      <c r="AL25" s="59" t="n"/>
      <c r="AM25" s="53" t="n"/>
      <c r="AN25" s="59" t="inlineStr">
        <is>
          <t>싸이포스 (입제)</t>
        </is>
      </c>
      <c r="AO25" s="52" t="inlineStr">
        <is>
          <t>정식기 / 1회</t>
        </is>
      </c>
      <c r="AP25" s="59" t="inlineStr">
        <is>
          <t>PART 2. 해충(살충제) &gt; 거세미나방류 로테이션표</t>
        </is>
      </c>
      <c r="AQ25" s="59" t="n"/>
      <c r="AR25" s="61" t="n"/>
    </row>
    <row r="26" ht="50" customHeight="1">
      <c r="A26" s="51" t="n">
        <v>25</v>
      </c>
      <c r="B26" s="52" t="inlineStr">
        <is>
          <t>추천 약제(로테이션)</t>
        </is>
      </c>
      <c r="C26" s="53" t="inlineStr">
        <is>
          <t>파프리카</t>
        </is>
      </c>
      <c r="D26" s="53" t="inlineStr">
        <is>
          <t>해충</t>
        </is>
      </c>
      <c r="E26" s="54" t="inlineStr">
        <is>
          <t>과실파리류</t>
        </is>
      </c>
      <c r="F26" s="55" t="n">
        <v>1</v>
      </c>
      <c r="G26" s="56" t="inlineStr">
        <is>
          <t>모스피란</t>
        </is>
      </c>
      <c r="H26" s="53" t="inlineStr">
        <is>
          <t>수화제</t>
        </is>
      </c>
      <c r="I26" s="53" t="inlineStr">
        <is>
          <t>보유</t>
        </is>
      </c>
      <c r="J26" s="53" t="inlineStr">
        <is>
          <t>등록 농약</t>
        </is>
      </c>
      <c r="K26" s="57" t="n">
        <v>2000</v>
      </c>
      <c r="L26" s="52" t="inlineStr">
        <is>
          <t>경엽처리</t>
        </is>
      </c>
      <c r="M26" s="52" t="n"/>
      <c r="N26" s="52" t="inlineStr">
        <is>
          <t>수확5일전</t>
        </is>
      </c>
      <c r="O26" s="58" t="n">
        <v>3</v>
      </c>
      <c r="P26" s="53" t="n"/>
      <c r="Q26" s="59" t="n"/>
      <c r="R26" s="59" t="inlineStr">
        <is>
          <t>혼용 가능 살균제(경농 조회): 탄쟈비상 · 벨리스플러스 · 다놀라 · 벨쿠트 · 가스란</t>
        </is>
      </c>
      <c r="S26" s="59" t="inlineStr">
        <is>
          <t>아세타미프리드 (Acetamiprid)</t>
        </is>
      </c>
      <c r="T26" s="52" t="inlineStr">
        <is>
          <t>4a</t>
        </is>
      </c>
      <c r="U26" s="59" t="inlineStr">
        <is>
          <t>과실파리류, 꽃노랑총채벌레, 담배가루이, 복숭아혹진딧물, 목화진딧물</t>
        </is>
      </c>
      <c r="V26" s="52" t="n"/>
      <c r="W26" s="53" t="n"/>
      <c r="X26" s="53" t="n"/>
      <c r="Y26" s="52" t="n"/>
      <c r="Z26" s="52" t="n"/>
      <c r="AA26" s="59" t="inlineStr">
        <is>
          <t>1순위 추천(원문): 모스피란 (아세타미프리드 (Acetamiprid)) [학교 보유 중] 2000배 희석 · 경엽처리 · 안전사용기준: 수확5일전 / 3회</t>
        </is>
      </c>
      <c r="AB26" s="59" t="n"/>
      <c r="AC26" s="52" t="n"/>
      <c r="AD26" s="52" t="n"/>
      <c r="AE26" s="52" t="n"/>
      <c r="AF26" s="60" t="n"/>
      <c r="AG26" s="61" t="n"/>
      <c r="AH26" s="61" t="n"/>
      <c r="AI26" s="61" t="n"/>
      <c r="AJ26" s="52" t="n"/>
      <c r="AK26" s="53" t="n"/>
      <c r="AL26" s="59" t="n"/>
      <c r="AM26" s="53" t="n"/>
      <c r="AN26" s="59" t="inlineStr">
        <is>
          <t>모스피란 (수화제)</t>
        </is>
      </c>
      <c r="AO26" s="52" t="inlineStr">
        <is>
          <t>수확5일전 / 3회</t>
        </is>
      </c>
      <c r="AP26" s="59" t="inlineStr">
        <is>
          <t>PART 2. 해충(살충제) &gt; 과실파리류 로테이션표</t>
        </is>
      </c>
      <c r="AQ26" s="59" t="n"/>
      <c r="AR26" s="61" t="n"/>
    </row>
    <row r="27" ht="35" customHeight="1">
      <c r="A27" s="51" t="n">
        <v>26</v>
      </c>
      <c r="B27" s="52" t="inlineStr">
        <is>
          <t>추천 약제(로테이션)</t>
        </is>
      </c>
      <c r="C27" s="53" t="inlineStr">
        <is>
          <t>파프리카</t>
        </is>
      </c>
      <c r="D27" s="53" t="inlineStr">
        <is>
          <t>해충</t>
        </is>
      </c>
      <c r="E27" s="54" t="inlineStr">
        <is>
          <t>과실파리류</t>
        </is>
      </c>
      <c r="F27" s="55" t="n">
        <v>2</v>
      </c>
      <c r="G27" s="56" t="inlineStr">
        <is>
          <t>동작그만</t>
        </is>
      </c>
      <c r="H27" s="53" t="inlineStr">
        <is>
          <t>유제</t>
        </is>
      </c>
      <c r="I27" s="53" t="inlineStr">
        <is>
          <t>보유</t>
        </is>
      </c>
      <c r="J27" s="53" t="inlineStr">
        <is>
          <t>등록 농약</t>
        </is>
      </c>
      <c r="K27" s="57" t="n">
        <v>2000</v>
      </c>
      <c r="L27" s="52" t="inlineStr">
        <is>
          <t>경엽처리</t>
        </is>
      </c>
      <c r="M27" s="52" t="n"/>
      <c r="N27" s="52" t="inlineStr">
        <is>
          <t>수확2일전</t>
        </is>
      </c>
      <c r="O27" s="58" t="n">
        <v>3</v>
      </c>
      <c r="P27" s="53" t="n"/>
      <c r="Q27" s="59" t="n"/>
      <c r="R27" s="59" t="n"/>
      <c r="S27" s="59" t="inlineStr">
        <is>
          <t>에마멕틴벤조에이트 (Emamectin benzoate)</t>
        </is>
      </c>
      <c r="T27" s="52" t="inlineStr">
        <is>
          <t>6</t>
        </is>
      </c>
      <c r="U27" s="59" t="inlineStr">
        <is>
          <t>과실파리류, 꽃노랑총채벌레, 담배가루이</t>
        </is>
      </c>
      <c r="V27" s="52" t="n"/>
      <c r="W27" s="53" t="n"/>
      <c r="X27" s="53" t="n"/>
      <c r="Y27" s="52" t="n"/>
      <c r="Z27" s="52" t="n"/>
      <c r="AA27" s="59" t="n"/>
      <c r="AB27" s="59" t="n"/>
      <c r="AC27" s="52" t="n"/>
      <c r="AD27" s="52" t="n"/>
      <c r="AE27" s="52" t="n"/>
      <c r="AF27" s="60" t="n"/>
      <c r="AG27" s="61" t="n"/>
      <c r="AH27" s="61" t="n"/>
      <c r="AI27" s="61" t="n"/>
      <c r="AJ27" s="52" t="n"/>
      <c r="AK27" s="53" t="n"/>
      <c r="AL27" s="59" t="n"/>
      <c r="AM27" s="53" t="n"/>
      <c r="AN27" s="59" t="inlineStr">
        <is>
          <t>동작그만 (유제)</t>
        </is>
      </c>
      <c r="AO27" s="52" t="inlineStr">
        <is>
          <t>수확2일전 / 3회</t>
        </is>
      </c>
      <c r="AP27" s="59" t="inlineStr">
        <is>
          <t>PART 2. 해충(살충제) &gt; 과실파리류 로테이션표</t>
        </is>
      </c>
      <c r="AQ27" s="59" t="n"/>
      <c r="AR27" s="61" t="n"/>
    </row>
    <row r="28" ht="35" customHeight="1">
      <c r="A28" s="51" t="n">
        <v>27</v>
      </c>
      <c r="B28" s="52" t="inlineStr">
        <is>
          <t>추천 약제(로테이션)</t>
        </is>
      </c>
      <c r="C28" s="53" t="inlineStr">
        <is>
          <t>파프리카</t>
        </is>
      </c>
      <c r="D28" s="53" t="inlineStr">
        <is>
          <t>해충</t>
        </is>
      </c>
      <c r="E28" s="54" t="inlineStr">
        <is>
          <t>과실파리류</t>
        </is>
      </c>
      <c r="F28" s="55" t="n">
        <v>3</v>
      </c>
      <c r="G28" s="56" t="inlineStr">
        <is>
          <t>델리게이트</t>
        </is>
      </c>
      <c r="H28" s="53" t="inlineStr">
        <is>
          <t>입상수화제</t>
        </is>
      </c>
      <c r="I28" s="53" t="inlineStr">
        <is>
          <t>보유</t>
        </is>
      </c>
      <c r="J28" s="53" t="inlineStr">
        <is>
          <t>등록 농약</t>
        </is>
      </c>
      <c r="K28" s="57" t="n">
        <v>2000</v>
      </c>
      <c r="L28" s="52" t="inlineStr">
        <is>
          <t>경엽처리</t>
        </is>
      </c>
      <c r="M28" s="52" t="n"/>
      <c r="N28" s="52" t="inlineStr">
        <is>
          <t>수확2일전</t>
        </is>
      </c>
      <c r="O28" s="58" t="n">
        <v>3</v>
      </c>
      <c r="P28" s="53" t="n"/>
      <c r="Q28" s="59" t="n"/>
      <c r="R28" s="59" t="n"/>
      <c r="S28" s="59" t="inlineStr">
        <is>
          <t>스피네토람 (Spinetoram)</t>
        </is>
      </c>
      <c r="T28" s="52" t="inlineStr">
        <is>
          <t>5</t>
        </is>
      </c>
      <c r="U28" s="59" t="inlineStr">
        <is>
          <t>과실파리류, 꽃노랑총채벌레</t>
        </is>
      </c>
      <c r="V28" s="52" t="n"/>
      <c r="W28" s="53" t="n"/>
      <c r="X28" s="53" t="n"/>
      <c r="Y28" s="52" t="n"/>
      <c r="Z28" s="52" t="n"/>
      <c r="AA28" s="59" t="n"/>
      <c r="AB28" s="59" t="n"/>
      <c r="AC28" s="52" t="n"/>
      <c r="AD28" s="52" t="n"/>
      <c r="AE28" s="52" t="n"/>
      <c r="AF28" s="60" t="n"/>
      <c r="AG28" s="61" t="n"/>
      <c r="AH28" s="61" t="n"/>
      <c r="AI28" s="61" t="n"/>
      <c r="AJ28" s="52" t="n"/>
      <c r="AK28" s="53" t="n"/>
      <c r="AL28" s="59" t="n"/>
      <c r="AM28" s="53" t="n"/>
      <c r="AN28" s="59" t="inlineStr">
        <is>
          <t>델리게이트 (입상수화제)</t>
        </is>
      </c>
      <c r="AO28" s="52" t="inlineStr">
        <is>
          <t>수확2일전 / 3회</t>
        </is>
      </c>
      <c r="AP28" s="59" t="inlineStr">
        <is>
          <t>PART 2. 해충(살충제) &gt; 과실파리류 로테이션표</t>
        </is>
      </c>
      <c r="AQ28" s="59" t="n"/>
      <c r="AR28" s="61" t="n"/>
    </row>
    <row r="29" ht="35" customHeight="1">
      <c r="A29" s="51" t="n">
        <v>28</v>
      </c>
      <c r="B29" s="52" t="inlineStr">
        <is>
          <t>추천 약제(로테이션)</t>
        </is>
      </c>
      <c r="C29" s="53" t="inlineStr">
        <is>
          <t>파프리카</t>
        </is>
      </c>
      <c r="D29" s="53" t="inlineStr">
        <is>
          <t>해충</t>
        </is>
      </c>
      <c r="E29" s="54" t="inlineStr">
        <is>
          <t>과실파리류</t>
        </is>
      </c>
      <c r="F29" s="55" t="n">
        <v>4</v>
      </c>
      <c r="G29" s="56" t="inlineStr">
        <is>
          <t>뉴증원군</t>
        </is>
      </c>
      <c r="H29" s="53" t="inlineStr">
        <is>
          <t>유제</t>
        </is>
      </c>
      <c r="I29" s="53" t="inlineStr">
        <is>
          <t>보유</t>
        </is>
      </c>
      <c r="J29" s="53" t="inlineStr">
        <is>
          <t>등록 농약</t>
        </is>
      </c>
      <c r="K29" s="57" t="n"/>
      <c r="L29" s="52" t="n"/>
      <c r="M29" s="52" t="n"/>
      <c r="N29" s="52" t="n"/>
      <c r="O29" s="58" t="n"/>
      <c r="P29" s="53" t="n"/>
      <c r="Q29" s="59" t="inlineStr">
        <is>
          <t>원본에 희석배수·사용방법·안전사용기준 미기재</t>
        </is>
      </c>
      <c r="R29" s="59" t="n"/>
      <c r="S29" s="59" t="inlineStr">
        <is>
          <t>비펜트린 (Bifenthrin)</t>
        </is>
      </c>
      <c r="T29" s="52" t="inlineStr">
        <is>
          <t>3a</t>
        </is>
      </c>
      <c r="U29" s="59" t="inlineStr">
        <is>
          <t>과실파리류</t>
        </is>
      </c>
      <c r="V29" s="52" t="n"/>
      <c r="W29" s="53" t="n"/>
      <c r="X29" s="53" t="n"/>
      <c r="Y29" s="52" t="n"/>
      <c r="Z29" s="52" t="n"/>
      <c r="AA29" s="59" t="n"/>
      <c r="AB29" s="59" t="n"/>
      <c r="AC29" s="52" t="n"/>
      <c r="AD29" s="52" t="n"/>
      <c r="AE29" s="52" t="n"/>
      <c r="AF29" s="60" t="n"/>
      <c r="AG29" s="61" t="n"/>
      <c r="AH29" s="61" t="n"/>
      <c r="AI29" s="61" t="n"/>
      <c r="AJ29" s="52" t="n"/>
      <c r="AK29" s="53" t="n"/>
      <c r="AL29" s="59" t="n"/>
      <c r="AM29" s="53" t="n"/>
      <c r="AN29" s="59" t="inlineStr">
        <is>
          <t>뉴증원군 (유제)</t>
        </is>
      </c>
      <c r="AO29" s="52" t="inlineStr">
        <is>
          <t>-</t>
        </is>
      </c>
      <c r="AP29" s="59" t="inlineStr">
        <is>
          <t>PART 2. 해충(살충제) &gt; 과실파리류 로테이션표</t>
        </is>
      </c>
      <c r="AQ29" s="59" t="n"/>
      <c r="AR29" s="61" t="n"/>
    </row>
    <row r="30" ht="50" customHeight="1">
      <c r="A30" s="51" t="n">
        <v>29</v>
      </c>
      <c r="B30" s="52" t="inlineStr">
        <is>
          <t>추천 약제(로테이션)</t>
        </is>
      </c>
      <c r="C30" s="53" t="inlineStr">
        <is>
          <t>파프리카</t>
        </is>
      </c>
      <c r="D30" s="53" t="inlineStr">
        <is>
          <t>해충</t>
        </is>
      </c>
      <c r="E30" s="54" t="inlineStr">
        <is>
          <t>꽃노랑총채벌레</t>
        </is>
      </c>
      <c r="F30" s="55" t="n">
        <v>1</v>
      </c>
      <c r="G30" s="56" t="inlineStr">
        <is>
          <t>모스피란</t>
        </is>
      </c>
      <c r="H30" s="53" t="inlineStr">
        <is>
          <t>수화제</t>
        </is>
      </c>
      <c r="I30" s="53" t="inlineStr">
        <is>
          <t>보유</t>
        </is>
      </c>
      <c r="J30" s="53" t="inlineStr">
        <is>
          <t>등록 농약</t>
        </is>
      </c>
      <c r="K30" s="57" t="n">
        <v>2000</v>
      </c>
      <c r="L30" s="52" t="inlineStr">
        <is>
          <t>경엽처리</t>
        </is>
      </c>
      <c r="M30" s="52" t="n"/>
      <c r="N30" s="52" t="inlineStr">
        <is>
          <t>수확5일전</t>
        </is>
      </c>
      <c r="O30" s="58" t="n">
        <v>3</v>
      </c>
      <c r="P30" s="53" t="n"/>
      <c r="Q30" s="59" t="n"/>
      <c r="R30" s="59" t="inlineStr">
        <is>
          <t>혼용 가능 살균제(경농 조회): 탄쟈비상 · 벨리스플러스 · 다놀라 · 벨쿠트 · 가스란</t>
        </is>
      </c>
      <c r="S30" s="59" t="inlineStr">
        <is>
          <t>아세타미프리드 (Acetamiprid)</t>
        </is>
      </c>
      <c r="T30" s="52" t="inlineStr">
        <is>
          <t>4a</t>
        </is>
      </c>
      <c r="U30" s="59" t="inlineStr">
        <is>
          <t>과실파리류, 꽃노랑총채벌레, 담배가루이, 복숭아혹진딧물</t>
        </is>
      </c>
      <c r="V30" s="52" t="n"/>
      <c r="W30" s="53" t="n"/>
      <c r="X30" s="53" t="n"/>
      <c r="Y30" s="52" t="n"/>
      <c r="Z30" s="52" t="n"/>
      <c r="AA30" s="59" t="inlineStr">
        <is>
          <t>1순위 추천(원문): 모스피란 (아세타미프리드 (Acetamiprid)) [학교 보유 중] 2000배 희석 · 경엽처리 · 안전사용기준: 수확5일전 / 3회</t>
        </is>
      </c>
      <c r="AB30" s="59" t="n"/>
      <c r="AC30" s="52" t="n"/>
      <c r="AD30" s="52" t="n"/>
      <c r="AE30" s="52" t="n"/>
      <c r="AF30" s="60" t="n"/>
      <c r="AG30" s="61" t="n"/>
      <c r="AH30" s="61" t="n"/>
      <c r="AI30" s="61" t="n"/>
      <c r="AJ30" s="52" t="n"/>
      <c r="AK30" s="53" t="n"/>
      <c r="AL30" s="59" t="n"/>
      <c r="AM30" s="53" t="n"/>
      <c r="AN30" s="59" t="inlineStr">
        <is>
          <t>모스피란 (수화제)</t>
        </is>
      </c>
      <c r="AO30" s="52" t="inlineStr">
        <is>
          <t>수확5일전 / 3회</t>
        </is>
      </c>
      <c r="AP30" s="59" t="inlineStr">
        <is>
          <t>PART 2. 해충(살충제) &gt; 꽃노랑총채벌레 로테이션표</t>
        </is>
      </c>
      <c r="AQ30" s="59" t="n"/>
      <c r="AR30" s="61" t="n"/>
    </row>
    <row r="31" ht="35" customHeight="1">
      <c r="A31" s="51" t="n">
        <v>30</v>
      </c>
      <c r="B31" s="52" t="inlineStr">
        <is>
          <t>추천 약제(로테이션)</t>
        </is>
      </c>
      <c r="C31" s="53" t="inlineStr">
        <is>
          <t>파프리카</t>
        </is>
      </c>
      <c r="D31" s="53" t="inlineStr">
        <is>
          <t>해충</t>
        </is>
      </c>
      <c r="E31" s="54" t="inlineStr">
        <is>
          <t>꽃노랑총채벌레</t>
        </is>
      </c>
      <c r="F31" s="55" t="n">
        <v>2</v>
      </c>
      <c r="G31" s="56" t="inlineStr">
        <is>
          <t>동작그만</t>
        </is>
      </c>
      <c r="H31" s="53" t="inlineStr">
        <is>
          <t>유제</t>
        </is>
      </c>
      <c r="I31" s="53" t="inlineStr">
        <is>
          <t>보유</t>
        </is>
      </c>
      <c r="J31" s="53" t="inlineStr">
        <is>
          <t>등록 농약</t>
        </is>
      </c>
      <c r="K31" s="57" t="n">
        <v>2000</v>
      </c>
      <c r="L31" s="52" t="inlineStr">
        <is>
          <t>경엽처리</t>
        </is>
      </c>
      <c r="M31" s="52" t="n"/>
      <c r="N31" s="52" t="inlineStr">
        <is>
          <t>수확2일전</t>
        </is>
      </c>
      <c r="O31" s="58" t="n">
        <v>3</v>
      </c>
      <c r="P31" s="53" t="n"/>
      <c r="Q31" s="59" t="n"/>
      <c r="R31" s="59" t="n"/>
      <c r="S31" s="59" t="inlineStr">
        <is>
          <t>에마멕틴벤조에이트 (Emamectin benzoate)</t>
        </is>
      </c>
      <c r="T31" s="52" t="inlineStr">
        <is>
          <t>6</t>
        </is>
      </c>
      <c r="U31" s="59" t="inlineStr">
        <is>
          <t>과실파리류, 꽃노랑총채벌레, 담배가루이</t>
        </is>
      </c>
      <c r="V31" s="52" t="n"/>
      <c r="W31" s="53" t="n"/>
      <c r="X31" s="53" t="n"/>
      <c r="Y31" s="52" t="n"/>
      <c r="Z31" s="52" t="n"/>
      <c r="AA31" s="59" t="n"/>
      <c r="AB31" s="59" t="n"/>
      <c r="AC31" s="52" t="n"/>
      <c r="AD31" s="52" t="n"/>
      <c r="AE31" s="52" t="n"/>
      <c r="AF31" s="60" t="n"/>
      <c r="AG31" s="61" t="n"/>
      <c r="AH31" s="61" t="n"/>
      <c r="AI31" s="61" t="n"/>
      <c r="AJ31" s="52" t="n"/>
      <c r="AK31" s="53" t="n"/>
      <c r="AL31" s="59" t="n"/>
      <c r="AM31" s="53" t="n"/>
      <c r="AN31" s="59" t="inlineStr">
        <is>
          <t>동작그만 (유제)</t>
        </is>
      </c>
      <c r="AO31" s="52" t="inlineStr">
        <is>
          <t>수확2일전 / 3회</t>
        </is>
      </c>
      <c r="AP31" s="59" t="inlineStr">
        <is>
          <t>PART 2. 해충(살충제) &gt; 꽃노랑총채벌레 로테이션표</t>
        </is>
      </c>
      <c r="AQ31" s="59" t="n"/>
      <c r="AR31" s="61" t="n"/>
    </row>
    <row r="32" ht="35" customHeight="1">
      <c r="A32" s="51" t="n">
        <v>31</v>
      </c>
      <c r="B32" s="52" t="inlineStr">
        <is>
          <t>추천 약제(로테이션)</t>
        </is>
      </c>
      <c r="C32" s="53" t="inlineStr">
        <is>
          <t>파프리카</t>
        </is>
      </c>
      <c r="D32" s="53" t="inlineStr">
        <is>
          <t>해충</t>
        </is>
      </c>
      <c r="E32" s="54" t="inlineStr">
        <is>
          <t>꽃노랑총채벌레</t>
        </is>
      </c>
      <c r="F32" s="55" t="n">
        <v>3</v>
      </c>
      <c r="G32" s="56" t="inlineStr">
        <is>
          <t>디져스</t>
        </is>
      </c>
      <c r="H32" s="53" t="inlineStr">
        <is>
          <t>유제</t>
        </is>
      </c>
      <c r="I32" s="53" t="inlineStr">
        <is>
          <t>보유</t>
        </is>
      </c>
      <c r="J32" s="53" t="inlineStr">
        <is>
          <t>등록 농약</t>
        </is>
      </c>
      <c r="K32" s="57" t="n">
        <v>1000</v>
      </c>
      <c r="L32" s="52" t="inlineStr">
        <is>
          <t>경엽처리</t>
        </is>
      </c>
      <c r="M32" s="52" t="n"/>
      <c r="N32" s="52" t="inlineStr">
        <is>
          <t>수확2일전</t>
        </is>
      </c>
      <c r="O32" s="58" t="n">
        <v>2</v>
      </c>
      <c r="P32" s="53" t="n"/>
      <c r="Q32" s="59" t="n"/>
      <c r="R32" s="59" t="n"/>
      <c r="S32" s="59" t="inlineStr">
        <is>
          <t>Fluxametamide+Pyrifluquinazon</t>
        </is>
      </c>
      <c r="T32" s="52" t="inlineStr">
        <is>
          <t>30+9b</t>
        </is>
      </c>
      <c r="U32" s="59" t="inlineStr">
        <is>
          <t>꽃노랑총채벌레, 담배가루이, 복숭아혹진딧물</t>
        </is>
      </c>
      <c r="V32" s="52" t="n"/>
      <c r="W32" s="53" t="n"/>
      <c r="X32" s="53" t="n"/>
      <c r="Y32" s="52" t="n"/>
      <c r="Z32" s="52" t="n"/>
      <c r="AA32" s="59" t="n"/>
      <c r="AB32" s="59" t="n"/>
      <c r="AC32" s="52" t="n"/>
      <c r="AD32" s="52" t="n"/>
      <c r="AE32" s="52" t="n"/>
      <c r="AF32" s="60" t="n"/>
      <c r="AG32" s="61" t="n"/>
      <c r="AH32" s="61" t="n"/>
      <c r="AI32" s="61" t="n"/>
      <c r="AJ32" s="52" t="n"/>
      <c r="AK32" s="53" t="n"/>
      <c r="AL32" s="59" t="n"/>
      <c r="AM32" s="53" t="n"/>
      <c r="AN32" s="59" t="inlineStr">
        <is>
          <t>디져스 (유제)</t>
        </is>
      </c>
      <c r="AO32" s="52" t="inlineStr">
        <is>
          <t>수확2일전 / 2회</t>
        </is>
      </c>
      <c r="AP32" s="59" t="inlineStr">
        <is>
          <t>PART 2. 해충(살충제) &gt; 꽃노랑총채벌레 로테이션표</t>
        </is>
      </c>
      <c r="AQ32" s="59" t="n"/>
      <c r="AR32" s="61" t="n"/>
    </row>
    <row r="33" ht="35" customHeight="1">
      <c r="A33" s="51" t="n">
        <v>32</v>
      </c>
      <c r="B33" s="52" t="inlineStr">
        <is>
          <t>추천 약제(로테이션)</t>
        </is>
      </c>
      <c r="C33" s="53" t="inlineStr">
        <is>
          <t>파프리카</t>
        </is>
      </c>
      <c r="D33" s="53" t="inlineStr">
        <is>
          <t>해충</t>
        </is>
      </c>
      <c r="E33" s="54" t="inlineStr">
        <is>
          <t>꽃노랑총채벌레</t>
        </is>
      </c>
      <c r="F33" s="55" t="n">
        <v>4</v>
      </c>
      <c r="G33" s="56" t="inlineStr">
        <is>
          <t>강철비</t>
        </is>
      </c>
      <c r="H33" s="53" t="inlineStr">
        <is>
          <t>액상수화제</t>
        </is>
      </c>
      <c r="I33" s="53" t="inlineStr">
        <is>
          <t>보유</t>
        </is>
      </c>
      <c r="J33" s="53" t="inlineStr">
        <is>
          <t>등록 농약</t>
        </is>
      </c>
      <c r="K33" s="57" t="n">
        <v>2000</v>
      </c>
      <c r="L33" s="52" t="inlineStr">
        <is>
          <t>경엽처리</t>
        </is>
      </c>
      <c r="M33" s="52" t="n"/>
      <c r="N33" s="52" t="inlineStr">
        <is>
          <t>수확2일전</t>
        </is>
      </c>
      <c r="O33" s="58" t="n">
        <v>2</v>
      </c>
      <c r="P33" s="53" t="n"/>
      <c r="Q33" s="59" t="n"/>
      <c r="R33" s="59" t="inlineStr">
        <is>
          <t>혼용정보 미확인 — 사용 전 제조사(인바이오 031-477-6011) 확인</t>
        </is>
      </c>
      <c r="S33" s="59" t="inlineStr">
        <is>
          <t>Chlorantraniliprole+Emamectin benzoate</t>
        </is>
      </c>
      <c r="T33" s="52" t="inlineStr">
        <is>
          <t>28+6</t>
        </is>
      </c>
      <c r="U33" s="59" t="inlineStr">
        <is>
          <t>꽃노랑총채벌레, 차먼지응애</t>
        </is>
      </c>
      <c r="V33" s="52" t="n"/>
      <c r="W33" s="53" t="n"/>
      <c r="X33" s="53" t="n"/>
      <c r="Y33" s="52" t="n"/>
      <c r="Z33" s="52" t="n"/>
      <c r="AA33" s="59" t="n"/>
      <c r="AB33" s="59" t="n"/>
      <c r="AC33" s="52" t="n"/>
      <c r="AD33" s="52" t="n"/>
      <c r="AE33" s="52" t="n"/>
      <c r="AF33" s="60" t="n"/>
      <c r="AG33" s="61" t="n"/>
      <c r="AH33" s="61" t="n"/>
      <c r="AI33" s="61" t="n"/>
      <c r="AJ33" s="52" t="n"/>
      <c r="AK33" s="53" t="n"/>
      <c r="AL33" s="59" t="n"/>
      <c r="AM33" s="53" t="n"/>
      <c r="AN33" s="59" t="inlineStr">
        <is>
          <t>강철비 (액상수화제)</t>
        </is>
      </c>
      <c r="AO33" s="52" t="inlineStr">
        <is>
          <t>수확2일전 / 2회</t>
        </is>
      </c>
      <c r="AP33" s="59" t="inlineStr">
        <is>
          <t>PART 2. 해충(살충제) &gt; 꽃노랑총채벌레 로테이션표</t>
        </is>
      </c>
      <c r="AQ33" s="59" t="n"/>
      <c r="AR33" s="61" t="n"/>
    </row>
    <row r="34" ht="50" customHeight="1">
      <c r="A34" s="51" t="n">
        <v>33</v>
      </c>
      <c r="B34" s="52" t="inlineStr">
        <is>
          <t>추천 약제(로테이션)</t>
        </is>
      </c>
      <c r="C34" s="53" t="inlineStr">
        <is>
          <t>파프리카</t>
        </is>
      </c>
      <c r="D34" s="53" t="inlineStr">
        <is>
          <t>해충</t>
        </is>
      </c>
      <c r="E34" s="54" t="inlineStr">
        <is>
          <t>담배가루이</t>
        </is>
      </c>
      <c r="F34" s="55" t="n">
        <v>1</v>
      </c>
      <c r="G34" s="56" t="inlineStr">
        <is>
          <t>모스피란</t>
        </is>
      </c>
      <c r="H34" s="53" t="inlineStr">
        <is>
          <t>수화제</t>
        </is>
      </c>
      <c r="I34" s="53" t="inlineStr">
        <is>
          <t>보유</t>
        </is>
      </c>
      <c r="J34" s="53" t="inlineStr">
        <is>
          <t>등록 농약</t>
        </is>
      </c>
      <c r="K34" s="57" t="n">
        <v>2000</v>
      </c>
      <c r="L34" s="52" t="inlineStr">
        <is>
          <t>경엽처리</t>
        </is>
      </c>
      <c r="M34" s="52" t="n"/>
      <c r="N34" s="52" t="inlineStr">
        <is>
          <t>수확5일전</t>
        </is>
      </c>
      <c r="O34" s="58" t="n">
        <v>3</v>
      </c>
      <c r="P34" s="53" t="n"/>
      <c r="Q34" s="59" t="n"/>
      <c r="R34" s="59" t="inlineStr">
        <is>
          <t>혼용 가능 살균제(경농 조회): 탄쟈비상 · 벨리스플러스 · 다놀라 · 벨쿠트 · 가스란</t>
        </is>
      </c>
      <c r="S34" s="59" t="inlineStr">
        <is>
          <t>아세타미프리드 (Acetamiprid)</t>
        </is>
      </c>
      <c r="T34" s="52" t="inlineStr">
        <is>
          <t>4a</t>
        </is>
      </c>
      <c r="U34" s="59" t="inlineStr">
        <is>
          <t>과실파리류, 꽃노랑총채벌레, 담배가루이, 복숭아혹진딧물</t>
        </is>
      </c>
      <c r="V34" s="52" t="n"/>
      <c r="W34" s="53" t="n"/>
      <c r="X34" s="53" t="n"/>
      <c r="Y34" s="52" t="n"/>
      <c r="Z34" s="52" t="n"/>
      <c r="AA34" s="59" t="inlineStr">
        <is>
          <t>1순위 추천(원문): 모스피란 (아세타미프리드 (Acetamiprid)) [학교 보유 중] 2000배 희석 · 경엽처리 · 안전사용기준: 수확5일전 / 3회</t>
        </is>
      </c>
      <c r="AB34" s="59" t="n"/>
      <c r="AC34" s="52" t="n"/>
      <c r="AD34" s="52" t="n"/>
      <c r="AE34" s="52" t="n"/>
      <c r="AF34" s="60" t="n"/>
      <c r="AG34" s="61" t="n"/>
      <c r="AH34" s="61" t="n"/>
      <c r="AI34" s="61" t="n"/>
      <c r="AJ34" s="52" t="n"/>
      <c r="AK34" s="53" t="n"/>
      <c r="AL34" s="59" t="n"/>
      <c r="AM34" s="53" t="n"/>
      <c r="AN34" s="59" t="inlineStr">
        <is>
          <t>모스피란 (수화제)</t>
        </is>
      </c>
      <c r="AO34" s="52" t="inlineStr">
        <is>
          <t>수확5일전 / 3회</t>
        </is>
      </c>
      <c r="AP34" s="59" t="inlineStr">
        <is>
          <t>PART 2. 해충(살충제) &gt; 담배가루이 로테이션표</t>
        </is>
      </c>
      <c r="AQ34" s="59" t="n"/>
      <c r="AR34" s="61" t="n"/>
    </row>
    <row r="35" ht="35" customHeight="1">
      <c r="A35" s="51" t="n">
        <v>34</v>
      </c>
      <c r="B35" s="52" t="inlineStr">
        <is>
          <t>추천 약제(로테이션)</t>
        </is>
      </c>
      <c r="C35" s="53" t="inlineStr">
        <is>
          <t>파프리카</t>
        </is>
      </c>
      <c r="D35" s="53" t="inlineStr">
        <is>
          <t>해충</t>
        </is>
      </c>
      <c r="E35" s="54" t="inlineStr">
        <is>
          <t>담배가루이</t>
        </is>
      </c>
      <c r="F35" s="55" t="n">
        <v>2</v>
      </c>
      <c r="G35" s="56" t="inlineStr">
        <is>
          <t>동작그만</t>
        </is>
      </c>
      <c r="H35" s="53" t="inlineStr">
        <is>
          <t>유제</t>
        </is>
      </c>
      <c r="I35" s="53" t="inlineStr">
        <is>
          <t>보유</t>
        </is>
      </c>
      <c r="J35" s="53" t="inlineStr">
        <is>
          <t>등록 농약</t>
        </is>
      </c>
      <c r="K35" s="57" t="n">
        <v>2000</v>
      </c>
      <c r="L35" s="52" t="inlineStr">
        <is>
          <t>경엽처리</t>
        </is>
      </c>
      <c r="M35" s="52" t="n"/>
      <c r="N35" s="52" t="inlineStr">
        <is>
          <t>수확2일전</t>
        </is>
      </c>
      <c r="O35" s="58" t="n">
        <v>3</v>
      </c>
      <c r="P35" s="53" t="n"/>
      <c r="Q35" s="59" t="n"/>
      <c r="R35" s="59" t="n"/>
      <c r="S35" s="59" t="inlineStr">
        <is>
          <t>에마멕틴벤조에이트 (Emamectin benzoate)</t>
        </is>
      </c>
      <c r="T35" s="52" t="inlineStr">
        <is>
          <t>6</t>
        </is>
      </c>
      <c r="U35" s="59" t="inlineStr">
        <is>
          <t>과실파리류, 꽃노랑총채벌레, 담배가루이</t>
        </is>
      </c>
      <c r="V35" s="52" t="n"/>
      <c r="W35" s="53" t="n"/>
      <c r="X35" s="53" t="n"/>
      <c r="Y35" s="52" t="n"/>
      <c r="Z35" s="52" t="n"/>
      <c r="AA35" s="59" t="n"/>
      <c r="AB35" s="59" t="n"/>
      <c r="AC35" s="52" t="n"/>
      <c r="AD35" s="52" t="n"/>
      <c r="AE35" s="52" t="n"/>
      <c r="AF35" s="60" t="n"/>
      <c r="AG35" s="61" t="n"/>
      <c r="AH35" s="61" t="n"/>
      <c r="AI35" s="61" t="n"/>
      <c r="AJ35" s="52" t="n"/>
      <c r="AK35" s="53" t="n"/>
      <c r="AL35" s="59" t="n"/>
      <c r="AM35" s="53" t="n"/>
      <c r="AN35" s="59" t="inlineStr">
        <is>
          <t>동작그만 (유제)</t>
        </is>
      </c>
      <c r="AO35" s="52" t="inlineStr">
        <is>
          <t>수확2일전 / 3회</t>
        </is>
      </c>
      <c r="AP35" s="59" t="inlineStr">
        <is>
          <t>PART 2. 해충(살충제) &gt; 담배가루이 로테이션표</t>
        </is>
      </c>
      <c r="AQ35" s="59" t="n"/>
      <c r="AR35" s="61" t="n"/>
    </row>
    <row r="36" ht="35" customHeight="1">
      <c r="A36" s="51" t="n">
        <v>35</v>
      </c>
      <c r="B36" s="52" t="inlineStr">
        <is>
          <t>추천 약제(로테이션)</t>
        </is>
      </c>
      <c r="C36" s="53" t="inlineStr">
        <is>
          <t>파프리카</t>
        </is>
      </c>
      <c r="D36" s="53" t="inlineStr">
        <is>
          <t>해충</t>
        </is>
      </c>
      <c r="E36" s="54" t="inlineStr">
        <is>
          <t>담배가루이</t>
        </is>
      </c>
      <c r="F36" s="55" t="n">
        <v>3</v>
      </c>
      <c r="G36" s="56" t="inlineStr">
        <is>
          <t>디져스</t>
        </is>
      </c>
      <c r="H36" s="53" t="inlineStr">
        <is>
          <t>유제</t>
        </is>
      </c>
      <c r="I36" s="53" t="inlineStr">
        <is>
          <t>보유</t>
        </is>
      </c>
      <c r="J36" s="53" t="inlineStr">
        <is>
          <t>등록 농약</t>
        </is>
      </c>
      <c r="K36" s="57" t="n">
        <v>1000</v>
      </c>
      <c r="L36" s="52" t="inlineStr">
        <is>
          <t>경엽처리</t>
        </is>
      </c>
      <c r="M36" s="52" t="n"/>
      <c r="N36" s="52" t="inlineStr">
        <is>
          <t>수확2일전</t>
        </is>
      </c>
      <c r="O36" s="58" t="n">
        <v>2</v>
      </c>
      <c r="P36" s="53" t="n"/>
      <c r="Q36" s="59" t="n"/>
      <c r="R36" s="59" t="n"/>
      <c r="S36" s="59" t="inlineStr">
        <is>
          <t>Fluxametamide+Pyrifluquinazon</t>
        </is>
      </c>
      <c r="T36" s="52" t="inlineStr">
        <is>
          <t>30+9b</t>
        </is>
      </c>
      <c r="U36" s="59" t="inlineStr">
        <is>
          <t>꽃노랑총채벌레, 담배가루이, 복숭아혹진딧물</t>
        </is>
      </c>
      <c r="V36" s="52" t="n"/>
      <c r="W36" s="53" t="n"/>
      <c r="X36" s="53" t="n"/>
      <c r="Y36" s="52" t="n"/>
      <c r="Z36" s="52" t="n"/>
      <c r="AA36" s="59" t="n"/>
      <c r="AB36" s="59" t="n"/>
      <c r="AC36" s="52" t="n"/>
      <c r="AD36" s="52" t="n"/>
      <c r="AE36" s="52" t="n"/>
      <c r="AF36" s="60" t="n"/>
      <c r="AG36" s="61" t="n"/>
      <c r="AH36" s="61" t="n"/>
      <c r="AI36" s="61" t="n"/>
      <c r="AJ36" s="52" t="n"/>
      <c r="AK36" s="53" t="n"/>
      <c r="AL36" s="59" t="n"/>
      <c r="AM36" s="53" t="n"/>
      <c r="AN36" s="59" t="inlineStr">
        <is>
          <t>디져스 (유제)</t>
        </is>
      </c>
      <c r="AO36" s="52" t="inlineStr">
        <is>
          <t>수확2일전 / 2회</t>
        </is>
      </c>
      <c r="AP36" s="59" t="inlineStr">
        <is>
          <t>PART 2. 해충(살충제) &gt; 담배가루이 로테이션표</t>
        </is>
      </c>
      <c r="AQ36" s="59" t="n"/>
      <c r="AR36" s="61" t="n"/>
    </row>
    <row r="37" ht="35" customHeight="1">
      <c r="A37" s="51" t="n">
        <v>36</v>
      </c>
      <c r="B37" s="52" t="inlineStr">
        <is>
          <t>추천 약제(로테이션)</t>
        </is>
      </c>
      <c r="C37" s="53" t="inlineStr">
        <is>
          <t>파프리카</t>
        </is>
      </c>
      <c r="D37" s="53" t="inlineStr">
        <is>
          <t>해충</t>
        </is>
      </c>
      <c r="E37" s="54" t="inlineStr">
        <is>
          <t>담배가루이</t>
        </is>
      </c>
      <c r="F37" s="55" t="n">
        <v>4</v>
      </c>
      <c r="G37" s="56" t="inlineStr">
        <is>
          <t>산마루</t>
        </is>
      </c>
      <c r="H37" s="53" t="inlineStr">
        <is>
          <t>수화제</t>
        </is>
      </c>
      <c r="I37" s="53" t="inlineStr">
        <is>
          <t>보유</t>
        </is>
      </c>
      <c r="J37" s="53" t="inlineStr">
        <is>
          <t>등록 농약</t>
        </is>
      </c>
      <c r="K37" s="57" t="n">
        <v>1000</v>
      </c>
      <c r="L37" s="52" t="inlineStr">
        <is>
          <t>경엽처리</t>
        </is>
      </c>
      <c r="M37" s="52" t="n"/>
      <c r="N37" s="52" t="inlineStr">
        <is>
          <t>수확3일전</t>
        </is>
      </c>
      <c r="O37" s="58" t="n">
        <v>2</v>
      </c>
      <c r="P37" s="53" t="n"/>
      <c r="Q37" s="59" t="n"/>
      <c r="R37" s="59" t="n"/>
      <c r="S37" s="59" t="inlineStr">
        <is>
          <t>Pyridaben</t>
        </is>
      </c>
      <c r="T37" s="52" t="inlineStr">
        <is>
          <t>21a</t>
        </is>
      </c>
      <c r="U37" s="59" t="inlineStr">
        <is>
          <t>담배가루이, 차먼지응애</t>
        </is>
      </c>
      <c r="V37" s="52" t="n"/>
      <c r="W37" s="53" t="n"/>
      <c r="X37" s="53" t="n"/>
      <c r="Y37" s="52" t="n"/>
      <c r="Z37" s="52" t="n"/>
      <c r="AA37" s="59" t="n"/>
      <c r="AB37" s="59" t="n"/>
      <c r="AC37" s="52" t="n"/>
      <c r="AD37" s="52" t="n"/>
      <c r="AE37" s="52" t="n"/>
      <c r="AF37" s="60" t="n"/>
      <c r="AG37" s="61" t="n"/>
      <c r="AH37" s="61" t="n"/>
      <c r="AI37" s="61" t="n"/>
      <c r="AJ37" s="52" t="n"/>
      <c r="AK37" s="53" t="n"/>
      <c r="AL37" s="59" t="n"/>
      <c r="AM37" s="53" t="n"/>
      <c r="AN37" s="59" t="inlineStr">
        <is>
          <t>산마루 (수화제)</t>
        </is>
      </c>
      <c r="AO37" s="52" t="inlineStr">
        <is>
          <t>수확3일전 / 2회</t>
        </is>
      </c>
      <c r="AP37" s="59" t="inlineStr">
        <is>
          <t>PART 2. 해충(살충제) &gt; 담배가루이 로테이션표</t>
        </is>
      </c>
      <c r="AQ37" s="59" t="n"/>
      <c r="AR37" s="61" t="n"/>
    </row>
    <row r="38" ht="50" customHeight="1">
      <c r="A38" s="51" t="n">
        <v>37</v>
      </c>
      <c r="B38" s="52" t="inlineStr">
        <is>
          <t>추천 약제(로테이션)</t>
        </is>
      </c>
      <c r="C38" s="53" t="inlineStr">
        <is>
          <t>파프리카</t>
        </is>
      </c>
      <c r="D38" s="53" t="inlineStr">
        <is>
          <t>해충</t>
        </is>
      </c>
      <c r="E38" s="54" t="inlineStr">
        <is>
          <t>복숭아혹진딧물</t>
        </is>
      </c>
      <c r="F38" s="55" t="n">
        <v>1</v>
      </c>
      <c r="G38" s="56" t="inlineStr">
        <is>
          <t>모스피란</t>
        </is>
      </c>
      <c r="H38" s="53" t="inlineStr">
        <is>
          <t>수화제</t>
        </is>
      </c>
      <c r="I38" s="53" t="inlineStr">
        <is>
          <t>보유</t>
        </is>
      </c>
      <c r="J38" s="53" t="inlineStr">
        <is>
          <t>등록 농약</t>
        </is>
      </c>
      <c r="K38" s="57" t="n">
        <v>2000</v>
      </c>
      <c r="L38" s="52" t="inlineStr">
        <is>
          <t>경엽처리</t>
        </is>
      </c>
      <c r="M38" s="52" t="n"/>
      <c r="N38" s="52" t="inlineStr">
        <is>
          <t>수확5일전</t>
        </is>
      </c>
      <c r="O38" s="58" t="n">
        <v>3</v>
      </c>
      <c r="P38" s="53" t="n"/>
      <c r="Q38" s="59" t="n"/>
      <c r="R38" s="59" t="inlineStr">
        <is>
          <t>혼용 가능 살균제(경농 조회): 탄쟈비상 · 벨리스플러스 · 다놀라 · 벨쿠트 · 가스란</t>
        </is>
      </c>
      <c r="S38" s="59" t="inlineStr">
        <is>
          <t>아세타미프리드 (Acetamiprid)</t>
        </is>
      </c>
      <c r="T38" s="52" t="inlineStr">
        <is>
          <t>4a</t>
        </is>
      </c>
      <c r="U38" s="59" t="inlineStr">
        <is>
          <t>과실파리류, 꽃노랑총채벌레, 담배가루이, 복숭아혹진딧물</t>
        </is>
      </c>
      <c r="V38" s="52" t="n"/>
      <c r="W38" s="53" t="n"/>
      <c r="X38" s="53" t="n"/>
      <c r="Y38" s="52" t="n"/>
      <c r="Z38" s="52" t="n"/>
      <c r="AA38" s="59" t="inlineStr">
        <is>
          <t>1순위 추천(원문): 모스피란 (아세타미프리드 (Acetamiprid)) [학교 보유 중] 2000배 희석 · 경엽처리 · 안전사용기준: 수확5일전 / 3회</t>
        </is>
      </c>
      <c r="AB38" s="59" t="n"/>
      <c r="AC38" s="52" t="n"/>
      <c r="AD38" s="52" t="n"/>
      <c r="AE38" s="52" t="n"/>
      <c r="AF38" s="60" t="n"/>
      <c r="AG38" s="61" t="n"/>
      <c r="AH38" s="61" t="n"/>
      <c r="AI38" s="61" t="n"/>
      <c r="AJ38" s="52" t="n"/>
      <c r="AK38" s="53" t="n"/>
      <c r="AL38" s="59" t="n"/>
      <c r="AM38" s="53" t="n"/>
      <c r="AN38" s="59" t="inlineStr">
        <is>
          <t>모스피란 (수화제)</t>
        </is>
      </c>
      <c r="AO38" s="52" t="inlineStr">
        <is>
          <t>수확5일전 / 3회</t>
        </is>
      </c>
      <c r="AP38" s="59" t="inlineStr">
        <is>
          <t>PART 2. 해충(살충제) &gt; 복숭아혹진딧물 로테이션표</t>
        </is>
      </c>
      <c r="AQ38" s="59" t="n"/>
      <c r="AR38" s="61" t="n"/>
    </row>
    <row r="39" ht="35" customHeight="1">
      <c r="A39" s="51" t="n">
        <v>38</v>
      </c>
      <c r="B39" s="52" t="inlineStr">
        <is>
          <t>추천 약제(로테이션)</t>
        </is>
      </c>
      <c r="C39" s="53" t="inlineStr">
        <is>
          <t>파프리카</t>
        </is>
      </c>
      <c r="D39" s="53" t="inlineStr">
        <is>
          <t>해충</t>
        </is>
      </c>
      <c r="E39" s="54" t="inlineStr">
        <is>
          <t>복숭아혹진딧물</t>
        </is>
      </c>
      <c r="F39" s="55" t="n">
        <v>2</v>
      </c>
      <c r="G39" s="56" t="inlineStr">
        <is>
          <t>디져스</t>
        </is>
      </c>
      <c r="H39" s="53" t="inlineStr">
        <is>
          <t>유제</t>
        </is>
      </c>
      <c r="I39" s="53" t="inlineStr">
        <is>
          <t>보유</t>
        </is>
      </c>
      <c r="J39" s="53" t="inlineStr">
        <is>
          <t>등록 농약</t>
        </is>
      </c>
      <c r="K39" s="57" t="n">
        <v>1000</v>
      </c>
      <c r="L39" s="52" t="inlineStr">
        <is>
          <t>경엽처리</t>
        </is>
      </c>
      <c r="M39" s="52" t="n"/>
      <c r="N39" s="52" t="inlineStr">
        <is>
          <t>수확2일전</t>
        </is>
      </c>
      <c r="O39" s="58" t="n">
        <v>2</v>
      </c>
      <c r="P39" s="53" t="n"/>
      <c r="Q39" s="59" t="n"/>
      <c r="R39" s="59" t="n"/>
      <c r="S39" s="59" t="inlineStr">
        <is>
          <t>Fluxametamide+Pyrifluquinazon</t>
        </is>
      </c>
      <c r="T39" s="52" t="inlineStr">
        <is>
          <t>30+9b</t>
        </is>
      </c>
      <c r="U39" s="59" t="inlineStr">
        <is>
          <t>꽃노랑총채벌레, 담배가루이, 복숭아혹진딧물</t>
        </is>
      </c>
      <c r="V39" s="52" t="n"/>
      <c r="W39" s="53" t="n"/>
      <c r="X39" s="53" t="n"/>
      <c r="Y39" s="52" t="n"/>
      <c r="Z39" s="52" t="n"/>
      <c r="AA39" s="59" t="n"/>
      <c r="AB39" s="59" t="n"/>
      <c r="AC39" s="52" t="n"/>
      <c r="AD39" s="52" t="n"/>
      <c r="AE39" s="52" t="n"/>
      <c r="AF39" s="60" t="n"/>
      <c r="AG39" s="61" t="n"/>
      <c r="AH39" s="61" t="n"/>
      <c r="AI39" s="61" t="n"/>
      <c r="AJ39" s="52" t="n"/>
      <c r="AK39" s="53" t="n"/>
      <c r="AL39" s="59" t="n"/>
      <c r="AM39" s="53" t="n"/>
      <c r="AN39" s="59" t="inlineStr">
        <is>
          <t>디져스 (유제)</t>
        </is>
      </c>
      <c r="AO39" s="52" t="inlineStr">
        <is>
          <t>수확2일전 / 2회</t>
        </is>
      </c>
      <c r="AP39" s="59" t="inlineStr">
        <is>
          <t>PART 2. 해충(살충제) &gt; 복숭아혹진딧물 로테이션표</t>
        </is>
      </c>
      <c r="AQ39" s="59" t="n"/>
      <c r="AR39" s="61" t="n"/>
    </row>
    <row r="40" ht="35" customHeight="1">
      <c r="A40" s="51" t="n">
        <v>39</v>
      </c>
      <c r="B40" s="52" t="inlineStr">
        <is>
          <t>추천 약제(로테이션)</t>
        </is>
      </c>
      <c r="C40" s="53" t="inlineStr">
        <is>
          <t>파프리카</t>
        </is>
      </c>
      <c r="D40" s="53" t="inlineStr">
        <is>
          <t>해충</t>
        </is>
      </c>
      <c r="E40" s="54" t="inlineStr">
        <is>
          <t>복숭아혹진딧물</t>
        </is>
      </c>
      <c r="F40" s="55" t="n">
        <v>3</v>
      </c>
      <c r="G40" s="56" t="inlineStr">
        <is>
          <t>기대찬</t>
        </is>
      </c>
      <c r="H40" s="53" t="inlineStr">
        <is>
          <t>입상수화제</t>
        </is>
      </c>
      <c r="I40" s="53" t="inlineStr">
        <is>
          <t>보유</t>
        </is>
      </c>
      <c r="J40" s="53" t="inlineStr">
        <is>
          <t>등록 농약</t>
        </is>
      </c>
      <c r="K40" s="57" t="n">
        <v>2000</v>
      </c>
      <c r="L40" s="52" t="inlineStr">
        <is>
          <t>경엽처리</t>
        </is>
      </c>
      <c r="M40" s="52" t="n"/>
      <c r="N40" s="52" t="inlineStr">
        <is>
          <t>수확3일전</t>
        </is>
      </c>
      <c r="O40" s="58" t="n">
        <v>2</v>
      </c>
      <c r="P40" s="53" t="n"/>
      <c r="Q40" s="59" t="n"/>
      <c r="R40" s="59" t="n"/>
      <c r="S40" s="59" t="inlineStr">
        <is>
          <t>Emamectin benzoate+Flonicamid</t>
        </is>
      </c>
      <c r="T40" s="52" t="inlineStr">
        <is>
          <t>6+29</t>
        </is>
      </c>
      <c r="U40" s="59" t="inlineStr">
        <is>
          <t>꽃노랑총채벌레, 복숭아혹진딧물</t>
        </is>
      </c>
      <c r="V40" s="52" t="n"/>
      <c r="W40" s="53" t="n"/>
      <c r="X40" s="53" t="n"/>
      <c r="Y40" s="52" t="n"/>
      <c r="Z40" s="52" t="n"/>
      <c r="AA40" s="59" t="n"/>
      <c r="AB40" s="59" t="n"/>
      <c r="AC40" s="52" t="n"/>
      <c r="AD40" s="52" t="n"/>
      <c r="AE40" s="52" t="n"/>
      <c r="AF40" s="60" t="n"/>
      <c r="AG40" s="61" t="n"/>
      <c r="AH40" s="61" t="n"/>
      <c r="AI40" s="61" t="n"/>
      <c r="AJ40" s="52" t="n"/>
      <c r="AK40" s="53" t="n"/>
      <c r="AL40" s="59" t="n"/>
      <c r="AM40" s="53" t="n"/>
      <c r="AN40" s="59" t="inlineStr">
        <is>
          <t>기대찬 (입상수화제)</t>
        </is>
      </c>
      <c r="AO40" s="52" t="inlineStr">
        <is>
          <t>수확3일전 / 2회</t>
        </is>
      </c>
      <c r="AP40" s="59" t="inlineStr">
        <is>
          <t>PART 2. 해충(살충제) &gt; 복숭아혹진딧물 로테이션표</t>
        </is>
      </c>
      <c r="AQ40" s="59" t="n"/>
      <c r="AR40" s="61" t="n"/>
    </row>
    <row r="41" ht="35" customHeight="1">
      <c r="A41" s="51" t="n">
        <v>40</v>
      </c>
      <c r="B41" s="52" t="inlineStr">
        <is>
          <t>추천 약제(로테이션)</t>
        </is>
      </c>
      <c r="C41" s="53" t="inlineStr">
        <is>
          <t>파프리카</t>
        </is>
      </c>
      <c r="D41" s="53" t="inlineStr">
        <is>
          <t>해충</t>
        </is>
      </c>
      <c r="E41" s="54" t="inlineStr">
        <is>
          <t>복숭아혹진딧물</t>
        </is>
      </c>
      <c r="F41" s="55" t="n">
        <v>4</v>
      </c>
      <c r="G41" s="56" t="inlineStr">
        <is>
          <t>세티스</t>
        </is>
      </c>
      <c r="H41" s="53" t="n"/>
      <c r="I41" s="53" t="inlineStr">
        <is>
          <t>보유</t>
        </is>
      </c>
      <c r="J41" s="53" t="inlineStr">
        <is>
          <t>등록 농약</t>
        </is>
      </c>
      <c r="K41" s="57" t="n">
        <v>2000</v>
      </c>
      <c r="L41" s="52" t="inlineStr">
        <is>
          <t>관주처리(양액재배)</t>
        </is>
      </c>
      <c r="M41" s="52" t="n"/>
      <c r="N41" s="52" t="n"/>
      <c r="O41" s="58" t="n">
        <v>2</v>
      </c>
      <c r="P41" s="53" t="inlineStr">
        <is>
          <t>30일 간격</t>
        </is>
      </c>
      <c r="Q41" s="59" t="n"/>
      <c r="R41" s="59" t="n"/>
      <c r="S41" s="59" t="inlineStr">
        <is>
          <t>Flonicamid</t>
        </is>
      </c>
      <c r="T41" s="52" t="inlineStr">
        <is>
          <t>29</t>
        </is>
      </c>
      <c r="U41" s="59" t="inlineStr">
        <is>
          <t>담배가루이, 복숭아혹진딧물</t>
        </is>
      </c>
      <c r="V41" s="52" t="n"/>
      <c r="W41" s="53" t="n"/>
      <c r="X41" s="53" t="n"/>
      <c r="Y41" s="52" t="n"/>
      <c r="Z41" s="52" t="n"/>
      <c r="AA41" s="59" t="n"/>
      <c r="AB41" s="59" t="n"/>
      <c r="AC41" s="52" t="n"/>
      <c r="AD41" s="52" t="n"/>
      <c r="AE41" s="52" t="n"/>
      <c r="AF41" s="60" t="n"/>
      <c r="AG41" s="61" t="n"/>
      <c r="AH41" s="61" t="n"/>
      <c r="AI41" s="61" t="n"/>
      <c r="AJ41" s="52" t="n"/>
      <c r="AK41" s="53" t="n"/>
      <c r="AL41" s="59" t="n"/>
      <c r="AM41" s="53" t="n"/>
      <c r="AN41" s="59" t="inlineStr">
        <is>
          <t>세티스</t>
        </is>
      </c>
      <c r="AO41" s="52" t="inlineStr">
        <is>
          <t>30일간격으로 / 2회</t>
        </is>
      </c>
      <c r="AP41" s="59" t="inlineStr">
        <is>
          <t>PART 2. 해충(살충제) &gt; 복숭아혹진딧물 로테이션표</t>
        </is>
      </c>
      <c r="AQ41" s="59" t="n"/>
      <c r="AR41" s="61" t="n"/>
    </row>
    <row r="42" ht="50" customHeight="1">
      <c r="A42" s="51" t="n">
        <v>41</v>
      </c>
      <c r="B42" s="52" t="inlineStr">
        <is>
          <t>추천 약제(로테이션)</t>
        </is>
      </c>
      <c r="C42" s="53" t="inlineStr">
        <is>
          <t>파프리카</t>
        </is>
      </c>
      <c r="D42" s="53" t="inlineStr">
        <is>
          <t>해충</t>
        </is>
      </c>
      <c r="E42" s="54" t="inlineStr">
        <is>
          <t>온실가루이</t>
        </is>
      </c>
      <c r="F42" s="55" t="n">
        <v>1</v>
      </c>
      <c r="G42" s="56" t="inlineStr">
        <is>
          <t>코니도</t>
        </is>
      </c>
      <c r="H42" s="53" t="inlineStr">
        <is>
          <t>수화제</t>
        </is>
      </c>
      <c r="I42" s="53" t="inlineStr">
        <is>
          <t>미보유</t>
        </is>
      </c>
      <c r="J42" s="53" t="inlineStr">
        <is>
          <t>등록 농약</t>
        </is>
      </c>
      <c r="K42" s="57" t="n">
        <v>2000</v>
      </c>
      <c r="L42" s="52" t="inlineStr">
        <is>
          <t>경엽처리</t>
        </is>
      </c>
      <c r="M42" s="52" t="n"/>
      <c r="N42" s="52" t="inlineStr">
        <is>
          <t>수확3일전</t>
        </is>
      </c>
      <c r="O42" s="58" t="n">
        <v>3</v>
      </c>
      <c r="P42" s="53" t="n"/>
      <c r="Q42" s="59" t="inlineStr">
        <is>
          <t>가이드 추천문에는 안전사용기준 '수확5일전 / 3회'(으)로 표기 — 원본 내 표기 상이, 확인 필요</t>
        </is>
      </c>
      <c r="R42" s="59" t="inlineStr">
        <is>
          <t>혼용 가능 살균제(팜한농 조회): 벨쿠트</t>
        </is>
      </c>
      <c r="S42" s="59" t="inlineStr">
        <is>
          <t>Imidacloprid</t>
        </is>
      </c>
      <c r="T42" s="52" t="inlineStr">
        <is>
          <t>4a</t>
        </is>
      </c>
      <c r="U42" s="59" t="inlineStr">
        <is>
          <t>목화진딧물, 복숭아혹진딧물, 작은뿌리파리</t>
        </is>
      </c>
      <c r="V42" s="52" t="n"/>
      <c r="W42" s="53" t="n"/>
      <c r="X42" s="53" t="n"/>
      <c r="Y42" s="52" t="n"/>
      <c r="Z42" s="52" t="n"/>
      <c r="AA42" s="59" t="inlineStr">
        <is>
          <t>1순위 추천(원문): 코니도 (Imidacloprid) [학교 미보유 - 구매 필요] 2000배 희석 · 경엽처리 · 안전사용기준: 수확5일전 / 3회</t>
        </is>
      </c>
      <c r="AB42" s="59" t="n"/>
      <c r="AC42" s="52" t="n"/>
      <c r="AD42" s="52" t="n"/>
      <c r="AE42" s="52" t="n"/>
      <c r="AF42" s="60" t="n"/>
      <c r="AG42" s="61" t="n"/>
      <c r="AH42" s="61" t="n"/>
      <c r="AI42" s="61" t="n"/>
      <c r="AJ42" s="52" t="n"/>
      <c r="AK42" s="53" t="n"/>
      <c r="AL42" s="59" t="n"/>
      <c r="AM42" s="53" t="n"/>
      <c r="AN42" s="59" t="inlineStr">
        <is>
          <t>코니도 (수화제)</t>
        </is>
      </c>
      <c r="AO42" s="52" t="inlineStr">
        <is>
          <t>수확3일전 / 3회</t>
        </is>
      </c>
      <c r="AP42" s="59" t="inlineStr">
        <is>
          <t>PART 2. 해충(살충제) &gt; 온실가루이 로테이션표</t>
        </is>
      </c>
      <c r="AQ42" s="59" t="n"/>
      <c r="AR42" s="61" t="n"/>
    </row>
    <row r="43" ht="50" customHeight="1">
      <c r="A43" s="51" t="n">
        <v>42</v>
      </c>
      <c r="B43" s="52" t="inlineStr">
        <is>
          <t>추천 약제(로테이션)</t>
        </is>
      </c>
      <c r="C43" s="53" t="inlineStr">
        <is>
          <t>파프리카</t>
        </is>
      </c>
      <c r="D43" s="53" t="inlineStr">
        <is>
          <t>해충</t>
        </is>
      </c>
      <c r="E43" s="54" t="inlineStr">
        <is>
          <t>진딧물(목화진딧물, 복숭아혹진딧물)</t>
        </is>
      </c>
      <c r="F43" s="55" t="n">
        <v>1</v>
      </c>
      <c r="G43" s="56" t="inlineStr">
        <is>
          <t>아라치</t>
        </is>
      </c>
      <c r="H43" s="53" t="inlineStr">
        <is>
          <t>입상수화제</t>
        </is>
      </c>
      <c r="I43" s="53" t="inlineStr">
        <is>
          <t>미보유</t>
        </is>
      </c>
      <c r="J43" s="53" t="inlineStr">
        <is>
          <t>등록 농약</t>
        </is>
      </c>
      <c r="K43" s="57" t="n">
        <v>2000</v>
      </c>
      <c r="L43" s="52" t="inlineStr">
        <is>
          <t>경엽처리</t>
        </is>
      </c>
      <c r="M43" s="52" t="n"/>
      <c r="N43" s="52" t="inlineStr">
        <is>
          <t>수확3일전</t>
        </is>
      </c>
      <c r="O43" s="58" t="n">
        <v>3</v>
      </c>
      <c r="P43" s="53" t="n"/>
      <c r="Q43" s="59" t="inlineStr">
        <is>
          <t>가이드 추천문에는 사용방법 '훈연처리', 안전사용기준 '수확2일전 / 2회'(으)로 표기 — 원본 내 표기 상이, 확인 필요</t>
        </is>
      </c>
      <c r="R43" s="59" t="n"/>
      <c r="S43" s="59" t="inlineStr">
        <is>
          <t>Thiamethoxam</t>
        </is>
      </c>
      <c r="T43" s="52" t="inlineStr">
        <is>
          <t>4a</t>
        </is>
      </c>
      <c r="U43" s="59" t="inlineStr">
        <is>
          <t>담배가루이, 진딧물(목화진딧물, 복숭아혹진딧물)</t>
        </is>
      </c>
      <c r="V43" s="52" t="n"/>
      <c r="W43" s="53" t="n"/>
      <c r="X43" s="53" t="n"/>
      <c r="Y43" s="52" t="n"/>
      <c r="Z43" s="52" t="n"/>
      <c r="AA43" s="59" t="inlineStr">
        <is>
          <t>1순위 추천(원문): 아라치 (Thiamethoxam) [학교 미보유 - 구매 필요] 훈연처리 · 안전사용기준: 수확2일전 / 2회</t>
        </is>
      </c>
      <c r="AB43" s="59" t="n"/>
      <c r="AC43" s="52" t="n"/>
      <c r="AD43" s="52" t="n"/>
      <c r="AE43" s="52" t="n"/>
      <c r="AF43" s="60" t="n"/>
      <c r="AG43" s="61" t="n"/>
      <c r="AH43" s="61" t="n"/>
      <c r="AI43" s="61" t="n"/>
      <c r="AJ43" s="52" t="n"/>
      <c r="AK43" s="53" t="n"/>
      <c r="AL43" s="59" t="n"/>
      <c r="AM43" s="53" t="n"/>
      <c r="AN43" s="59" t="inlineStr">
        <is>
          <t>아라치 (입상수화제)</t>
        </is>
      </c>
      <c r="AO43" s="52" t="inlineStr">
        <is>
          <t>수확3일전 / 3회</t>
        </is>
      </c>
      <c r="AP43" s="59" t="inlineStr">
        <is>
          <t>PART 2. 해충(살충제) &gt; 진딧물(목화진딧물, 복숭아혹진딧물) 로테이션표</t>
        </is>
      </c>
      <c r="AQ43" s="59" t="n"/>
      <c r="AR43" s="61" t="n"/>
    </row>
    <row r="44" ht="50" customHeight="1">
      <c r="A44" s="51" t="n">
        <v>43</v>
      </c>
      <c r="B44" s="52" t="inlineStr">
        <is>
          <t>추천 약제(로테이션)</t>
        </is>
      </c>
      <c r="C44" s="53" t="inlineStr">
        <is>
          <t>파프리카</t>
        </is>
      </c>
      <c r="D44" s="53" t="inlineStr">
        <is>
          <t>해충</t>
        </is>
      </c>
      <c r="E44" s="54" t="inlineStr">
        <is>
          <t>진딧물(목화진딧물, 복숭아혹진딧물)</t>
        </is>
      </c>
      <c r="F44" s="55" t="n">
        <v>2</v>
      </c>
      <c r="G44" s="56" t="inlineStr">
        <is>
          <t>주렁</t>
        </is>
      </c>
      <c r="H44" s="53" t="inlineStr">
        <is>
          <t>유제</t>
        </is>
      </c>
      <c r="I44" s="53" t="inlineStr">
        <is>
          <t>미보유</t>
        </is>
      </c>
      <c r="J44" s="53" t="inlineStr">
        <is>
          <t>등록 농약</t>
        </is>
      </c>
      <c r="K44" s="57" t="n">
        <v>1000</v>
      </c>
      <c r="L44" s="52" t="inlineStr">
        <is>
          <t>경엽처리</t>
        </is>
      </c>
      <c r="M44" s="52" t="n"/>
      <c r="N44" s="52" t="inlineStr">
        <is>
          <t>수확2일전</t>
        </is>
      </c>
      <c r="O44" s="58" t="n">
        <v>3</v>
      </c>
      <c r="P44" s="53" t="n"/>
      <c r="Q44" s="59" t="n"/>
      <c r="R44" s="59" t="n"/>
      <c r="S44" s="59" t="inlineStr">
        <is>
          <t>Lambda-cyhalothrin</t>
        </is>
      </c>
      <c r="T44" s="52" t="inlineStr">
        <is>
          <t>3a</t>
        </is>
      </c>
      <c r="U44" s="59" t="inlineStr">
        <is>
          <t>담배나방, 진딧물(목화진딧물, 복숭아혹진딧물), 열대거세미나방</t>
        </is>
      </c>
      <c r="V44" s="52" t="n"/>
      <c r="W44" s="53" t="n"/>
      <c r="X44" s="53" t="n"/>
      <c r="Y44" s="52" t="n"/>
      <c r="Z44" s="52" t="n"/>
      <c r="AA44" s="59" t="n"/>
      <c r="AB44" s="59" t="n"/>
      <c r="AC44" s="52" t="n"/>
      <c r="AD44" s="52" t="n"/>
      <c r="AE44" s="52" t="n"/>
      <c r="AF44" s="60" t="n"/>
      <c r="AG44" s="61" t="n"/>
      <c r="AH44" s="61" t="n"/>
      <c r="AI44" s="61" t="n"/>
      <c r="AJ44" s="52" t="n"/>
      <c r="AK44" s="53" t="n"/>
      <c r="AL44" s="59" t="n"/>
      <c r="AM44" s="53" t="n"/>
      <c r="AN44" s="59" t="inlineStr">
        <is>
          <t>주렁 (유제)</t>
        </is>
      </c>
      <c r="AO44" s="52" t="inlineStr">
        <is>
          <t>수확2일전 / 3회</t>
        </is>
      </c>
      <c r="AP44" s="59" t="inlineStr">
        <is>
          <t>PART 2. 해충(살충제) &gt; 진딧물(목화진딧물, 복숭아혹진딧물) 로테이션표</t>
        </is>
      </c>
      <c r="AQ44" s="59" t="n"/>
      <c r="AR44" s="61" t="n"/>
    </row>
    <row r="45" ht="65" customHeight="1">
      <c r="A45" s="51" t="n">
        <v>44</v>
      </c>
      <c r="B45" s="52" t="inlineStr">
        <is>
          <t>추천 약제(로테이션)</t>
        </is>
      </c>
      <c r="C45" s="53" t="inlineStr">
        <is>
          <t>파프리카</t>
        </is>
      </c>
      <c r="D45" s="53" t="inlineStr">
        <is>
          <t>해충</t>
        </is>
      </c>
      <c r="E45" s="54" t="inlineStr">
        <is>
          <t>차먼지응애</t>
        </is>
      </c>
      <c r="F45" s="55" t="n">
        <v>1</v>
      </c>
      <c r="G45" s="56" t="inlineStr">
        <is>
          <t>강철비</t>
        </is>
      </c>
      <c r="H45" s="53" t="inlineStr">
        <is>
          <t>액상수화제</t>
        </is>
      </c>
      <c r="I45" s="53" t="inlineStr">
        <is>
          <t>보유</t>
        </is>
      </c>
      <c r="J45" s="53" t="inlineStr">
        <is>
          <t>등록 농약</t>
        </is>
      </c>
      <c r="K45" s="57" t="n">
        <v>2000</v>
      </c>
      <c r="L45" s="52" t="inlineStr">
        <is>
          <t>경엽처리</t>
        </is>
      </c>
      <c r="M45" s="52" t="n"/>
      <c r="N45" s="52" t="inlineStr">
        <is>
          <t>수확2일전</t>
        </is>
      </c>
      <c r="O45" s="58" t="n">
        <v>2</v>
      </c>
      <c r="P45" s="53" t="n"/>
      <c r="Q45" s="59" t="n"/>
      <c r="R45" s="59" t="inlineStr">
        <is>
          <t>혼용정보 미확인 — 사용 전 제조사(인바이오 031-477-6011) 확인</t>
        </is>
      </c>
      <c r="S45" s="59" t="inlineStr">
        <is>
          <t>Chlorantraniliprole+Emamectin benzoate</t>
        </is>
      </c>
      <c r="T45" s="52" t="inlineStr">
        <is>
          <t>28+6</t>
        </is>
      </c>
      <c r="U45" s="59" t="inlineStr">
        <is>
          <t>꽃노랑총채벌레, 차먼지응애, 담배나방</t>
        </is>
      </c>
      <c r="V45" s="52" t="n"/>
      <c r="W45" s="53" t="n"/>
      <c r="X45" s="53" t="n"/>
      <c r="Y45" s="52" t="n"/>
      <c r="Z45" s="52" t="n"/>
      <c r="AA45" s="59" t="inlineStr">
        <is>
          <t>1순위 추천(원문): 지금 바로 이거: 강철비 (Chlorantraniliprole+Emamectin benzoate) [학교 보유 중] 2000배 희석 · 경엽처리 · 안전사용기준: 수확2일전 / 2회</t>
        </is>
      </c>
      <c r="AB45" s="59" t="n"/>
      <c r="AC45" s="52" t="n"/>
      <c r="AD45" s="52" t="n"/>
      <c r="AE45" s="52" t="n"/>
      <c r="AF45" s="60" t="n"/>
      <c r="AG45" s="61" t="n"/>
      <c r="AH45" s="61" t="n"/>
      <c r="AI45" s="61" t="n"/>
      <c r="AJ45" s="52" t="n"/>
      <c r="AK45" s="53" t="n"/>
      <c r="AL45" s="59" t="n"/>
      <c r="AM45" s="53" t="n"/>
      <c r="AN45" s="59" t="inlineStr">
        <is>
          <t>강철비 (액상수화제)</t>
        </is>
      </c>
      <c r="AO45" s="52" t="inlineStr">
        <is>
          <t>수확2일전 / 2회</t>
        </is>
      </c>
      <c r="AP45" s="59" t="inlineStr">
        <is>
          <t>PART 2. 해충(살충제) &gt; 차먼지응애 로테이션표</t>
        </is>
      </c>
      <c r="AQ45" s="59" t="n"/>
      <c r="AR45" s="61" t="n"/>
    </row>
    <row r="46" ht="35" customHeight="1">
      <c r="A46" s="51" t="n">
        <v>45</v>
      </c>
      <c r="B46" s="52" t="inlineStr">
        <is>
          <t>추천 약제(로테이션)</t>
        </is>
      </c>
      <c r="C46" s="53" t="inlineStr">
        <is>
          <t>파프리카</t>
        </is>
      </c>
      <c r="D46" s="53" t="inlineStr">
        <is>
          <t>해충</t>
        </is>
      </c>
      <c r="E46" s="54" t="inlineStr">
        <is>
          <t>차먼지응애</t>
        </is>
      </c>
      <c r="F46" s="55" t="n">
        <v>2</v>
      </c>
      <c r="G46" s="56" t="inlineStr">
        <is>
          <t>산마루</t>
        </is>
      </c>
      <c r="H46" s="53" t="inlineStr">
        <is>
          <t>수화제</t>
        </is>
      </c>
      <c r="I46" s="53" t="inlineStr">
        <is>
          <t>보유</t>
        </is>
      </c>
      <c r="J46" s="53" t="inlineStr">
        <is>
          <t>등록 농약</t>
        </is>
      </c>
      <c r="K46" s="57" t="n">
        <v>1000</v>
      </c>
      <c r="L46" s="52" t="inlineStr">
        <is>
          <t>경엽처리</t>
        </is>
      </c>
      <c r="M46" s="52" t="n"/>
      <c r="N46" s="52" t="inlineStr">
        <is>
          <t>수확3일전</t>
        </is>
      </c>
      <c r="O46" s="58" t="n">
        <v>2</v>
      </c>
      <c r="P46" s="53" t="n"/>
      <c r="Q46" s="59" t="n"/>
      <c r="R46" s="59" t="n"/>
      <c r="S46" s="59" t="inlineStr">
        <is>
          <t>Pyridaben</t>
        </is>
      </c>
      <c r="T46" s="52" t="inlineStr">
        <is>
          <t>21a</t>
        </is>
      </c>
      <c r="U46" s="59" t="inlineStr">
        <is>
          <t>담배가루이, 차먼지응애</t>
        </is>
      </c>
      <c r="V46" s="52" t="n"/>
      <c r="W46" s="53" t="n"/>
      <c r="X46" s="53" t="n"/>
      <c r="Y46" s="52" t="n"/>
      <c r="Z46" s="52" t="n"/>
      <c r="AA46" s="59" t="n"/>
      <c r="AB46" s="59" t="n"/>
      <c r="AC46" s="52" t="n"/>
      <c r="AD46" s="52" t="n"/>
      <c r="AE46" s="52" t="n"/>
      <c r="AF46" s="60" t="n"/>
      <c r="AG46" s="61" t="n"/>
      <c r="AH46" s="61" t="n"/>
      <c r="AI46" s="61" t="n"/>
      <c r="AJ46" s="52" t="n"/>
      <c r="AK46" s="53" t="n"/>
      <c r="AL46" s="59" t="n"/>
      <c r="AM46" s="53" t="n"/>
      <c r="AN46" s="59" t="inlineStr">
        <is>
          <t>산마루 (수화제)</t>
        </is>
      </c>
      <c r="AO46" s="52" t="inlineStr">
        <is>
          <t>수확3일전 / 2회</t>
        </is>
      </c>
      <c r="AP46" s="59" t="inlineStr">
        <is>
          <t>PART 2. 해충(살충제) &gt; 차먼지응애 로테이션표</t>
        </is>
      </c>
      <c r="AQ46" s="59" t="n"/>
      <c r="AR46" s="61" t="n"/>
    </row>
    <row r="47" ht="35" customHeight="1">
      <c r="A47" s="51" t="n">
        <v>46</v>
      </c>
      <c r="B47" s="52" t="inlineStr">
        <is>
          <t>추천 약제(로테이션)</t>
        </is>
      </c>
      <c r="C47" s="53" t="inlineStr">
        <is>
          <t>파프리카</t>
        </is>
      </c>
      <c r="D47" s="53" t="inlineStr">
        <is>
          <t>해충</t>
        </is>
      </c>
      <c r="E47" s="54" t="inlineStr">
        <is>
          <t>차먼지응애</t>
        </is>
      </c>
      <c r="F47" s="55" t="n">
        <v>3</v>
      </c>
      <c r="G47" s="56" t="inlineStr">
        <is>
          <t>인도에마</t>
        </is>
      </c>
      <c r="H47" s="53" t="inlineStr">
        <is>
          <t>수화제</t>
        </is>
      </c>
      <c r="I47" s="53" t="inlineStr">
        <is>
          <t>보유</t>
        </is>
      </c>
      <c r="J47" s="53" t="inlineStr">
        <is>
          <t>등록 농약</t>
        </is>
      </c>
      <c r="K47" s="57" t="n">
        <v>2000</v>
      </c>
      <c r="L47" s="52" t="inlineStr">
        <is>
          <t>경엽처리</t>
        </is>
      </c>
      <c r="M47" s="52" t="n"/>
      <c r="N47" s="52" t="inlineStr">
        <is>
          <t>수확3일전</t>
        </is>
      </c>
      <c r="O47" s="58" t="n">
        <v>2</v>
      </c>
      <c r="P47" s="53" t="n"/>
      <c r="Q47" s="59" t="n"/>
      <c r="R47" s="59" t="n"/>
      <c r="S47" s="59" t="inlineStr">
        <is>
          <t>Emamectin benzoate+Indoxacarb</t>
        </is>
      </c>
      <c r="T47" s="52" t="inlineStr">
        <is>
          <t>6+22a</t>
        </is>
      </c>
      <c r="U47" s="59" t="inlineStr">
        <is>
          <t>꽃노랑총채벌레, 차먼지응애, 담배나방, 열대거세미나방</t>
        </is>
      </c>
      <c r="V47" s="52" t="n"/>
      <c r="W47" s="53" t="n"/>
      <c r="X47" s="53" t="n"/>
      <c r="Y47" s="52" t="n"/>
      <c r="Z47" s="52" t="n"/>
      <c r="AA47" s="59" t="n"/>
      <c r="AB47" s="59" t="n"/>
      <c r="AC47" s="52" t="n"/>
      <c r="AD47" s="52" t="n"/>
      <c r="AE47" s="52" t="n"/>
      <c r="AF47" s="60" t="n"/>
      <c r="AG47" s="61" t="n"/>
      <c r="AH47" s="61" t="n"/>
      <c r="AI47" s="61" t="n"/>
      <c r="AJ47" s="52" t="n"/>
      <c r="AK47" s="53" t="n"/>
      <c r="AL47" s="59" t="n"/>
      <c r="AM47" s="53" t="n"/>
      <c r="AN47" s="59" t="inlineStr">
        <is>
          <t>인도에마 (수화제)</t>
        </is>
      </c>
      <c r="AO47" s="52" t="inlineStr">
        <is>
          <t>수확3일전 / 2회</t>
        </is>
      </c>
      <c r="AP47" s="59" t="inlineStr">
        <is>
          <t>PART 2. 해충(살충제) &gt; 차먼지응애 로테이션표</t>
        </is>
      </c>
      <c r="AQ47" s="59" t="n"/>
      <c r="AR47" s="61" t="n"/>
    </row>
    <row r="48" ht="35" customHeight="1">
      <c r="A48" s="51" t="n">
        <v>47</v>
      </c>
      <c r="B48" s="52" t="inlineStr">
        <is>
          <t>추천 약제(로테이션)</t>
        </is>
      </c>
      <c r="C48" s="53" t="inlineStr">
        <is>
          <t>파프리카</t>
        </is>
      </c>
      <c r="D48" s="53" t="inlineStr">
        <is>
          <t>해충</t>
        </is>
      </c>
      <c r="E48" s="54" t="inlineStr">
        <is>
          <t>차먼지응애</t>
        </is>
      </c>
      <c r="F48" s="55" t="n">
        <v>4</v>
      </c>
      <c r="G48" s="56" t="inlineStr">
        <is>
          <t>인시피오</t>
        </is>
      </c>
      <c r="H48" s="53" t="inlineStr">
        <is>
          <t>액상수화제</t>
        </is>
      </c>
      <c r="I48" s="53" t="inlineStr">
        <is>
          <t>보유</t>
        </is>
      </c>
      <c r="J48" s="53" t="inlineStr">
        <is>
          <t>등록 농약</t>
        </is>
      </c>
      <c r="K48" s="57" t="n">
        <v>2500</v>
      </c>
      <c r="L48" s="52" t="inlineStr">
        <is>
          <t>경엽처리</t>
        </is>
      </c>
      <c r="M48" s="52" t="n"/>
      <c r="N48" s="52" t="inlineStr">
        <is>
          <t>수확3일전</t>
        </is>
      </c>
      <c r="O48" s="58" t="n">
        <v>2</v>
      </c>
      <c r="P48" s="53" t="n"/>
      <c r="Q48" s="59" t="n"/>
      <c r="R48" s="59" t="n"/>
      <c r="S48" s="59" t="inlineStr">
        <is>
          <t>Isocycloseram</t>
        </is>
      </c>
      <c r="T48" s="52" t="inlineStr">
        <is>
          <t>30</t>
        </is>
      </c>
      <c r="U48" s="59" t="inlineStr">
        <is>
          <t>꽃노랑총채벌레, 차먼지응애</t>
        </is>
      </c>
      <c r="V48" s="52" t="n"/>
      <c r="W48" s="53" t="n"/>
      <c r="X48" s="53" t="n"/>
      <c r="Y48" s="52" t="n"/>
      <c r="Z48" s="52" t="n"/>
      <c r="AA48" s="59" t="n"/>
      <c r="AB48" s="59" t="n"/>
      <c r="AC48" s="52" t="n"/>
      <c r="AD48" s="52" t="n"/>
      <c r="AE48" s="52" t="n"/>
      <c r="AF48" s="60" t="n"/>
      <c r="AG48" s="61" t="n"/>
      <c r="AH48" s="61" t="n"/>
      <c r="AI48" s="61" t="n"/>
      <c r="AJ48" s="52" t="n"/>
      <c r="AK48" s="53" t="n"/>
      <c r="AL48" s="59" t="n"/>
      <c r="AM48" s="53" t="n"/>
      <c r="AN48" s="59" t="inlineStr">
        <is>
          <t>인시피오 (액상수화제)</t>
        </is>
      </c>
      <c r="AO48" s="52" t="inlineStr">
        <is>
          <t>수확3일전 / 2회</t>
        </is>
      </c>
      <c r="AP48" s="59" t="inlineStr">
        <is>
          <t>PART 2. 해충(살충제) &gt; 차먼지응애 로테이션표</t>
        </is>
      </c>
      <c r="AQ48" s="59" t="n"/>
      <c r="AR48" s="61" t="n"/>
    </row>
    <row r="49" ht="50" customHeight="1">
      <c r="A49" s="51" t="n">
        <v>48</v>
      </c>
      <c r="B49" s="52" t="inlineStr">
        <is>
          <t>구매 필요 약제</t>
        </is>
      </c>
      <c r="C49" s="53" t="inlineStr">
        <is>
          <t>파프리카</t>
        </is>
      </c>
      <c r="D49" s="53" t="inlineStr">
        <is>
          <t>병해</t>
        </is>
      </c>
      <c r="E49" s="54" t="inlineStr">
        <is>
          <t>세균점무늬병</t>
        </is>
      </c>
      <c r="F49" s="55" t="n"/>
      <c r="G49" s="56" t="inlineStr">
        <is>
          <t>가스란</t>
        </is>
      </c>
      <c r="H49" s="53" t="inlineStr">
        <is>
          <t>수화제</t>
        </is>
      </c>
      <c r="I49" s="53" t="inlineStr">
        <is>
          <t>미보유</t>
        </is>
      </c>
      <c r="J49" s="53" t="inlineStr">
        <is>
          <t>등록 농약</t>
        </is>
      </c>
      <c r="K49" s="57" t="n">
        <v>1000</v>
      </c>
      <c r="L49" s="52" t="inlineStr">
        <is>
          <t>경엽처리</t>
        </is>
      </c>
      <c r="M49" s="52" t="n"/>
      <c r="N49" s="52" t="inlineStr">
        <is>
          <t>수확2일전</t>
        </is>
      </c>
      <c r="O49" s="58" t="n">
        <v>5</v>
      </c>
      <c r="P49" s="53" t="n"/>
      <c r="Q49" s="59" t="n"/>
      <c r="R49" s="59" t="inlineStr">
        <is>
          <t>모스피란과 혼용 가능(경농 조회)</t>
        </is>
      </c>
      <c r="S49" s="59" t="inlineStr">
        <is>
          <t>코퍼옥시클로라이드.가스가마이신 (Copper oxychloride+Kasugamycin)</t>
        </is>
      </c>
      <c r="T49" s="52" t="inlineStr">
        <is>
          <t>라3,카, 카+라3</t>
        </is>
      </c>
      <c r="U49" s="59" t="n"/>
      <c r="V49" s="52" t="n"/>
      <c r="W49" s="53" t="n"/>
      <c r="X49" s="53" t="n"/>
      <c r="Y49" s="52" t="n"/>
      <c r="Z49" s="52" t="n"/>
      <c r="AA49" s="59" t="n"/>
      <c r="AB49" s="59" t="inlineStr">
        <is>
          <t>해당 병해충(원문): 세균점무늬병</t>
        </is>
      </c>
      <c r="AC49" s="52" t="n"/>
      <c r="AD49" s="52" t="n"/>
      <c r="AE49" s="52" t="n"/>
      <c r="AF49" s="60" t="n"/>
      <c r="AG49" s="61" t="n"/>
      <c r="AH49" s="61" t="n"/>
      <c r="AI49" s="61" t="n"/>
      <c r="AJ49" s="52" t="n"/>
      <c r="AK49" s="53" t="n"/>
      <c r="AL49" s="59" t="n"/>
      <c r="AM49" s="53" t="n"/>
      <c r="AN49" s="59" t="inlineStr">
        <is>
          <t>가스란 수화제</t>
        </is>
      </c>
      <c r="AO49" s="52" t="inlineStr">
        <is>
          <t>수확2일전 / 5회</t>
        </is>
      </c>
      <c r="AP49" s="59" t="inlineStr">
        <is>
          <t>개요 &gt; 구매 약제 전체 목록 (추천표 중 학교 미보유분)</t>
        </is>
      </c>
      <c r="AQ49" s="59" t="n"/>
      <c r="AR49" s="61" t="n"/>
    </row>
    <row r="50" ht="35" customHeight="1">
      <c r="A50" s="51" t="n">
        <v>49</v>
      </c>
      <c r="B50" s="52" t="inlineStr">
        <is>
          <t>구매 필요 약제</t>
        </is>
      </c>
      <c r="C50" s="53" t="inlineStr">
        <is>
          <t>파프리카</t>
        </is>
      </c>
      <c r="D50" s="53" t="inlineStr">
        <is>
          <t>병해</t>
        </is>
      </c>
      <c r="E50" s="54" t="inlineStr">
        <is>
          <t>갈색점무늬병</t>
        </is>
      </c>
      <c r="F50" s="55" t="n"/>
      <c r="G50" s="56" t="inlineStr">
        <is>
          <t>경탄</t>
        </is>
      </c>
      <c r="H50" s="53" t="inlineStr">
        <is>
          <t>액상수화제</t>
        </is>
      </c>
      <c r="I50" s="53" t="inlineStr">
        <is>
          <t>미보유</t>
        </is>
      </c>
      <c r="J50" s="53" t="inlineStr">
        <is>
          <t>등록 농약</t>
        </is>
      </c>
      <c r="K50" s="57" t="n">
        <v>1000</v>
      </c>
      <c r="L50" s="52" t="inlineStr">
        <is>
          <t>경엽처리</t>
        </is>
      </c>
      <c r="M50" s="52" t="n"/>
      <c r="N50" s="52" t="inlineStr">
        <is>
          <t>수확3일전</t>
        </is>
      </c>
      <c r="O50" s="58" t="n">
        <v>3</v>
      </c>
      <c r="P50" s="53" t="n"/>
      <c r="Q50" s="59" t="n"/>
      <c r="R50" s="59" t="n"/>
      <c r="S50" s="59" t="inlineStr">
        <is>
          <t>Chlorothalonil+Kresoxim-methyl</t>
        </is>
      </c>
      <c r="T50" s="52" t="inlineStr">
        <is>
          <t>카+다3, 카,다3</t>
        </is>
      </c>
      <c r="U50" s="59" t="n"/>
      <c r="V50" s="52" t="n"/>
      <c r="W50" s="53" t="n"/>
      <c r="X50" s="53" t="n"/>
      <c r="Y50" s="52" t="n"/>
      <c r="Z50" s="52" t="n"/>
      <c r="AA50" s="59" t="n"/>
      <c r="AB50" s="59" t="inlineStr">
        <is>
          <t>해당 병해충(원문): 갈색점무늬병</t>
        </is>
      </c>
      <c r="AC50" s="52" t="n"/>
      <c r="AD50" s="52" t="n"/>
      <c r="AE50" s="52" t="n"/>
      <c r="AF50" s="60" t="n"/>
      <c r="AG50" s="61" t="n"/>
      <c r="AH50" s="61" t="n"/>
      <c r="AI50" s="61" t="n"/>
      <c r="AJ50" s="52" t="n"/>
      <c r="AK50" s="53" t="n"/>
      <c r="AL50" s="59" t="n"/>
      <c r="AM50" s="53" t="n"/>
      <c r="AN50" s="59" t="inlineStr">
        <is>
          <t>경탄 액상수화제</t>
        </is>
      </c>
      <c r="AO50" s="52" t="inlineStr">
        <is>
          <t>수확3일전 / 3회</t>
        </is>
      </c>
      <c r="AP50" s="59" t="inlineStr">
        <is>
          <t>개요 &gt; 구매 약제 전체 목록 (추천표 중 학교 미보유분)</t>
        </is>
      </c>
      <c r="AQ50" s="59" t="n"/>
      <c r="AR50" s="61" t="n"/>
    </row>
    <row r="51" ht="50" customHeight="1">
      <c r="A51" s="51" t="n">
        <v>50</v>
      </c>
      <c r="B51" s="52" t="inlineStr">
        <is>
          <t>구매 필요 약제</t>
        </is>
      </c>
      <c r="C51" s="53" t="inlineStr">
        <is>
          <t>파프리카</t>
        </is>
      </c>
      <c r="D51" s="53" t="inlineStr">
        <is>
          <t>병해</t>
        </is>
      </c>
      <c r="E51" s="54" t="inlineStr">
        <is>
          <t>세균점무늬병</t>
        </is>
      </c>
      <c r="F51" s="55" t="n"/>
      <c r="G51" s="56" t="inlineStr">
        <is>
          <t>골든벨</t>
        </is>
      </c>
      <c r="H51" s="53" t="inlineStr">
        <is>
          <t>액상수화제</t>
        </is>
      </c>
      <c r="I51" s="53" t="inlineStr">
        <is>
          <t>미보유</t>
        </is>
      </c>
      <c r="J51" s="53" t="inlineStr">
        <is>
          <t>등록 농약</t>
        </is>
      </c>
      <c r="K51" s="57" t="n">
        <v>1000</v>
      </c>
      <c r="L51" s="52" t="inlineStr">
        <is>
          <t>경엽처리</t>
        </is>
      </c>
      <c r="M51" s="52" t="n"/>
      <c r="N51" s="52" t="inlineStr">
        <is>
          <t>수확2일전</t>
        </is>
      </c>
      <c r="O51" s="58" t="n">
        <v>3</v>
      </c>
      <c r="P51" s="53" t="n"/>
      <c r="Q51" s="59" t="n"/>
      <c r="R51" s="59" t="n"/>
      <c r="S51" s="59" t="inlineStr">
        <is>
          <t>가스가마이신.티오파네이트메틸 (Kasugamycin+Thiophanate-methyl)</t>
        </is>
      </c>
      <c r="T51" s="52" t="inlineStr">
        <is>
          <t>나1,라3, 라3+나1</t>
        </is>
      </c>
      <c r="U51" s="59" t="n"/>
      <c r="V51" s="52" t="n"/>
      <c r="W51" s="53" t="n"/>
      <c r="X51" s="53" t="n"/>
      <c r="Y51" s="52" t="n"/>
      <c r="Z51" s="52" t="n"/>
      <c r="AA51" s="59" t="n"/>
      <c r="AB51" s="59" t="inlineStr">
        <is>
          <t>해당 병해충(원문): 세균점무늬병</t>
        </is>
      </c>
      <c r="AC51" s="52" t="n"/>
      <c r="AD51" s="52" t="n"/>
      <c r="AE51" s="52" t="n"/>
      <c r="AF51" s="60" t="n"/>
      <c r="AG51" s="61" t="n"/>
      <c r="AH51" s="61" t="n"/>
      <c r="AI51" s="61" t="n"/>
      <c r="AJ51" s="52" t="n"/>
      <c r="AK51" s="53" t="n"/>
      <c r="AL51" s="59" t="n"/>
      <c r="AM51" s="53" t="n"/>
      <c r="AN51" s="59" t="inlineStr">
        <is>
          <t>골든벨 액상수화제</t>
        </is>
      </c>
      <c r="AO51" s="52" t="inlineStr">
        <is>
          <t>수확2일전 / 3회</t>
        </is>
      </c>
      <c r="AP51" s="59" t="inlineStr">
        <is>
          <t>개요 &gt; 구매 약제 전체 목록 (추천표 중 학교 미보유분)</t>
        </is>
      </c>
      <c r="AQ51" s="59" t="n"/>
      <c r="AR51" s="61" t="n"/>
    </row>
    <row r="52" ht="35" customHeight="1">
      <c r="A52" s="51" t="n">
        <v>51</v>
      </c>
      <c r="B52" s="52" t="inlineStr">
        <is>
          <t>구매 필요 약제</t>
        </is>
      </c>
      <c r="C52" s="53" t="inlineStr">
        <is>
          <t>파프리카</t>
        </is>
      </c>
      <c r="D52" s="53" t="inlineStr">
        <is>
          <t>병해</t>
        </is>
      </c>
      <c r="E52" s="54" t="inlineStr">
        <is>
          <t>붉은썩음병</t>
        </is>
      </c>
      <c r="F52" s="55" t="n"/>
      <c r="G52" s="56" t="inlineStr">
        <is>
          <t>균디스</t>
        </is>
      </c>
      <c r="H52" s="53" t="inlineStr">
        <is>
          <t>액상수화제</t>
        </is>
      </c>
      <c r="I52" s="53" t="inlineStr">
        <is>
          <t>미보유</t>
        </is>
      </c>
      <c r="J52" s="53" t="inlineStr">
        <is>
          <t>등록 농약</t>
        </is>
      </c>
      <c r="K52" s="57" t="n">
        <v>4000</v>
      </c>
      <c r="L52" s="52" t="inlineStr">
        <is>
          <t>관주처리</t>
        </is>
      </c>
      <c r="M52" s="52" t="n"/>
      <c r="N52" s="52" t="inlineStr">
        <is>
          <t>수확3일전</t>
        </is>
      </c>
      <c r="O52" s="58" t="n">
        <v>3</v>
      </c>
      <c r="P52" s="53" t="n"/>
      <c r="Q52" s="59" t="n"/>
      <c r="R52" s="59" t="n"/>
      <c r="S52" s="59" t="inlineStr">
        <is>
          <t>Azoxystrobin</t>
        </is>
      </c>
      <c r="T52" s="52" t="inlineStr">
        <is>
          <t>다3</t>
        </is>
      </c>
      <c r="U52" s="59" t="n"/>
      <c r="V52" s="52" t="n"/>
      <c r="W52" s="53" t="n"/>
      <c r="X52" s="53" t="n"/>
      <c r="Y52" s="52" t="n"/>
      <c r="Z52" s="52" t="n"/>
      <c r="AA52" s="59" t="n"/>
      <c r="AB52" s="59" t="inlineStr">
        <is>
          <t>해당 병해충(원문): 붉은썩음병</t>
        </is>
      </c>
      <c r="AC52" s="52" t="n"/>
      <c r="AD52" s="52" t="n"/>
      <c r="AE52" s="52" t="n"/>
      <c r="AF52" s="60" t="n"/>
      <c r="AG52" s="61" t="n"/>
      <c r="AH52" s="61" t="n"/>
      <c r="AI52" s="61" t="n"/>
      <c r="AJ52" s="52" t="n"/>
      <c r="AK52" s="53" t="n"/>
      <c r="AL52" s="59" t="n"/>
      <c r="AM52" s="53" t="n"/>
      <c r="AN52" s="59" t="inlineStr">
        <is>
          <t>균디스 액상수화제</t>
        </is>
      </c>
      <c r="AO52" s="52" t="inlineStr">
        <is>
          <t>수확3일전 / 3회</t>
        </is>
      </c>
      <c r="AP52" s="59" t="inlineStr">
        <is>
          <t>개요 &gt; 구매 약제 전체 목록 (추천표 중 학교 미보유분)</t>
        </is>
      </c>
      <c r="AQ52" s="59" t="n"/>
      <c r="AR52" s="61" t="n"/>
    </row>
    <row r="53" ht="35" customHeight="1">
      <c r="A53" s="51" t="n">
        <v>52</v>
      </c>
      <c r="B53" s="52" t="inlineStr">
        <is>
          <t>구매 필요 약제</t>
        </is>
      </c>
      <c r="C53" s="53" t="inlineStr">
        <is>
          <t>파프리카</t>
        </is>
      </c>
      <c r="D53" s="53" t="inlineStr">
        <is>
          <t>해충</t>
        </is>
      </c>
      <c r="E53" s="54" t="inlineStr">
        <is>
          <t>거세미나방류</t>
        </is>
      </c>
      <c r="F53" s="55" t="n"/>
      <c r="G53" s="56" t="inlineStr">
        <is>
          <t>보라충</t>
        </is>
      </c>
      <c r="H53" s="53" t="inlineStr">
        <is>
          <t>입제</t>
        </is>
      </c>
      <c r="I53" s="53" t="inlineStr">
        <is>
          <t>미보유</t>
        </is>
      </c>
      <c r="J53" s="53" t="inlineStr">
        <is>
          <t>등록 농약</t>
        </is>
      </c>
      <c r="K53" s="57" t="n"/>
      <c r="L53" s="52" t="inlineStr">
        <is>
          <t>토양처리</t>
        </is>
      </c>
      <c r="M53" s="52" t="inlineStr">
        <is>
          <t>정식기</t>
        </is>
      </c>
      <c r="N53" s="52" t="n"/>
      <c r="O53" s="58" t="n">
        <v>1</v>
      </c>
      <c r="P53" s="53" t="n"/>
      <c r="Q53" s="59" t="n"/>
      <c r="R53" s="59" t="n"/>
      <c r="S53" s="59" t="inlineStr">
        <is>
          <t>Phoxim</t>
        </is>
      </c>
      <c r="T53" s="52" t="inlineStr">
        <is>
          <t>1b</t>
        </is>
      </c>
      <c r="U53" s="59" t="n"/>
      <c r="V53" s="52" t="n"/>
      <c r="W53" s="53" t="n"/>
      <c r="X53" s="53" t="n"/>
      <c r="Y53" s="52" t="n"/>
      <c r="Z53" s="52" t="n"/>
      <c r="AA53" s="59" t="n"/>
      <c r="AB53" s="59" t="inlineStr">
        <is>
          <t>해당 병해충(원문): 거세미나방류</t>
        </is>
      </c>
      <c r="AC53" s="52" t="n"/>
      <c r="AD53" s="52" t="n"/>
      <c r="AE53" s="52" t="n"/>
      <c r="AF53" s="60" t="n"/>
      <c r="AG53" s="61" t="n"/>
      <c r="AH53" s="61" t="n"/>
      <c r="AI53" s="61" t="n"/>
      <c r="AJ53" s="52" t="n"/>
      <c r="AK53" s="53" t="n"/>
      <c r="AL53" s="59" t="n"/>
      <c r="AM53" s="53" t="n"/>
      <c r="AN53" s="59" t="inlineStr">
        <is>
          <t>보라충 입제</t>
        </is>
      </c>
      <c r="AO53" s="52" t="inlineStr">
        <is>
          <t>정식기 / 1회</t>
        </is>
      </c>
      <c r="AP53" s="59" t="inlineStr">
        <is>
          <t>개요 &gt; 구매 약제 전체 목록 (추천표 중 학교 미보유분)</t>
        </is>
      </c>
      <c r="AQ53" s="59" t="n"/>
      <c r="AR53" s="61" t="n"/>
    </row>
    <row r="54" ht="35" customHeight="1">
      <c r="A54" s="51" t="n">
        <v>53</v>
      </c>
      <c r="B54" s="52" t="inlineStr">
        <is>
          <t>구매 필요 약제</t>
        </is>
      </c>
      <c r="C54" s="53" t="inlineStr">
        <is>
          <t>파프리카</t>
        </is>
      </c>
      <c r="D54" s="53" t="inlineStr">
        <is>
          <t>병해</t>
        </is>
      </c>
      <c r="E54" s="54" t="inlineStr">
        <is>
          <t>붉은썩음병</t>
        </is>
      </c>
      <c r="F54" s="55" t="n"/>
      <c r="G54" s="56" t="inlineStr">
        <is>
          <t>스포르곤</t>
        </is>
      </c>
      <c r="H54" s="53" t="inlineStr">
        <is>
          <t>수화제</t>
        </is>
      </c>
      <c r="I54" s="53" t="inlineStr">
        <is>
          <t>미보유</t>
        </is>
      </c>
      <c r="J54" s="53" t="inlineStr">
        <is>
          <t>등록 농약</t>
        </is>
      </c>
      <c r="K54" s="57" t="n">
        <v>1000</v>
      </c>
      <c r="L54" s="52" t="inlineStr">
        <is>
          <t>관주처리</t>
        </is>
      </c>
      <c r="M54" s="52" t="n"/>
      <c r="N54" s="52" t="inlineStr">
        <is>
          <t>수확7일전</t>
        </is>
      </c>
      <c r="O54" s="58" t="n">
        <v>3</v>
      </c>
      <c r="P54" s="53" t="n"/>
      <c r="Q54" s="59" t="n"/>
      <c r="R54" s="59" t="inlineStr">
        <is>
          <t>모스피란 · 코니도 · 타스타와의 혼용 조합 자료 없음</t>
        </is>
      </c>
      <c r="S54" s="59" t="inlineStr">
        <is>
          <t>Prochloraz-manganese</t>
        </is>
      </c>
      <c r="T54" s="52" t="inlineStr">
        <is>
          <t>사1</t>
        </is>
      </c>
      <c r="U54" s="59" t="n"/>
      <c r="V54" s="52" t="n"/>
      <c r="W54" s="53" t="n"/>
      <c r="X54" s="53" t="n"/>
      <c r="Y54" s="52" t="n"/>
      <c r="Z54" s="52" t="n"/>
      <c r="AA54" s="59" t="n"/>
      <c r="AB54" s="59" t="inlineStr">
        <is>
          <t>해당 병해충(원문): 붉은썩음병, 뿌리썩음병</t>
        </is>
      </c>
      <c r="AC54" s="52" t="n"/>
      <c r="AD54" s="52" t="n"/>
      <c r="AE54" s="52" t="n"/>
      <c r="AF54" s="60" t="n"/>
      <c r="AG54" s="61" t="n"/>
      <c r="AH54" s="61" t="n"/>
      <c r="AI54" s="61" t="n"/>
      <c r="AJ54" s="52" t="n"/>
      <c r="AK54" s="53" t="n"/>
      <c r="AL54" s="59" t="n"/>
      <c r="AM54" s="53" t="n"/>
      <c r="AN54" s="59" t="inlineStr">
        <is>
          <t>스포르곤 수화제</t>
        </is>
      </c>
      <c r="AO54" s="52" t="inlineStr">
        <is>
          <t>수확7일전 / 3회</t>
        </is>
      </c>
      <c r="AP54" s="59" t="inlineStr">
        <is>
          <t>개요 &gt; 구매 약제 전체 목록 (추천표 중 학교 미보유분)</t>
        </is>
      </c>
      <c r="AQ54" s="59" t="n"/>
      <c r="AR54" s="61" t="n"/>
    </row>
    <row r="55" ht="35" customHeight="1">
      <c r="A55" s="51" t="n">
        <v>54</v>
      </c>
      <c r="B55" s="52" t="inlineStr">
        <is>
          <t>구매 필요 약제</t>
        </is>
      </c>
      <c r="C55" s="53" t="inlineStr">
        <is>
          <t>파프리카</t>
        </is>
      </c>
      <c r="D55" s="53" t="inlineStr">
        <is>
          <t>병해</t>
        </is>
      </c>
      <c r="E55" s="54" t="inlineStr">
        <is>
          <t>뿌리썩음병</t>
        </is>
      </c>
      <c r="F55" s="55" t="n"/>
      <c r="G55" s="56" t="inlineStr">
        <is>
          <t>스포르곤</t>
        </is>
      </c>
      <c r="H55" s="53" t="inlineStr">
        <is>
          <t>수화제</t>
        </is>
      </c>
      <c r="I55" s="53" t="inlineStr">
        <is>
          <t>미보유</t>
        </is>
      </c>
      <c r="J55" s="53" t="inlineStr">
        <is>
          <t>등록 농약</t>
        </is>
      </c>
      <c r="K55" s="57" t="n">
        <v>1000</v>
      </c>
      <c r="L55" s="52" t="inlineStr">
        <is>
          <t>관주처리</t>
        </is>
      </c>
      <c r="M55" s="52" t="n"/>
      <c r="N55" s="52" t="inlineStr">
        <is>
          <t>수확7일전</t>
        </is>
      </c>
      <c r="O55" s="58" t="n">
        <v>3</v>
      </c>
      <c r="P55" s="53" t="n"/>
      <c r="Q55" s="59" t="n"/>
      <c r="R55" s="59" t="inlineStr">
        <is>
          <t>모스피란 · 코니도 · 타스타와의 혼용 조합 자료 없음</t>
        </is>
      </c>
      <c r="S55" s="59" t="inlineStr">
        <is>
          <t>Prochloraz-manganese</t>
        </is>
      </c>
      <c r="T55" s="52" t="inlineStr">
        <is>
          <t>사1</t>
        </is>
      </c>
      <c r="U55" s="59" t="n"/>
      <c r="V55" s="52" t="n"/>
      <c r="W55" s="53" t="n"/>
      <c r="X55" s="53" t="n"/>
      <c r="Y55" s="52" t="n"/>
      <c r="Z55" s="52" t="n"/>
      <c r="AA55" s="59" t="n"/>
      <c r="AB55" s="59" t="inlineStr">
        <is>
          <t>해당 병해충(원문): 붉은썩음병, 뿌리썩음병</t>
        </is>
      </c>
      <c r="AC55" s="52" t="n"/>
      <c r="AD55" s="52" t="n"/>
      <c r="AE55" s="52" t="n"/>
      <c r="AF55" s="60" t="n"/>
      <c r="AG55" s="61" t="n"/>
      <c r="AH55" s="61" t="n"/>
      <c r="AI55" s="61" t="n"/>
      <c r="AJ55" s="52" t="n"/>
      <c r="AK55" s="53" t="n"/>
      <c r="AL55" s="59" t="n"/>
      <c r="AM55" s="53" t="n"/>
      <c r="AN55" s="59" t="inlineStr">
        <is>
          <t>스포르곤 수화제</t>
        </is>
      </c>
      <c r="AO55" s="52" t="inlineStr">
        <is>
          <t>수확7일전 / 3회</t>
        </is>
      </c>
      <c r="AP55" s="59" t="inlineStr">
        <is>
          <t>개요 &gt; 구매 약제 전체 목록 (추천표 중 학교 미보유분)</t>
        </is>
      </c>
      <c r="AQ55" s="59" t="n"/>
      <c r="AR55" s="61" t="n"/>
    </row>
    <row r="56" ht="35" customHeight="1">
      <c r="A56" s="51" t="n">
        <v>55</v>
      </c>
      <c r="B56" s="52" t="inlineStr">
        <is>
          <t>구매 필요 약제</t>
        </is>
      </c>
      <c r="C56" s="53" t="inlineStr">
        <is>
          <t>파프리카</t>
        </is>
      </c>
      <c r="D56" s="53" t="inlineStr">
        <is>
          <t>병해</t>
        </is>
      </c>
      <c r="E56" s="54" t="inlineStr">
        <is>
          <t>붉은썩음병</t>
        </is>
      </c>
      <c r="F56" s="55" t="n"/>
      <c r="G56" s="56" t="inlineStr">
        <is>
          <t>스포르곤</t>
        </is>
      </c>
      <c r="H56" s="53" t="inlineStr">
        <is>
          <t>입제</t>
        </is>
      </c>
      <c r="I56" s="53" t="inlineStr">
        <is>
          <t>미보유</t>
        </is>
      </c>
      <c r="J56" s="53" t="inlineStr">
        <is>
          <t>등록 농약</t>
        </is>
      </c>
      <c r="K56" s="57" t="n">
        <v>1000</v>
      </c>
      <c r="L56" s="52" t="inlineStr">
        <is>
          <t>관주처리</t>
        </is>
      </c>
      <c r="M56" s="52" t="n"/>
      <c r="N56" s="52" t="inlineStr">
        <is>
          <t>수확7일전</t>
        </is>
      </c>
      <c r="O56" s="58" t="n">
        <v>3</v>
      </c>
      <c r="P56" s="53" t="n"/>
      <c r="Q56" s="59" t="n"/>
      <c r="R56" s="59" t="inlineStr">
        <is>
          <t>모스피란 · 코니도 · 타스타와의 혼용 조합 자료 없음</t>
        </is>
      </c>
      <c r="S56" s="59" t="inlineStr">
        <is>
          <t>Prochloraz-manganese</t>
        </is>
      </c>
      <c r="T56" s="52" t="inlineStr">
        <is>
          <t>사1</t>
        </is>
      </c>
      <c r="U56" s="59" t="n"/>
      <c r="V56" s="52" t="n"/>
      <c r="W56" s="53" t="n"/>
      <c r="X56" s="53" t="n"/>
      <c r="Y56" s="52" t="n"/>
      <c r="Z56" s="52" t="n"/>
      <c r="AA56" s="59" t="n"/>
      <c r="AB56" s="59" t="inlineStr">
        <is>
          <t>해당 병해충(원문): 붉은썩음병, 뿌리썩음병, 탄저병</t>
        </is>
      </c>
      <c r="AC56" s="52" t="n"/>
      <c r="AD56" s="52" t="n"/>
      <c r="AE56" s="52" t="n"/>
      <c r="AF56" s="60" t="n"/>
      <c r="AG56" s="61" t="n"/>
      <c r="AH56" s="61" t="n"/>
      <c r="AI56" s="61" t="n"/>
      <c r="AJ56" s="52" t="n"/>
      <c r="AK56" s="53" t="n"/>
      <c r="AL56" s="59" t="n"/>
      <c r="AM56" s="53" t="n"/>
      <c r="AN56" s="59" t="inlineStr">
        <is>
          <t>스포르곤 입제</t>
        </is>
      </c>
      <c r="AO56" s="52" t="inlineStr">
        <is>
          <t>수확7일전 / 3회</t>
        </is>
      </c>
      <c r="AP56" s="59" t="inlineStr">
        <is>
          <t>개요 &gt; 구매 약제 전체 목록 (추천표 중 학교 미보유분)</t>
        </is>
      </c>
      <c r="AQ56" s="59" t="n"/>
      <c r="AR56" s="61" t="n"/>
    </row>
    <row r="57" ht="35" customHeight="1">
      <c r="A57" s="51" t="n">
        <v>56</v>
      </c>
      <c r="B57" s="52" t="inlineStr">
        <is>
          <t>구매 필요 약제</t>
        </is>
      </c>
      <c r="C57" s="53" t="inlineStr">
        <is>
          <t>파프리카</t>
        </is>
      </c>
      <c r="D57" s="53" t="inlineStr">
        <is>
          <t>병해</t>
        </is>
      </c>
      <c r="E57" s="54" t="inlineStr">
        <is>
          <t>뿌리썩음병</t>
        </is>
      </c>
      <c r="F57" s="55" t="n"/>
      <c r="G57" s="56" t="inlineStr">
        <is>
          <t>스포르곤</t>
        </is>
      </c>
      <c r="H57" s="53" t="inlineStr">
        <is>
          <t>입제</t>
        </is>
      </c>
      <c r="I57" s="53" t="inlineStr">
        <is>
          <t>미보유</t>
        </is>
      </c>
      <c r="J57" s="53" t="inlineStr">
        <is>
          <t>등록 농약</t>
        </is>
      </c>
      <c r="K57" s="57" t="n">
        <v>1000</v>
      </c>
      <c r="L57" s="52" t="inlineStr">
        <is>
          <t>관주처리</t>
        </is>
      </c>
      <c r="M57" s="52" t="n"/>
      <c r="N57" s="52" t="inlineStr">
        <is>
          <t>수확7일전</t>
        </is>
      </c>
      <c r="O57" s="58" t="n">
        <v>3</v>
      </c>
      <c r="P57" s="53" t="n"/>
      <c r="Q57" s="59" t="n"/>
      <c r="R57" s="59" t="inlineStr">
        <is>
          <t>모스피란 · 코니도 · 타스타와의 혼용 조합 자료 없음</t>
        </is>
      </c>
      <c r="S57" s="59" t="inlineStr">
        <is>
          <t>Prochloraz-manganese</t>
        </is>
      </c>
      <c r="T57" s="52" t="inlineStr">
        <is>
          <t>사1</t>
        </is>
      </c>
      <c r="U57" s="59" t="n"/>
      <c r="V57" s="52" t="n"/>
      <c r="W57" s="53" t="n"/>
      <c r="X57" s="53" t="n"/>
      <c r="Y57" s="52" t="n"/>
      <c r="Z57" s="52" t="n"/>
      <c r="AA57" s="59" t="n"/>
      <c r="AB57" s="59" t="inlineStr">
        <is>
          <t>해당 병해충(원문): 붉은썩음병, 뿌리썩음병, 탄저병</t>
        </is>
      </c>
      <c r="AC57" s="52" t="n"/>
      <c r="AD57" s="52" t="n"/>
      <c r="AE57" s="52" t="n"/>
      <c r="AF57" s="60" t="n"/>
      <c r="AG57" s="61" t="n"/>
      <c r="AH57" s="61" t="n"/>
      <c r="AI57" s="61" t="n"/>
      <c r="AJ57" s="52" t="n"/>
      <c r="AK57" s="53" t="n"/>
      <c r="AL57" s="59" t="n"/>
      <c r="AM57" s="53" t="n"/>
      <c r="AN57" s="59" t="inlineStr">
        <is>
          <t>스포르곤 입제</t>
        </is>
      </c>
      <c r="AO57" s="52" t="inlineStr">
        <is>
          <t>수확7일전 / 3회</t>
        </is>
      </c>
      <c r="AP57" s="59" t="inlineStr">
        <is>
          <t>개요 &gt; 구매 약제 전체 목록 (추천표 중 학교 미보유분)</t>
        </is>
      </c>
      <c r="AQ57" s="59" t="n"/>
      <c r="AR57" s="61" t="n"/>
    </row>
    <row r="58" ht="35" customHeight="1">
      <c r="A58" s="51" t="n">
        <v>57</v>
      </c>
      <c r="B58" s="52" t="inlineStr">
        <is>
          <t>구매 필요 약제</t>
        </is>
      </c>
      <c r="C58" s="53" t="inlineStr">
        <is>
          <t>파프리카</t>
        </is>
      </c>
      <c r="D58" s="53" t="inlineStr">
        <is>
          <t>병해</t>
        </is>
      </c>
      <c r="E58" s="54" t="inlineStr">
        <is>
          <t>탄저병</t>
        </is>
      </c>
      <c r="F58" s="55" t="n"/>
      <c r="G58" s="56" t="inlineStr">
        <is>
          <t>스포르곤</t>
        </is>
      </c>
      <c r="H58" s="53" t="inlineStr">
        <is>
          <t>입제</t>
        </is>
      </c>
      <c r="I58" s="53" t="inlineStr">
        <is>
          <t>미보유</t>
        </is>
      </c>
      <c r="J58" s="53" t="inlineStr">
        <is>
          <t>등록 농약</t>
        </is>
      </c>
      <c r="K58" s="57" t="n">
        <v>1000</v>
      </c>
      <c r="L58" s="52" t="inlineStr">
        <is>
          <t>관주처리</t>
        </is>
      </c>
      <c r="M58" s="52" t="n"/>
      <c r="N58" s="52" t="inlineStr">
        <is>
          <t>수확7일전</t>
        </is>
      </c>
      <c r="O58" s="58" t="n">
        <v>3</v>
      </c>
      <c r="P58" s="53" t="n"/>
      <c r="Q58" s="59" t="n"/>
      <c r="R58" s="59" t="inlineStr">
        <is>
          <t>모스피란 · 코니도 · 타스타와의 혼용 조합 자료 없음</t>
        </is>
      </c>
      <c r="S58" s="59" t="inlineStr">
        <is>
          <t>Prochloraz-manganese</t>
        </is>
      </c>
      <c r="T58" s="52" t="inlineStr">
        <is>
          <t>사1</t>
        </is>
      </c>
      <c r="U58" s="59" t="n"/>
      <c r="V58" s="52" t="n"/>
      <c r="W58" s="53" t="n"/>
      <c r="X58" s="53" t="n"/>
      <c r="Y58" s="52" t="n"/>
      <c r="Z58" s="52" t="n"/>
      <c r="AA58" s="59" t="n"/>
      <c r="AB58" s="59" t="inlineStr">
        <is>
          <t>해당 병해충(원문): 붉은썩음병, 뿌리썩음병, 탄저병</t>
        </is>
      </c>
      <c r="AC58" s="52" t="n"/>
      <c r="AD58" s="52" t="n"/>
      <c r="AE58" s="52" t="n"/>
      <c r="AF58" s="60" t="n"/>
      <c r="AG58" s="61" t="n"/>
      <c r="AH58" s="61" t="n"/>
      <c r="AI58" s="61" t="n"/>
      <c r="AJ58" s="52" t="n"/>
      <c r="AK58" s="53" t="n"/>
      <c r="AL58" s="59" t="n"/>
      <c r="AM58" s="53" t="n"/>
      <c r="AN58" s="59" t="inlineStr">
        <is>
          <t>스포르곤 입제</t>
        </is>
      </c>
      <c r="AO58" s="52" t="inlineStr">
        <is>
          <t>수확7일전 / 3회</t>
        </is>
      </c>
      <c r="AP58" s="59" t="inlineStr">
        <is>
          <t>개요 &gt; 구매 약제 전체 목록 (추천표 중 학교 미보유분)</t>
        </is>
      </c>
      <c r="AQ58" s="59" t="n"/>
      <c r="AR58" s="61" t="n"/>
    </row>
    <row r="59" ht="35" customHeight="1">
      <c r="A59" s="51" t="n">
        <v>58</v>
      </c>
      <c r="B59" s="52" t="inlineStr">
        <is>
          <t>구매 필요 약제</t>
        </is>
      </c>
      <c r="C59" s="53" t="inlineStr">
        <is>
          <t>파프리카</t>
        </is>
      </c>
      <c r="D59" s="53" t="inlineStr">
        <is>
          <t>해충</t>
        </is>
      </c>
      <c r="E59" s="54" t="inlineStr">
        <is>
          <t>거세미나방류</t>
        </is>
      </c>
      <c r="F59" s="55" t="n"/>
      <c r="G59" s="56" t="inlineStr">
        <is>
          <t>싸이포스</t>
        </is>
      </c>
      <c r="H59" s="53" t="inlineStr">
        <is>
          <t>입제</t>
        </is>
      </c>
      <c r="I59" s="53" t="inlineStr">
        <is>
          <t>미보유</t>
        </is>
      </c>
      <c r="J59" s="53" t="inlineStr">
        <is>
          <t>등록 농약</t>
        </is>
      </c>
      <c r="K59" s="57" t="n"/>
      <c r="L59" s="52" t="inlineStr">
        <is>
          <t>토양처리</t>
        </is>
      </c>
      <c r="M59" s="52" t="inlineStr">
        <is>
          <t>정식기</t>
        </is>
      </c>
      <c r="N59" s="52" t="n"/>
      <c r="O59" s="58" t="n">
        <v>1</v>
      </c>
      <c r="P59" s="53" t="n"/>
      <c r="Q59" s="59" t="n"/>
      <c r="R59" s="59" t="n"/>
      <c r="S59" s="59" t="inlineStr">
        <is>
          <t>Cypermethrin+Tebupirimfos</t>
        </is>
      </c>
      <c r="T59" s="52" t="inlineStr">
        <is>
          <t>3a+1b</t>
        </is>
      </c>
      <c r="U59" s="59" t="n"/>
      <c r="V59" s="52" t="n"/>
      <c r="W59" s="53" t="n"/>
      <c r="X59" s="53" t="n"/>
      <c r="Y59" s="52" t="n"/>
      <c r="Z59" s="52" t="n"/>
      <c r="AA59" s="59" t="n"/>
      <c r="AB59" s="59" t="inlineStr">
        <is>
          <t>해당 병해충(원문): 거세미나방류</t>
        </is>
      </c>
      <c r="AC59" s="52" t="n"/>
      <c r="AD59" s="52" t="n"/>
      <c r="AE59" s="52" t="n"/>
      <c r="AF59" s="60" t="n"/>
      <c r="AG59" s="61" t="n"/>
      <c r="AH59" s="61" t="n"/>
      <c r="AI59" s="61" t="n"/>
      <c r="AJ59" s="52" t="n"/>
      <c r="AK59" s="53" t="n"/>
      <c r="AL59" s="59" t="n"/>
      <c r="AM59" s="53" t="n"/>
      <c r="AN59" s="59" t="inlineStr">
        <is>
          <t>싸이포스 입제</t>
        </is>
      </c>
      <c r="AO59" s="52" t="inlineStr">
        <is>
          <t>정식기 / 1회</t>
        </is>
      </c>
      <c r="AP59" s="59" t="inlineStr">
        <is>
          <t>개요 &gt; 구매 약제 전체 목록 (추천표 중 학교 미보유분)</t>
        </is>
      </c>
      <c r="AQ59" s="59" t="n"/>
      <c r="AR59" s="61" t="n"/>
    </row>
    <row r="60" ht="35" customHeight="1">
      <c r="A60" s="51" t="n">
        <v>59</v>
      </c>
      <c r="B60" s="52" t="inlineStr">
        <is>
          <t>구매 필요 약제</t>
        </is>
      </c>
      <c r="C60" s="53" t="inlineStr">
        <is>
          <t>파프리카</t>
        </is>
      </c>
      <c r="D60" s="53" t="inlineStr">
        <is>
          <t>해충</t>
        </is>
      </c>
      <c r="E60" s="54" t="inlineStr">
        <is>
          <t>거세미나방류</t>
        </is>
      </c>
      <c r="F60" s="55" t="n"/>
      <c r="G60" s="56" t="inlineStr">
        <is>
          <t>쏘버린</t>
        </is>
      </c>
      <c r="H60" s="53" t="inlineStr">
        <is>
          <t>입제</t>
        </is>
      </c>
      <c r="I60" s="53" t="inlineStr">
        <is>
          <t>미보유</t>
        </is>
      </c>
      <c r="J60" s="53" t="inlineStr">
        <is>
          <t>등록 농약</t>
        </is>
      </c>
      <c r="K60" s="57" t="n"/>
      <c r="L60" s="52" t="inlineStr">
        <is>
          <t>토양처리</t>
        </is>
      </c>
      <c r="M60" s="52" t="inlineStr">
        <is>
          <t>정식기</t>
        </is>
      </c>
      <c r="N60" s="52" t="n"/>
      <c r="O60" s="58" t="n">
        <v>1</v>
      </c>
      <c r="P60" s="53" t="n"/>
      <c r="Q60" s="59" t="n"/>
      <c r="R60" s="59" t="inlineStr">
        <is>
          <t>정식 시 흙에 뿌리는 입제 — 혼용정보표 대상 아님</t>
        </is>
      </c>
      <c r="S60" s="59" t="inlineStr">
        <is>
          <t>Carbosulfan</t>
        </is>
      </c>
      <c r="T60" s="52" t="inlineStr">
        <is>
          <t>1a</t>
        </is>
      </c>
      <c r="U60" s="59" t="n"/>
      <c r="V60" s="52" t="n"/>
      <c r="W60" s="53" t="n"/>
      <c r="X60" s="53" t="n"/>
      <c r="Y60" s="52" t="n"/>
      <c r="Z60" s="52" t="n"/>
      <c r="AA60" s="59" t="n"/>
      <c r="AB60" s="59" t="inlineStr">
        <is>
          <t>해당 병해충(원문): 거세미나방류</t>
        </is>
      </c>
      <c r="AC60" s="52" t="n"/>
      <c r="AD60" s="52" t="n"/>
      <c r="AE60" s="52" t="n"/>
      <c r="AF60" s="60" t="n"/>
      <c r="AG60" s="61" t="n"/>
      <c r="AH60" s="61" t="n"/>
      <c r="AI60" s="61" t="n"/>
      <c r="AJ60" s="52" t="n"/>
      <c r="AK60" s="53" t="n"/>
      <c r="AL60" s="59" t="n"/>
      <c r="AM60" s="53" t="n"/>
      <c r="AN60" s="59" t="inlineStr">
        <is>
          <t>쏘버린 입제</t>
        </is>
      </c>
      <c r="AO60" s="52" t="inlineStr">
        <is>
          <t>정식기 / 1회</t>
        </is>
      </c>
      <c r="AP60" s="59" t="inlineStr">
        <is>
          <t>개요 &gt; 구매 약제 전체 목록 (추천표 중 학교 미보유분)</t>
        </is>
      </c>
      <c r="AQ60" s="59" t="n"/>
      <c r="AR60" s="61" t="n"/>
    </row>
    <row r="61" ht="35" customHeight="1">
      <c r="A61" s="51" t="n">
        <v>60</v>
      </c>
      <c r="B61" s="52" t="inlineStr">
        <is>
          <t>구매 필요 약제</t>
        </is>
      </c>
      <c r="C61" s="53" t="inlineStr">
        <is>
          <t>파프리카</t>
        </is>
      </c>
      <c r="D61" s="53" t="inlineStr">
        <is>
          <t>해충</t>
        </is>
      </c>
      <c r="E61" s="54" t="inlineStr">
        <is>
          <t>진딧물(목화진딧물, 복숭아혹진딧물)</t>
        </is>
      </c>
      <c r="F61" s="55" t="n"/>
      <c r="G61" s="56" t="inlineStr">
        <is>
          <t>아라치</t>
        </is>
      </c>
      <c r="H61" s="53" t="inlineStr">
        <is>
          <t>입상수화제</t>
        </is>
      </c>
      <c r="I61" s="53" t="inlineStr">
        <is>
          <t>미보유</t>
        </is>
      </c>
      <c r="J61" s="53" t="inlineStr">
        <is>
          <t>등록 농약</t>
        </is>
      </c>
      <c r="K61" s="57" t="n">
        <v>2000</v>
      </c>
      <c r="L61" s="52" t="inlineStr">
        <is>
          <t>경엽처리</t>
        </is>
      </c>
      <c r="M61" s="52" t="n"/>
      <c r="N61" s="52" t="inlineStr">
        <is>
          <t>수확3일전</t>
        </is>
      </c>
      <c r="O61" s="58" t="n">
        <v>3</v>
      </c>
      <c r="P61" s="53" t="n"/>
      <c r="Q61" s="59" t="n"/>
      <c r="R61" s="59" t="n"/>
      <c r="S61" s="59" t="inlineStr">
        <is>
          <t>Thiamethoxam</t>
        </is>
      </c>
      <c r="T61" s="52" t="inlineStr">
        <is>
          <t>4a</t>
        </is>
      </c>
      <c r="U61" s="59" t="n"/>
      <c r="V61" s="52" t="n"/>
      <c r="W61" s="53" t="n"/>
      <c r="X61" s="53" t="n"/>
      <c r="Y61" s="52" t="n"/>
      <c r="Z61" s="52" t="n"/>
      <c r="AA61" s="59" t="n"/>
      <c r="AB61" s="59" t="inlineStr">
        <is>
          <t>해당 병해충(원문): 진딧물(목화진딧물, 복숭아혹진딧물)</t>
        </is>
      </c>
      <c r="AC61" s="52" t="n"/>
      <c r="AD61" s="52" t="n"/>
      <c r="AE61" s="52" t="n"/>
      <c r="AF61" s="60" t="n"/>
      <c r="AG61" s="61" t="n"/>
      <c r="AH61" s="61" t="n"/>
      <c r="AI61" s="61" t="n"/>
      <c r="AJ61" s="52" t="n"/>
      <c r="AK61" s="53" t="n"/>
      <c r="AL61" s="59" t="n"/>
      <c r="AM61" s="53" t="n"/>
      <c r="AN61" s="59" t="inlineStr">
        <is>
          <t>아라치 입상수화제</t>
        </is>
      </c>
      <c r="AO61" s="52" t="inlineStr">
        <is>
          <t>수확3일전 / 3회</t>
        </is>
      </c>
      <c r="AP61" s="59" t="inlineStr">
        <is>
          <t>개요 &gt; 구매 약제 전체 목록 (추천표 중 학교 미보유분)</t>
        </is>
      </c>
      <c r="AQ61" s="59" t="n"/>
      <c r="AR61" s="61" t="n"/>
    </row>
    <row r="62" ht="35" customHeight="1">
      <c r="A62" s="51" t="n">
        <v>61</v>
      </c>
      <c r="B62" s="52" t="inlineStr">
        <is>
          <t>구매 필요 약제</t>
        </is>
      </c>
      <c r="C62" s="53" t="inlineStr">
        <is>
          <t>파프리카</t>
        </is>
      </c>
      <c r="D62" s="53" t="inlineStr">
        <is>
          <t>병해</t>
        </is>
      </c>
      <c r="E62" s="54" t="inlineStr">
        <is>
          <t>갈색점무늬병</t>
        </is>
      </c>
      <c r="F62" s="55" t="n"/>
      <c r="G62" s="56" t="inlineStr">
        <is>
          <t>오조아</t>
        </is>
      </c>
      <c r="H62" s="53" t="inlineStr">
        <is>
          <t>수화제</t>
        </is>
      </c>
      <c r="I62" s="53" t="inlineStr">
        <is>
          <t>미보유</t>
        </is>
      </c>
      <c r="J62" s="53" t="inlineStr">
        <is>
          <t>등록 농약</t>
        </is>
      </c>
      <c r="K62" s="57" t="n">
        <v>2000</v>
      </c>
      <c r="L62" s="52" t="inlineStr">
        <is>
          <t>경엽처리</t>
        </is>
      </c>
      <c r="M62" s="52" t="n"/>
      <c r="N62" s="52" t="inlineStr">
        <is>
          <t>수확5일전</t>
        </is>
      </c>
      <c r="O62" s="58" t="n">
        <v>4</v>
      </c>
      <c r="P62" s="53" t="n"/>
      <c r="Q62" s="59" t="n"/>
      <c r="R62" s="59" t="n"/>
      <c r="S62" s="59" t="inlineStr">
        <is>
          <t>Fluazinam</t>
        </is>
      </c>
      <c r="T62" s="52" t="inlineStr">
        <is>
          <t>다5</t>
        </is>
      </c>
      <c r="U62" s="59" t="n"/>
      <c r="V62" s="52" t="n"/>
      <c r="W62" s="53" t="n"/>
      <c r="X62" s="53" t="n"/>
      <c r="Y62" s="52" t="n"/>
      <c r="Z62" s="52" t="n"/>
      <c r="AA62" s="59" t="n"/>
      <c r="AB62" s="59" t="inlineStr">
        <is>
          <t>해당 병해충(원문): 갈색점무늬병, 잿빛곰팡이병</t>
        </is>
      </c>
      <c r="AC62" s="52" t="n"/>
      <c r="AD62" s="52" t="n"/>
      <c r="AE62" s="52" t="n"/>
      <c r="AF62" s="60" t="n"/>
      <c r="AG62" s="61" t="n"/>
      <c r="AH62" s="61" t="n"/>
      <c r="AI62" s="61" t="n"/>
      <c r="AJ62" s="52" t="n"/>
      <c r="AK62" s="53" t="n"/>
      <c r="AL62" s="59" t="n"/>
      <c r="AM62" s="53" t="n"/>
      <c r="AN62" s="59" t="inlineStr">
        <is>
          <t>오조아 수화제</t>
        </is>
      </c>
      <c r="AO62" s="52" t="inlineStr">
        <is>
          <t>수확5일전 / 4회</t>
        </is>
      </c>
      <c r="AP62" s="59" t="inlineStr">
        <is>
          <t>개요 &gt; 구매 약제 전체 목록 (추천표 중 학교 미보유분)</t>
        </is>
      </c>
      <c r="AQ62" s="59" t="n"/>
      <c r="AR62" s="61" t="n"/>
    </row>
    <row r="63" ht="35" customHeight="1">
      <c r="A63" s="51" t="n">
        <v>62</v>
      </c>
      <c r="B63" s="52" t="inlineStr">
        <is>
          <t>구매 필요 약제</t>
        </is>
      </c>
      <c r="C63" s="53" t="inlineStr">
        <is>
          <t>파프리카</t>
        </is>
      </c>
      <c r="D63" s="53" t="inlineStr">
        <is>
          <t>병해</t>
        </is>
      </c>
      <c r="E63" s="54" t="inlineStr">
        <is>
          <t>잿빛곰팡이병</t>
        </is>
      </c>
      <c r="F63" s="55" t="n"/>
      <c r="G63" s="56" t="inlineStr">
        <is>
          <t>오조아</t>
        </is>
      </c>
      <c r="H63" s="53" t="inlineStr">
        <is>
          <t>수화제</t>
        </is>
      </c>
      <c r="I63" s="53" t="inlineStr">
        <is>
          <t>미보유</t>
        </is>
      </c>
      <c r="J63" s="53" t="inlineStr">
        <is>
          <t>등록 농약</t>
        </is>
      </c>
      <c r="K63" s="57" t="n">
        <v>2000</v>
      </c>
      <c r="L63" s="52" t="inlineStr">
        <is>
          <t>경엽처리</t>
        </is>
      </c>
      <c r="M63" s="52" t="n"/>
      <c r="N63" s="52" t="inlineStr">
        <is>
          <t>수확5일전</t>
        </is>
      </c>
      <c r="O63" s="58" t="n">
        <v>4</v>
      </c>
      <c r="P63" s="53" t="n"/>
      <c r="Q63" s="59" t="n"/>
      <c r="R63" s="59" t="n"/>
      <c r="S63" s="59" t="inlineStr">
        <is>
          <t>Fluazinam</t>
        </is>
      </c>
      <c r="T63" s="52" t="inlineStr">
        <is>
          <t>다5</t>
        </is>
      </c>
      <c r="U63" s="59" t="n"/>
      <c r="V63" s="52" t="n"/>
      <c r="W63" s="53" t="n"/>
      <c r="X63" s="53" t="n"/>
      <c r="Y63" s="52" t="n"/>
      <c r="Z63" s="52" t="n"/>
      <c r="AA63" s="59" t="n"/>
      <c r="AB63" s="59" t="inlineStr">
        <is>
          <t>해당 병해충(원문): 갈색점무늬병, 잿빛곰팡이병</t>
        </is>
      </c>
      <c r="AC63" s="52" t="n"/>
      <c r="AD63" s="52" t="n"/>
      <c r="AE63" s="52" t="n"/>
      <c r="AF63" s="60" t="n"/>
      <c r="AG63" s="61" t="n"/>
      <c r="AH63" s="61" t="n"/>
      <c r="AI63" s="61" t="n"/>
      <c r="AJ63" s="52" t="n"/>
      <c r="AK63" s="53" t="n"/>
      <c r="AL63" s="59" t="n"/>
      <c r="AM63" s="53" t="n"/>
      <c r="AN63" s="59" t="inlineStr">
        <is>
          <t>오조아 수화제</t>
        </is>
      </c>
      <c r="AO63" s="52" t="inlineStr">
        <is>
          <t>수확5일전 / 4회</t>
        </is>
      </c>
      <c r="AP63" s="59" t="inlineStr">
        <is>
          <t>개요 &gt; 구매 약제 전체 목록 (추천표 중 학교 미보유분)</t>
        </is>
      </c>
      <c r="AQ63" s="59" t="n"/>
      <c r="AR63" s="61" t="n"/>
    </row>
    <row r="64" ht="35" customHeight="1">
      <c r="A64" s="51" t="n">
        <v>63</v>
      </c>
      <c r="B64" s="52" t="inlineStr">
        <is>
          <t>구매 필요 약제</t>
        </is>
      </c>
      <c r="C64" s="53" t="inlineStr">
        <is>
          <t>파프리카</t>
        </is>
      </c>
      <c r="D64" s="53" t="inlineStr">
        <is>
          <t>해충</t>
        </is>
      </c>
      <c r="E64" s="54" t="inlineStr">
        <is>
          <t>진딧물(목화진딧물, 복숭아혹진딧물)</t>
        </is>
      </c>
      <c r="F64" s="55" t="n"/>
      <c r="G64" s="56" t="inlineStr">
        <is>
          <t>주렁</t>
        </is>
      </c>
      <c r="H64" s="53" t="inlineStr">
        <is>
          <t>유제</t>
        </is>
      </c>
      <c r="I64" s="53" t="inlineStr">
        <is>
          <t>미보유</t>
        </is>
      </c>
      <c r="J64" s="53" t="inlineStr">
        <is>
          <t>등록 농약</t>
        </is>
      </c>
      <c r="K64" s="57" t="n">
        <v>1000</v>
      </c>
      <c r="L64" s="52" t="inlineStr">
        <is>
          <t>경엽처리</t>
        </is>
      </c>
      <c r="M64" s="52" t="n"/>
      <c r="N64" s="52" t="inlineStr">
        <is>
          <t>수확2일전</t>
        </is>
      </c>
      <c r="O64" s="58" t="n">
        <v>3</v>
      </c>
      <c r="P64" s="53" t="n"/>
      <c r="Q64" s="59" t="n"/>
      <c r="R64" s="59" t="n"/>
      <c r="S64" s="59" t="inlineStr">
        <is>
          <t>Lambda-cyhalothrin</t>
        </is>
      </c>
      <c r="T64" s="52" t="inlineStr">
        <is>
          <t>3a</t>
        </is>
      </c>
      <c r="U64" s="59" t="n"/>
      <c r="V64" s="52" t="n"/>
      <c r="W64" s="53" t="n"/>
      <c r="X64" s="53" t="n"/>
      <c r="Y64" s="52" t="n"/>
      <c r="Z64" s="52" t="n"/>
      <c r="AA64" s="59" t="n"/>
      <c r="AB64" s="59" t="inlineStr">
        <is>
          <t>해당 병해충(원문): 진딧물(목화진딧물, 복숭아혹진딧물)</t>
        </is>
      </c>
      <c r="AC64" s="52" t="n"/>
      <c r="AD64" s="52" t="n"/>
      <c r="AE64" s="52" t="n"/>
      <c r="AF64" s="60" t="n"/>
      <c r="AG64" s="61" t="n"/>
      <c r="AH64" s="61" t="n"/>
      <c r="AI64" s="61" t="n"/>
      <c r="AJ64" s="52" t="n"/>
      <c r="AK64" s="53" t="n"/>
      <c r="AL64" s="59" t="n"/>
      <c r="AM64" s="53" t="n"/>
      <c r="AN64" s="59" t="inlineStr">
        <is>
          <t>주렁 유제</t>
        </is>
      </c>
      <c r="AO64" s="52" t="inlineStr">
        <is>
          <t>수확2일전 / 3회</t>
        </is>
      </c>
      <c r="AP64" s="59" t="inlineStr">
        <is>
          <t>개요 &gt; 구매 약제 전체 목록 (추천표 중 학교 미보유분)</t>
        </is>
      </c>
      <c r="AQ64" s="59" t="n"/>
      <c r="AR64" s="61" t="n"/>
    </row>
    <row r="65" ht="35" customHeight="1">
      <c r="A65" s="51" t="n">
        <v>64</v>
      </c>
      <c r="B65" s="52" t="inlineStr">
        <is>
          <t>구매 필요 약제</t>
        </is>
      </c>
      <c r="C65" s="53" t="inlineStr">
        <is>
          <t>파프리카</t>
        </is>
      </c>
      <c r="D65" s="53" t="inlineStr">
        <is>
          <t>해충</t>
        </is>
      </c>
      <c r="E65" s="54" t="inlineStr">
        <is>
          <t>온실가루이</t>
        </is>
      </c>
      <c r="F65" s="55" t="n"/>
      <c r="G65" s="56" t="inlineStr">
        <is>
          <t>코니도</t>
        </is>
      </c>
      <c r="H65" s="53" t="inlineStr">
        <is>
          <t>수화제</t>
        </is>
      </c>
      <c r="I65" s="53" t="inlineStr">
        <is>
          <t>미보유</t>
        </is>
      </c>
      <c r="J65" s="53" t="inlineStr">
        <is>
          <t>등록 농약</t>
        </is>
      </c>
      <c r="K65" s="57" t="n">
        <v>2000</v>
      </c>
      <c r="L65" s="52" t="inlineStr">
        <is>
          <t>경엽처리</t>
        </is>
      </c>
      <c r="M65" s="52" t="n"/>
      <c r="N65" s="52" t="inlineStr">
        <is>
          <t>수확5일전</t>
        </is>
      </c>
      <c r="O65" s="58" t="n">
        <v>3</v>
      </c>
      <c r="P65" s="53" t="n"/>
      <c r="Q65" s="59" t="n"/>
      <c r="R65" s="59" t="inlineStr">
        <is>
          <t>혼용 가능 살균제(팜한농 조회): 벨쿠트</t>
        </is>
      </c>
      <c r="S65" s="59" t="inlineStr">
        <is>
          <t>Imidacloprid</t>
        </is>
      </c>
      <c r="T65" s="52" t="inlineStr">
        <is>
          <t>4a</t>
        </is>
      </c>
      <c r="U65" s="59" t="n"/>
      <c r="V65" s="52" t="n"/>
      <c r="W65" s="53" t="n"/>
      <c r="X65" s="53" t="n"/>
      <c r="Y65" s="52" t="n"/>
      <c r="Z65" s="52" t="n"/>
      <c r="AA65" s="59" t="n"/>
      <c r="AB65" s="59" t="inlineStr">
        <is>
          <t>해당 병해충(원문): 온실가루이</t>
        </is>
      </c>
      <c r="AC65" s="52" t="n"/>
      <c r="AD65" s="52" t="n"/>
      <c r="AE65" s="52" t="n"/>
      <c r="AF65" s="60" t="n"/>
      <c r="AG65" s="61" t="n"/>
      <c r="AH65" s="61" t="n"/>
      <c r="AI65" s="61" t="n"/>
      <c r="AJ65" s="52" t="n"/>
      <c r="AK65" s="53" t="n"/>
      <c r="AL65" s="59" t="n"/>
      <c r="AM65" s="53" t="n"/>
      <c r="AN65" s="59" t="inlineStr">
        <is>
          <t>코니도 수화제</t>
        </is>
      </c>
      <c r="AO65" s="52" t="inlineStr">
        <is>
          <t>수확5일전 / 3회</t>
        </is>
      </c>
      <c r="AP65" s="59" t="inlineStr">
        <is>
          <t>개요 &gt; 구매 약제 전체 목록 (추천표 중 학교 미보유분)</t>
        </is>
      </c>
      <c r="AQ65" s="59" t="n"/>
      <c r="AR65" s="61" t="n"/>
    </row>
    <row r="66" ht="35" customHeight="1">
      <c r="A66" s="51" t="n">
        <v>65</v>
      </c>
      <c r="B66" s="52" t="inlineStr">
        <is>
          <t>구매 필요 약제</t>
        </is>
      </c>
      <c r="C66" s="53" t="inlineStr">
        <is>
          <t>파프리카</t>
        </is>
      </c>
      <c r="D66" s="53" t="inlineStr">
        <is>
          <t>병해</t>
        </is>
      </c>
      <c r="E66" s="54" t="inlineStr">
        <is>
          <t>풋마름병</t>
        </is>
      </c>
      <c r="F66" s="55" t="n"/>
      <c r="G66" s="56" t="inlineStr">
        <is>
          <t>크린쏘일</t>
        </is>
      </c>
      <c r="H66" s="53" t="inlineStr">
        <is>
          <t>입제</t>
        </is>
      </c>
      <c r="I66" s="53" t="inlineStr">
        <is>
          <t>미보유</t>
        </is>
      </c>
      <c r="J66" s="53" t="inlineStr">
        <is>
          <t>등록 농약</t>
        </is>
      </c>
      <c r="K66" s="57" t="n"/>
      <c r="L66" s="52" t="inlineStr">
        <is>
          <t>토양처리</t>
        </is>
      </c>
      <c r="M66" s="52" t="inlineStr">
        <is>
          <t>정식기</t>
        </is>
      </c>
      <c r="N66" s="52" t="n"/>
      <c r="O66" s="58" t="n">
        <v>1</v>
      </c>
      <c r="P66" s="53" t="n"/>
      <c r="Q66" s="59" t="n"/>
      <c r="R66" s="59" t="n"/>
      <c r="S66" s="59" t="inlineStr">
        <is>
          <t>Dazomet</t>
        </is>
      </c>
      <c r="T66" s="52" t="inlineStr">
        <is>
          <t>미분류(살균제)</t>
        </is>
      </c>
      <c r="U66" s="59" t="n"/>
      <c r="V66" s="52" t="n"/>
      <c r="W66" s="53" t="n"/>
      <c r="X66" s="53" t="n"/>
      <c r="Y66" s="52" t="n"/>
      <c r="Z66" s="52" t="n"/>
      <c r="AA66" s="59" t="n"/>
      <c r="AB66" s="59" t="inlineStr">
        <is>
          <t>해당 병해충(원문): 풋마름병</t>
        </is>
      </c>
      <c r="AC66" s="52" t="n"/>
      <c r="AD66" s="52" t="n"/>
      <c r="AE66" s="52" t="n"/>
      <c r="AF66" s="60" t="n"/>
      <c r="AG66" s="61" t="n"/>
      <c r="AH66" s="61" t="n"/>
      <c r="AI66" s="61" t="n"/>
      <c r="AJ66" s="52" t="n"/>
      <c r="AK66" s="53" t="n"/>
      <c r="AL66" s="59" t="n"/>
      <c r="AM66" s="53" t="n"/>
      <c r="AN66" s="59" t="inlineStr">
        <is>
          <t>크린쏘일 입제</t>
        </is>
      </c>
      <c r="AO66" s="52" t="inlineStr">
        <is>
          <t>정식기 / 1회</t>
        </is>
      </c>
      <c r="AP66" s="59" t="inlineStr">
        <is>
          <t>개요 &gt; 구매 약제 전체 목록 (추천표 중 학교 미보유분)</t>
        </is>
      </c>
      <c r="AQ66" s="59" t="n"/>
      <c r="AR66" s="61" t="n"/>
    </row>
    <row r="67" ht="35" customHeight="1">
      <c r="A67" s="51" t="n">
        <v>66</v>
      </c>
      <c r="B67" s="52" t="inlineStr">
        <is>
          <t>구매 필요 약제</t>
        </is>
      </c>
      <c r="C67" s="53" t="inlineStr">
        <is>
          <t>파프리카</t>
        </is>
      </c>
      <c r="D67" s="53" t="inlineStr">
        <is>
          <t>병해</t>
        </is>
      </c>
      <c r="E67" s="54" t="inlineStr">
        <is>
          <t>갈색무늬병</t>
        </is>
      </c>
      <c r="F67" s="55" t="n"/>
      <c r="G67" s="56" t="inlineStr">
        <is>
          <t>탄쟈비상</t>
        </is>
      </c>
      <c r="H67" s="53" t="inlineStr">
        <is>
          <t>액상수화제</t>
        </is>
      </c>
      <c r="I67" s="53" t="inlineStr">
        <is>
          <t>미보유</t>
        </is>
      </c>
      <c r="J67" s="53" t="inlineStr">
        <is>
          <t>등록 농약</t>
        </is>
      </c>
      <c r="K67" s="57" t="n">
        <v>2000</v>
      </c>
      <c r="L67" s="52" t="inlineStr">
        <is>
          <t>경엽처리</t>
        </is>
      </c>
      <c r="M67" s="52" t="n"/>
      <c r="N67" s="52" t="inlineStr">
        <is>
          <t>수확3일전</t>
        </is>
      </c>
      <c r="O67" s="58" t="n">
        <v>3</v>
      </c>
      <c r="P67" s="53" t="n"/>
      <c r="Q67" s="59" t="n"/>
      <c r="R67" s="59" t="inlineStr">
        <is>
          <t>모스피란과 혼용 가능(경농 조회)</t>
        </is>
      </c>
      <c r="S67" s="59" t="inlineStr">
        <is>
          <t>Trifloxystrobin</t>
        </is>
      </c>
      <c r="T67" s="52" t="inlineStr">
        <is>
          <t>다3</t>
        </is>
      </c>
      <c r="U67" s="59" t="n"/>
      <c r="V67" s="52" t="n"/>
      <c r="W67" s="53" t="n"/>
      <c r="X67" s="53" t="n"/>
      <c r="Y67" s="52" t="n"/>
      <c r="Z67" s="52" t="n"/>
      <c r="AA67" s="59" t="n"/>
      <c r="AB67" s="59" t="inlineStr">
        <is>
          <t>해당 병해충(원문): 갈색무늬병</t>
        </is>
      </c>
      <c r="AC67" s="52" t="n"/>
      <c r="AD67" s="52" t="n"/>
      <c r="AE67" s="52" t="n"/>
      <c r="AF67" s="60" t="n"/>
      <c r="AG67" s="61" t="n"/>
      <c r="AH67" s="61" t="n"/>
      <c r="AI67" s="61" t="n"/>
      <c r="AJ67" s="52" t="n"/>
      <c r="AK67" s="53" t="n"/>
      <c r="AL67" s="59" t="n"/>
      <c r="AM67" s="53" t="n"/>
      <c r="AN67" s="59" t="inlineStr">
        <is>
          <t>탄쟈비상 액상수화제</t>
        </is>
      </c>
      <c r="AO67" s="52" t="inlineStr">
        <is>
          <t>수확3일전 / 3회</t>
        </is>
      </c>
      <c r="AP67" s="59" t="inlineStr">
        <is>
          <t>개요 &gt; 구매 약제 전체 목록 (추천표 중 학교 미보유분)</t>
        </is>
      </c>
      <c r="AQ67" s="59" t="n"/>
      <c r="AR67" s="61" t="n"/>
    </row>
    <row r="68" ht="65" customHeight="1">
      <c r="A68" s="51" t="n">
        <v>67</v>
      </c>
      <c r="B68" s="52" t="inlineStr">
        <is>
          <t>유기농업자재</t>
        </is>
      </c>
      <c r="C68" s="53" t="inlineStr">
        <is>
          <t>고추</t>
        </is>
      </c>
      <c r="D68" s="53" t="inlineStr">
        <is>
          <t>해충</t>
        </is>
      </c>
      <c r="E68" s="54" t="inlineStr">
        <is>
          <t>꽃노랑총채벌레</t>
        </is>
      </c>
      <c r="F68" s="55" t="n"/>
      <c r="G68" s="56" t="inlineStr">
        <is>
          <t>한방싹충도사</t>
        </is>
      </c>
      <c r="H68" s="53" t="n"/>
      <c r="I68" s="53" t="n"/>
      <c r="J68" s="53" t="inlineStr">
        <is>
          <t>유기농업자재</t>
        </is>
      </c>
      <c r="K68" s="57" t="n">
        <v>1000</v>
      </c>
      <c r="L68" s="52" t="inlineStr">
        <is>
          <t>경엽처리</t>
        </is>
      </c>
      <c r="M68" s="52" t="inlineStr">
        <is>
          <t>발생초기</t>
        </is>
      </c>
      <c r="N68" s="52" t="n"/>
      <c r="O68" s="58" t="n"/>
      <c r="P68" s="53" t="n"/>
      <c r="Q68" s="59" t="inlineStr">
        <is>
          <t>화학농약이 아닌 유기농업자재 — 등록 농약과 안전사용기준·법적 지위가 다름</t>
        </is>
      </c>
      <c r="R68" s="59" t="n"/>
      <c r="S68" s="59" t="inlineStr">
        <is>
          <t>오렌지추출물 15%+파라핀오일 65%</t>
        </is>
      </c>
      <c r="T68" s="52" t="n"/>
      <c r="U68" s="59" t="n"/>
      <c r="V68" s="52" t="n"/>
      <c r="W68" s="53" t="n"/>
      <c r="X68" s="53" t="inlineStr">
        <is>
          <t>61.7%</t>
        </is>
      </c>
      <c r="Y68" s="52" t="inlineStr">
        <is>
          <t>농업회사법인 장수바이오(주)</t>
        </is>
      </c>
      <c r="Z68" s="52" t="inlineStr">
        <is>
          <t>063-351-4081</t>
        </is>
      </c>
      <c r="AA68" s="59" t="n"/>
      <c r="AB68" s="59" t="inlineStr">
        <is>
          <t>관련 병해충·방제가(원문): 꽃노랑총채벌레(고추, 61.7%)온실가루이(오이 시험, 60%이상) / 희석·처리(원문): 1,000배 희석경엽처리</t>
        </is>
      </c>
      <c r="AC68" s="52" t="inlineStr">
        <is>
          <t>공시-3-6-054(공시-1-6-036)</t>
        </is>
      </c>
      <c r="AD68" s="52" t="inlineStr">
        <is>
          <t>병해충관리용</t>
        </is>
      </c>
      <c r="AE68" s="52" t="inlineStr">
        <is>
          <t>식물추출물+파라핀오일</t>
        </is>
      </c>
      <c r="AF68" s="60" t="n">
        <v>44000</v>
      </c>
      <c r="AG68" s="61" t="n">
        <v>43518</v>
      </c>
      <c r="AH68" s="61" t="n">
        <v>45710</v>
      </c>
      <c r="AI68" s="61" t="n">
        <v>46804</v>
      </c>
      <c r="AJ68" s="52" t="inlineStr">
        <is>
          <t>330-87-00896</t>
        </is>
      </c>
      <c r="AK68" s="53" t="inlineStr">
        <is>
          <t>- (미기재)</t>
        </is>
      </c>
      <c r="AL68" s="59" t="inlineStr">
        <is>
          <t>전북특별자치도 장수군 장수읍 논개로 242-10</t>
        </is>
      </c>
      <c r="AM68" s="53" t="inlineStr">
        <is>
          <t>없음</t>
        </is>
      </c>
      <c r="AN68" s="59" t="inlineStr">
        <is>
          <t>한방싹충도사</t>
        </is>
      </c>
      <c r="AO68" s="52" t="n"/>
      <c r="AP68" s="59" t="inlineStr">
        <is>
          <t>문서 앞부분 요약표 · PART 3. 유기농업자재 &gt; 요약 비교표 (동일 표 2회 수록)</t>
        </is>
      </c>
      <c r="AQ68" s="59" t="inlineStr">
        <is>
          <t>국립농산물품질관리원 유기농업자재 공시현황(naqs.go.kr)</t>
        </is>
      </c>
      <c r="AR68" s="61" t="n">
        <v>46283</v>
      </c>
    </row>
    <row r="69" ht="65" customHeight="1">
      <c r="A69" s="51" t="n">
        <v>68</v>
      </c>
      <c r="B69" s="52" t="inlineStr">
        <is>
          <t>유기농업자재</t>
        </is>
      </c>
      <c r="C69" s="53" t="inlineStr">
        <is>
          <t>오이(시험)</t>
        </is>
      </c>
      <c r="D69" s="53" t="inlineStr">
        <is>
          <t>해충</t>
        </is>
      </c>
      <c r="E69" s="54" t="inlineStr">
        <is>
          <t>온실가루이</t>
        </is>
      </c>
      <c r="F69" s="55" t="n"/>
      <c r="G69" s="56" t="inlineStr">
        <is>
          <t>한방싹충도사</t>
        </is>
      </c>
      <c r="H69" s="53" t="n"/>
      <c r="I69" s="53" t="n"/>
      <c r="J69" s="53" t="inlineStr">
        <is>
          <t>유기농업자재</t>
        </is>
      </c>
      <c r="K69" s="57" t="n">
        <v>1000</v>
      </c>
      <c r="L69" s="52" t="inlineStr">
        <is>
          <t>경엽처리</t>
        </is>
      </c>
      <c r="M69" s="52" t="n"/>
      <c r="N69" s="52" t="n"/>
      <c r="O69" s="58" t="n"/>
      <c r="P69" s="53" t="n"/>
      <c r="Q69" s="59" t="inlineStr">
        <is>
          <t>고추가 아닌 오이 시험 결과 / 화학농약이 아닌 유기농업자재 — 등록 농약과 안전사용기준·법적 지위가 다름</t>
        </is>
      </c>
      <c r="R69" s="59" t="n"/>
      <c r="S69" s="59" t="inlineStr">
        <is>
          <t>오렌지추출물 15%+파라핀오일 65%</t>
        </is>
      </c>
      <c r="T69" s="52" t="n"/>
      <c r="U69" s="59" t="n"/>
      <c r="V69" s="52" t="n"/>
      <c r="W69" s="53" t="n"/>
      <c r="X69" s="53" t="inlineStr">
        <is>
          <t>60% 이상</t>
        </is>
      </c>
      <c r="Y69" s="52" t="inlineStr">
        <is>
          <t>농업회사법인 장수바이오(주)</t>
        </is>
      </c>
      <c r="Z69" s="52" t="inlineStr">
        <is>
          <t>063-351-4081</t>
        </is>
      </c>
      <c r="AA69" s="59" t="n"/>
      <c r="AB69" s="59" t="inlineStr">
        <is>
          <t>관련 병해충·방제가(원문): 꽃노랑총채벌레(고추, 61.7%)온실가루이(오이 시험, 60%이상) / 희석·처리(원문): 1,000배 희석경엽처리</t>
        </is>
      </c>
      <c r="AC69" s="52" t="inlineStr">
        <is>
          <t>공시-3-6-054(공시-1-6-036)</t>
        </is>
      </c>
      <c r="AD69" s="52" t="inlineStr">
        <is>
          <t>병해충관리용</t>
        </is>
      </c>
      <c r="AE69" s="52" t="inlineStr">
        <is>
          <t>식물추출물+파라핀오일</t>
        </is>
      </c>
      <c r="AF69" s="60" t="n">
        <v>44000</v>
      </c>
      <c r="AG69" s="61" t="n">
        <v>43518</v>
      </c>
      <c r="AH69" s="61" t="n">
        <v>45710</v>
      </c>
      <c r="AI69" s="61" t="n">
        <v>46804</v>
      </c>
      <c r="AJ69" s="52" t="inlineStr">
        <is>
          <t>330-87-00896</t>
        </is>
      </c>
      <c r="AK69" s="53" t="inlineStr">
        <is>
          <t>- (미기재)</t>
        </is>
      </c>
      <c r="AL69" s="59" t="inlineStr">
        <is>
          <t>전북특별자치도 장수군 장수읍 논개로 242-10</t>
        </is>
      </c>
      <c r="AM69" s="53" t="inlineStr">
        <is>
          <t>없음</t>
        </is>
      </c>
      <c r="AN69" s="59" t="inlineStr">
        <is>
          <t>한방싹충도사</t>
        </is>
      </c>
      <c r="AO69" s="52" t="n"/>
      <c r="AP69" s="59" t="inlineStr">
        <is>
          <t>문서 앞부분 요약표 · PART 3. 유기농업자재 &gt; 요약 비교표 (동일 표 2회 수록)</t>
        </is>
      </c>
      <c r="AQ69" s="59" t="inlineStr">
        <is>
          <t>국립농산물품질관리원 유기농업자재 공시현황(naqs.go.kr)</t>
        </is>
      </c>
      <c r="AR69" s="61" t="n">
        <v>46283</v>
      </c>
    </row>
    <row r="70" ht="80" customHeight="1">
      <c r="A70" s="51" t="n">
        <v>69</v>
      </c>
      <c r="B70" s="52" t="inlineStr">
        <is>
          <t>유기농업자재</t>
        </is>
      </c>
      <c r="C70" s="53" t="inlineStr">
        <is>
          <t>고추</t>
        </is>
      </c>
      <c r="D70" s="53" t="inlineStr">
        <is>
          <t>해충</t>
        </is>
      </c>
      <c r="E70" s="54" t="inlineStr">
        <is>
          <t>복숭아혹진딧물</t>
        </is>
      </c>
      <c r="F70" s="55" t="n"/>
      <c r="G70" s="56" t="inlineStr">
        <is>
          <t>뉴응칠이</t>
        </is>
      </c>
      <c r="H70" s="53" t="n"/>
      <c r="I70" s="53" t="n"/>
      <c r="J70" s="53" t="inlineStr">
        <is>
          <t>유기농업자재</t>
        </is>
      </c>
      <c r="K70" s="57" t="n">
        <v>1000</v>
      </c>
      <c r="L70" s="52" t="inlineStr">
        <is>
          <t>경엽처리</t>
        </is>
      </c>
      <c r="M70" s="52" t="inlineStr">
        <is>
          <t>생육기</t>
        </is>
      </c>
      <c r="N70" s="52" t="n"/>
      <c r="O70" s="58" t="n"/>
      <c r="P70" s="53" t="n"/>
      <c r="Q70" s="59" t="inlineStr">
        <is>
          <t>화학농약이 아닌 유기농업자재 — 등록 농약과 안전사용기준·법적 지위가 다름 / 접촉성 제제(잎 뒷면까지 흠뻑 살포) · 강알칼리성 제제·석회보르도액·유황합제 혼용 금지 · 꿀벌 활동에 영향 가능</t>
        </is>
      </c>
      <c r="R70" s="59" t="n"/>
      <c r="S70" s="59" t="inlineStr">
        <is>
          <t>유칼립투스오일 30%+고삼추출물 50%</t>
        </is>
      </c>
      <c r="T70" s="52" t="n"/>
      <c r="U70" s="59" t="n"/>
      <c r="V70" s="52" t="n"/>
      <c r="W70" s="53" t="n"/>
      <c r="X70" s="53" t="inlineStr">
        <is>
          <t>50% 이상</t>
        </is>
      </c>
      <c r="Y70" s="52" t="inlineStr">
        <is>
          <t>고려바이오㈜</t>
        </is>
      </c>
      <c r="Z70" s="52" t="inlineStr">
        <is>
          <t>031-354-8183</t>
        </is>
      </c>
      <c r="AA70" s="59" t="n"/>
      <c r="AB70" s="59" t="inlineStr">
        <is>
          <t>관련 병해충·방제가(원문): 복숭아혹진딧물(고추, 50%이상)꽃노랑총채벌레·온실가루이(오이 시험, 50%이상) / 희석·처리(원문): 1,000배 희석경엽처리</t>
        </is>
      </c>
      <c r="AC70" s="52" t="inlineStr">
        <is>
          <t>공시-2-6-061</t>
        </is>
      </c>
      <c r="AD70" s="52" t="inlineStr">
        <is>
          <t>병해충관리용</t>
        </is>
      </c>
      <c r="AE70" s="52" t="inlineStr">
        <is>
          <t>식물성오일+식물추출물</t>
        </is>
      </c>
      <c r="AF70" s="60" t="n">
        <v>45000</v>
      </c>
      <c r="AG70" s="61" t="n">
        <v>44280</v>
      </c>
      <c r="AH70" s="61" t="n">
        <v>45376</v>
      </c>
      <c r="AI70" s="61" t="n">
        <v>46470</v>
      </c>
      <c r="AJ70" s="52" t="inlineStr">
        <is>
          <t>124-86-37020</t>
        </is>
      </c>
      <c r="AK70" s="53" t="inlineStr">
        <is>
          <t>있음</t>
        </is>
      </c>
      <c r="AL70" s="59" t="inlineStr">
        <is>
          <t>경기도 화성시 효행구 정남면 정남동로 346</t>
        </is>
      </c>
      <c r="AM70" s="53" t="inlineStr">
        <is>
          <t>없음</t>
        </is>
      </c>
      <c r="AN70" s="59" t="inlineStr">
        <is>
          <t>뉴응칠이</t>
        </is>
      </c>
      <c r="AO70" s="52" t="n"/>
      <c r="AP70" s="59" t="inlineStr">
        <is>
          <t>문서 앞부분 요약표 · PART 3. 유기농업자재 &gt; 요약 비교표 (동일 표 2회 수록)</t>
        </is>
      </c>
      <c r="AQ70" s="59" t="inlineStr">
        <is>
          <t>국립농산물품질관리원 유기농업자재 공시현황(naqs.go.kr)</t>
        </is>
      </c>
      <c r="AR70" s="61" t="n">
        <v>46283</v>
      </c>
    </row>
    <row r="71" ht="95" customHeight="1">
      <c r="A71" s="51" t="n">
        <v>70</v>
      </c>
      <c r="B71" s="52" t="inlineStr">
        <is>
          <t>유기농업자재</t>
        </is>
      </c>
      <c r="C71" s="53" t="inlineStr">
        <is>
          <t>오이(시험)</t>
        </is>
      </c>
      <c r="D71" s="53" t="inlineStr">
        <is>
          <t>해충</t>
        </is>
      </c>
      <c r="E71" s="54" t="inlineStr">
        <is>
          <t>꽃노랑총채벌레</t>
        </is>
      </c>
      <c r="F71" s="55" t="n"/>
      <c r="G71" s="56" t="inlineStr">
        <is>
          <t>뉴응칠이</t>
        </is>
      </c>
      <c r="H71" s="53" t="n"/>
      <c r="I71" s="53" t="n"/>
      <c r="J71" s="53" t="inlineStr">
        <is>
          <t>유기농업자재</t>
        </is>
      </c>
      <c r="K71" s="57" t="n">
        <v>1000</v>
      </c>
      <c r="L71" s="52" t="inlineStr">
        <is>
          <t>경엽처리</t>
        </is>
      </c>
      <c r="M71" s="52" t="n"/>
      <c r="N71" s="52" t="n"/>
      <c r="O71" s="58" t="n"/>
      <c r="P71" s="53" t="n"/>
      <c r="Q71" s="59" t="inlineStr">
        <is>
          <t>고추가 아닌 오이 시험 결과 / 화학농약이 아닌 유기농업자재 — 등록 농약과 안전사용기준·법적 지위가 다름 / 접촉성 제제(잎 뒷면까지 흠뻑 살포) · 강알칼리성 제제·석회보르도액·유황합제 혼용 금지 · 꿀벌 활동에 영향 가능</t>
        </is>
      </c>
      <c r="R71" s="59" t="n"/>
      <c r="S71" s="59" t="inlineStr">
        <is>
          <t>유칼립투스오일 30%+고삼추출물 50%</t>
        </is>
      </c>
      <c r="T71" s="52" t="n"/>
      <c r="U71" s="59" t="n"/>
      <c r="V71" s="52" t="n"/>
      <c r="W71" s="53" t="n"/>
      <c r="X71" s="53" t="inlineStr">
        <is>
          <t>50% 이상</t>
        </is>
      </c>
      <c r="Y71" s="52" t="inlineStr">
        <is>
          <t>고려바이오㈜</t>
        </is>
      </c>
      <c r="Z71" s="52" t="inlineStr">
        <is>
          <t>031-354-8183</t>
        </is>
      </c>
      <c r="AA71" s="59" t="n"/>
      <c r="AB71" s="59" t="inlineStr">
        <is>
          <t>관련 병해충·방제가(원문): 복숭아혹진딧물(고추, 50%이상)꽃노랑총채벌레·온실가루이(오이 시험, 50%이상) / 희석·처리(원문): 1,000배 희석경엽처리</t>
        </is>
      </c>
      <c r="AC71" s="52" t="inlineStr">
        <is>
          <t>공시-2-6-061</t>
        </is>
      </c>
      <c r="AD71" s="52" t="inlineStr">
        <is>
          <t>병해충관리용</t>
        </is>
      </c>
      <c r="AE71" s="52" t="inlineStr">
        <is>
          <t>식물성오일+식물추출물</t>
        </is>
      </c>
      <c r="AF71" s="60" t="n">
        <v>45000</v>
      </c>
      <c r="AG71" s="61" t="n">
        <v>44280</v>
      </c>
      <c r="AH71" s="61" t="n">
        <v>45376</v>
      </c>
      <c r="AI71" s="61" t="n">
        <v>46470</v>
      </c>
      <c r="AJ71" s="52" t="inlineStr">
        <is>
          <t>124-86-37020</t>
        </is>
      </c>
      <c r="AK71" s="53" t="inlineStr">
        <is>
          <t>있음</t>
        </is>
      </c>
      <c r="AL71" s="59" t="inlineStr">
        <is>
          <t>경기도 화성시 효행구 정남면 정남동로 346</t>
        </is>
      </c>
      <c r="AM71" s="53" t="inlineStr">
        <is>
          <t>없음</t>
        </is>
      </c>
      <c r="AN71" s="59" t="inlineStr">
        <is>
          <t>뉴응칠이</t>
        </is>
      </c>
      <c r="AO71" s="52" t="n"/>
      <c r="AP71" s="59" t="inlineStr">
        <is>
          <t>문서 앞부분 요약표 · PART 3. 유기농업자재 &gt; 요약 비교표 (동일 표 2회 수록)</t>
        </is>
      </c>
      <c r="AQ71" s="59" t="inlineStr">
        <is>
          <t>국립농산물품질관리원 유기농업자재 공시현황(naqs.go.kr)</t>
        </is>
      </c>
      <c r="AR71" s="61" t="n">
        <v>46283</v>
      </c>
    </row>
    <row r="72" ht="95" customHeight="1">
      <c r="A72" s="51" t="n">
        <v>71</v>
      </c>
      <c r="B72" s="52" t="inlineStr">
        <is>
          <t>유기농업자재</t>
        </is>
      </c>
      <c r="C72" s="53" t="inlineStr">
        <is>
          <t>오이(시험)</t>
        </is>
      </c>
      <c r="D72" s="53" t="inlineStr">
        <is>
          <t>해충</t>
        </is>
      </c>
      <c r="E72" s="54" t="inlineStr">
        <is>
          <t>온실가루이</t>
        </is>
      </c>
      <c r="F72" s="55" t="n"/>
      <c r="G72" s="56" t="inlineStr">
        <is>
          <t>뉴응칠이</t>
        </is>
      </c>
      <c r="H72" s="53" t="n"/>
      <c r="I72" s="53" t="n"/>
      <c r="J72" s="53" t="inlineStr">
        <is>
          <t>유기농업자재</t>
        </is>
      </c>
      <c r="K72" s="57" t="n">
        <v>1000</v>
      </c>
      <c r="L72" s="52" t="inlineStr">
        <is>
          <t>경엽처리</t>
        </is>
      </c>
      <c r="M72" s="52" t="n"/>
      <c r="N72" s="52" t="n"/>
      <c r="O72" s="58" t="n"/>
      <c r="P72" s="53" t="n"/>
      <c r="Q72" s="59" t="inlineStr">
        <is>
          <t>고추가 아닌 오이 시험 결과 / 화학농약이 아닌 유기농업자재 — 등록 농약과 안전사용기준·법적 지위가 다름 / 접촉성 제제(잎 뒷면까지 흠뻑 살포) · 강알칼리성 제제·석회보르도액·유황합제 혼용 금지 · 꿀벌 활동에 영향 가능</t>
        </is>
      </c>
      <c r="R72" s="59" t="n"/>
      <c r="S72" s="59" t="inlineStr">
        <is>
          <t>유칼립투스오일 30%+고삼추출물 50%</t>
        </is>
      </c>
      <c r="T72" s="52" t="n"/>
      <c r="U72" s="59" t="n"/>
      <c r="V72" s="52" t="n"/>
      <c r="W72" s="53" t="n"/>
      <c r="X72" s="53" t="inlineStr">
        <is>
          <t>50% 이상</t>
        </is>
      </c>
      <c r="Y72" s="52" t="inlineStr">
        <is>
          <t>고려바이오㈜</t>
        </is>
      </c>
      <c r="Z72" s="52" t="inlineStr">
        <is>
          <t>031-354-8183</t>
        </is>
      </c>
      <c r="AA72" s="59" t="n"/>
      <c r="AB72" s="59" t="inlineStr">
        <is>
          <t>관련 병해충·방제가(원문): 복숭아혹진딧물(고추, 50%이상)꽃노랑총채벌레·온실가루이(오이 시험, 50%이상) / 희석·처리(원문): 1,000배 희석경엽처리</t>
        </is>
      </c>
      <c r="AC72" s="52" t="inlineStr">
        <is>
          <t>공시-2-6-061</t>
        </is>
      </c>
      <c r="AD72" s="52" t="inlineStr">
        <is>
          <t>병해충관리용</t>
        </is>
      </c>
      <c r="AE72" s="52" t="inlineStr">
        <is>
          <t>식물성오일+식물추출물</t>
        </is>
      </c>
      <c r="AF72" s="60" t="n">
        <v>45000</v>
      </c>
      <c r="AG72" s="61" t="n">
        <v>44280</v>
      </c>
      <c r="AH72" s="61" t="n">
        <v>45376</v>
      </c>
      <c r="AI72" s="61" t="n">
        <v>46470</v>
      </c>
      <c r="AJ72" s="52" t="inlineStr">
        <is>
          <t>124-86-37020</t>
        </is>
      </c>
      <c r="AK72" s="53" t="inlineStr">
        <is>
          <t>있음</t>
        </is>
      </c>
      <c r="AL72" s="59" t="inlineStr">
        <is>
          <t>경기도 화성시 효행구 정남면 정남동로 346</t>
        </is>
      </c>
      <c r="AM72" s="53" t="inlineStr">
        <is>
          <t>없음</t>
        </is>
      </c>
      <c r="AN72" s="59" t="inlineStr">
        <is>
          <t>뉴응칠이</t>
        </is>
      </c>
      <c r="AO72" s="52" t="n"/>
      <c r="AP72" s="59" t="inlineStr">
        <is>
          <t>문서 앞부분 요약표 · PART 3. 유기농업자재 &gt; 요약 비교표 (동일 표 2회 수록)</t>
        </is>
      </c>
      <c r="AQ72" s="59" t="inlineStr">
        <is>
          <t>국립농산물품질관리원 유기농업자재 공시현황(naqs.go.kr)</t>
        </is>
      </c>
      <c r="AR72" s="61" t="n">
        <v>46283</v>
      </c>
    </row>
    <row r="73" ht="35" customHeight="1">
      <c r="A73" s="51" t="n">
        <v>72</v>
      </c>
      <c r="B73" s="52" t="inlineStr">
        <is>
          <t>유기농업자재(기타 방제효과)</t>
        </is>
      </c>
      <c r="C73" s="53" t="inlineStr">
        <is>
          <t>딸기</t>
        </is>
      </c>
      <c r="D73" s="53" t="inlineStr">
        <is>
          <t>해충</t>
        </is>
      </c>
      <c r="E73" s="54" t="inlineStr">
        <is>
          <t>점박이응애</t>
        </is>
      </c>
      <c r="F73" s="55" t="n"/>
      <c r="G73" s="56" t="inlineStr">
        <is>
          <t>한방싹충도사</t>
        </is>
      </c>
      <c r="H73" s="53" t="n"/>
      <c r="I73" s="53" t="n"/>
      <c r="J73" s="53" t="inlineStr">
        <is>
          <t>유기농업자재</t>
        </is>
      </c>
      <c r="K73" s="57" t="n"/>
      <c r="L73" s="52" t="n"/>
      <c r="M73" s="52" t="n"/>
      <c r="N73" s="52" t="n"/>
      <c r="O73" s="58" t="n"/>
      <c r="P73" s="53" t="n"/>
      <c r="Q73" s="59" t="inlineStr">
        <is>
          <t>화학농약이 아닌 유기농업자재 — 등록 농약과 안전사용기준·법적 지위가 다름</t>
        </is>
      </c>
      <c r="R73" s="59" t="n"/>
      <c r="S73" s="59" t="inlineStr">
        <is>
          <t>오렌지추출물 15%, 파라핀오일 65%</t>
        </is>
      </c>
      <c r="T73" s="52" t="n"/>
      <c r="U73" s="59" t="n"/>
      <c r="V73" s="52" t="n"/>
      <c r="W73" s="53" t="n"/>
      <c r="X73" s="53" t="inlineStr">
        <is>
          <t>67.5%</t>
        </is>
      </c>
      <c r="Y73" s="52" t="inlineStr">
        <is>
          <t>농업회사법인 장수바이오(주)</t>
        </is>
      </c>
      <c r="Z73" s="52" t="inlineStr">
        <is>
          <t>063-351-4081</t>
        </is>
      </c>
      <c r="AA73" s="59" t="n"/>
      <c r="AB73" s="59" t="n"/>
      <c r="AC73" s="52" t="inlineStr">
        <is>
          <t>공시-3-6-054(공시-1-6-036)</t>
        </is>
      </c>
      <c r="AD73" s="52" t="inlineStr">
        <is>
          <t>병해충관리용</t>
        </is>
      </c>
      <c r="AE73" s="52" t="inlineStr">
        <is>
          <t>식물추출물+파라핀오일</t>
        </is>
      </c>
      <c r="AF73" s="60" t="n"/>
      <c r="AG73" s="61" t="n">
        <v>43518</v>
      </c>
      <c r="AH73" s="61" t="n">
        <v>45710</v>
      </c>
      <c r="AI73" s="61" t="n">
        <v>46804</v>
      </c>
      <c r="AJ73" s="52" t="inlineStr">
        <is>
          <t>330-87-00896</t>
        </is>
      </c>
      <c r="AK73" s="53" t="inlineStr">
        <is>
          <t>- (미기재)</t>
        </is>
      </c>
      <c r="AL73" s="59" t="inlineStr">
        <is>
          <t>전북특별자치도 장수군 장수읍 논개로 242-10</t>
        </is>
      </c>
      <c r="AM73" s="53" t="inlineStr">
        <is>
          <t>없음</t>
        </is>
      </c>
      <c r="AN73" s="59" t="n"/>
      <c r="AO73" s="52" t="n"/>
      <c r="AP73" s="59" t="inlineStr">
        <is>
          <t>PART 3. 유기농업자재 &gt; 한방싹충도사 (병해충관리용)</t>
        </is>
      </c>
      <c r="AQ73" s="59" t="inlineStr">
        <is>
          <t>국립농산물품질관리원 유기농업자재 공시현황(naqs.go.kr)</t>
        </is>
      </c>
      <c r="AR73" s="61" t="n">
        <v>46283</v>
      </c>
    </row>
    <row r="74" ht="35" customHeight="1">
      <c r="A74" s="51" t="n">
        <v>73</v>
      </c>
      <c r="B74" s="52" t="inlineStr">
        <is>
          <t>유기농업자재(기타 방제효과)</t>
        </is>
      </c>
      <c r="C74" s="53" t="inlineStr">
        <is>
          <t>배</t>
        </is>
      </c>
      <c r="D74" s="53" t="inlineStr">
        <is>
          <t>해충</t>
        </is>
      </c>
      <c r="E74" s="54" t="inlineStr">
        <is>
          <t>조팝나무진딧물</t>
        </is>
      </c>
      <c r="F74" s="55" t="n"/>
      <c r="G74" s="56" t="inlineStr">
        <is>
          <t>한방싹충도사</t>
        </is>
      </c>
      <c r="H74" s="53" t="n"/>
      <c r="I74" s="53" t="n"/>
      <c r="J74" s="53" t="inlineStr">
        <is>
          <t>유기농업자재</t>
        </is>
      </c>
      <c r="K74" s="57" t="n"/>
      <c r="L74" s="52" t="n"/>
      <c r="M74" s="52" t="n"/>
      <c r="N74" s="52" t="n"/>
      <c r="O74" s="58" t="n"/>
      <c r="P74" s="53" t="n"/>
      <c r="Q74" s="59" t="inlineStr">
        <is>
          <t>화학농약이 아닌 유기농업자재 — 등록 농약과 안전사용기준·법적 지위가 다름</t>
        </is>
      </c>
      <c r="R74" s="59" t="n"/>
      <c r="S74" s="59" t="inlineStr">
        <is>
          <t>오렌지추출물 15%, 파라핀오일 65%</t>
        </is>
      </c>
      <c r="T74" s="52" t="n"/>
      <c r="U74" s="59" t="n"/>
      <c r="V74" s="52" t="n"/>
      <c r="W74" s="53" t="n"/>
      <c r="X74" s="53" t="inlineStr">
        <is>
          <t>77.4%</t>
        </is>
      </c>
      <c r="Y74" s="52" t="inlineStr">
        <is>
          <t>농업회사법인 장수바이오(주)</t>
        </is>
      </c>
      <c r="Z74" s="52" t="inlineStr">
        <is>
          <t>063-351-4081</t>
        </is>
      </c>
      <c r="AA74" s="59" t="n"/>
      <c r="AB74" s="59" t="n"/>
      <c r="AC74" s="52" t="inlineStr">
        <is>
          <t>공시-3-6-054(공시-1-6-036)</t>
        </is>
      </c>
      <c r="AD74" s="52" t="inlineStr">
        <is>
          <t>병해충관리용</t>
        </is>
      </c>
      <c r="AE74" s="52" t="inlineStr">
        <is>
          <t>식물추출물+파라핀오일</t>
        </is>
      </c>
      <c r="AF74" s="60" t="n"/>
      <c r="AG74" s="61" t="n">
        <v>43518</v>
      </c>
      <c r="AH74" s="61" t="n">
        <v>45710</v>
      </c>
      <c r="AI74" s="61" t="n">
        <v>46804</v>
      </c>
      <c r="AJ74" s="52" t="inlineStr">
        <is>
          <t>330-87-00896</t>
        </is>
      </c>
      <c r="AK74" s="53" t="inlineStr">
        <is>
          <t>- (미기재)</t>
        </is>
      </c>
      <c r="AL74" s="59" t="inlineStr">
        <is>
          <t>전북특별자치도 장수군 장수읍 논개로 242-10</t>
        </is>
      </c>
      <c r="AM74" s="53" t="inlineStr">
        <is>
          <t>없음</t>
        </is>
      </c>
      <c r="AN74" s="59" t="n"/>
      <c r="AO74" s="52" t="n"/>
      <c r="AP74" s="59" t="inlineStr">
        <is>
          <t>PART 3. 유기농업자재 &gt; 한방싹충도사 (병해충관리용)</t>
        </is>
      </c>
      <c r="AQ74" s="59" t="inlineStr">
        <is>
          <t>국립농산물품질관리원 유기농업자재 공시현황(naqs.go.kr)</t>
        </is>
      </c>
      <c r="AR74" s="61" t="n">
        <v>46283</v>
      </c>
    </row>
    <row r="75" ht="35" customHeight="1">
      <c r="A75" s="51" t="n">
        <v>74</v>
      </c>
      <c r="B75" s="52" t="inlineStr">
        <is>
          <t>유기농업자재(기타 방제효과)</t>
        </is>
      </c>
      <c r="C75" s="53" t="inlineStr">
        <is>
          <t>양배추</t>
        </is>
      </c>
      <c r="D75" s="53" t="inlineStr">
        <is>
          <t>해충</t>
        </is>
      </c>
      <c r="E75" s="54" t="inlineStr">
        <is>
          <t>배추흰나비</t>
        </is>
      </c>
      <c r="F75" s="55" t="n"/>
      <c r="G75" s="56" t="inlineStr">
        <is>
          <t>한방싹충도사</t>
        </is>
      </c>
      <c r="H75" s="53" t="n"/>
      <c r="I75" s="53" t="n"/>
      <c r="J75" s="53" t="inlineStr">
        <is>
          <t>유기농업자재</t>
        </is>
      </c>
      <c r="K75" s="57" t="n"/>
      <c r="L75" s="52" t="n"/>
      <c r="M75" s="52" t="n"/>
      <c r="N75" s="52" t="n"/>
      <c r="O75" s="58" t="n"/>
      <c r="P75" s="53" t="n"/>
      <c r="Q75" s="59" t="inlineStr">
        <is>
          <t>화학농약이 아닌 유기농업자재 — 등록 농약과 안전사용기준·법적 지위가 다름</t>
        </is>
      </c>
      <c r="R75" s="59" t="n"/>
      <c r="S75" s="59" t="inlineStr">
        <is>
          <t>오렌지추출물 15%, 파라핀오일 65%</t>
        </is>
      </c>
      <c r="T75" s="52" t="n"/>
      <c r="U75" s="59" t="n"/>
      <c r="V75" s="52" t="n"/>
      <c r="W75" s="53" t="n"/>
      <c r="X75" s="53" t="inlineStr">
        <is>
          <t>65.9%</t>
        </is>
      </c>
      <c r="Y75" s="52" t="inlineStr">
        <is>
          <t>농업회사법인 장수바이오(주)</t>
        </is>
      </c>
      <c r="Z75" s="52" t="inlineStr">
        <is>
          <t>063-351-4081</t>
        </is>
      </c>
      <c r="AA75" s="59" t="n"/>
      <c r="AB75" s="59" t="n"/>
      <c r="AC75" s="52" t="inlineStr">
        <is>
          <t>공시-3-6-054(공시-1-6-036)</t>
        </is>
      </c>
      <c r="AD75" s="52" t="inlineStr">
        <is>
          <t>병해충관리용</t>
        </is>
      </c>
      <c r="AE75" s="52" t="inlineStr">
        <is>
          <t>식물추출물+파라핀오일</t>
        </is>
      </c>
      <c r="AF75" s="60" t="n"/>
      <c r="AG75" s="61" t="n">
        <v>43518</v>
      </c>
      <c r="AH75" s="61" t="n">
        <v>45710</v>
      </c>
      <c r="AI75" s="61" t="n">
        <v>46804</v>
      </c>
      <c r="AJ75" s="52" t="inlineStr">
        <is>
          <t>330-87-00896</t>
        </is>
      </c>
      <c r="AK75" s="53" t="inlineStr">
        <is>
          <t>- (미기재)</t>
        </is>
      </c>
      <c r="AL75" s="59" t="inlineStr">
        <is>
          <t>전북특별자치도 장수군 장수읍 논개로 242-10</t>
        </is>
      </c>
      <c r="AM75" s="53" t="inlineStr">
        <is>
          <t>없음</t>
        </is>
      </c>
      <c r="AN75" s="59" t="n"/>
      <c r="AO75" s="52" t="n"/>
      <c r="AP75" s="59" t="inlineStr">
        <is>
          <t>PART 3. 유기농업자재 &gt; 한방싹충도사 (병해충관리용)</t>
        </is>
      </c>
      <c r="AQ75" s="59" t="inlineStr">
        <is>
          <t>국립농산물품질관리원 유기농업자재 공시현황(naqs.go.kr)</t>
        </is>
      </c>
      <c r="AR75" s="61" t="n">
        <v>46283</v>
      </c>
    </row>
    <row r="76" ht="35" customHeight="1">
      <c r="A76" s="51" t="n">
        <v>75</v>
      </c>
      <c r="B76" s="52" t="inlineStr">
        <is>
          <t>유기농업자재(기타 방제효과)</t>
        </is>
      </c>
      <c r="C76" s="53" t="inlineStr">
        <is>
          <t>복숭아</t>
        </is>
      </c>
      <c r="D76" s="53" t="inlineStr">
        <is>
          <t>해충</t>
        </is>
      </c>
      <c r="E76" s="54" t="inlineStr">
        <is>
          <t>복숭아순나방</t>
        </is>
      </c>
      <c r="F76" s="55" t="n"/>
      <c r="G76" s="56" t="inlineStr">
        <is>
          <t>한방싹충도사</t>
        </is>
      </c>
      <c r="H76" s="53" t="n"/>
      <c r="I76" s="53" t="n"/>
      <c r="J76" s="53" t="inlineStr">
        <is>
          <t>유기농업자재</t>
        </is>
      </c>
      <c r="K76" s="57" t="n"/>
      <c r="L76" s="52" t="n"/>
      <c r="M76" s="52" t="n"/>
      <c r="N76" s="52" t="n"/>
      <c r="O76" s="58" t="n"/>
      <c r="P76" s="53" t="n"/>
      <c r="Q76" s="59" t="inlineStr">
        <is>
          <t>화학농약이 아닌 유기농업자재 — 등록 농약과 안전사용기준·법적 지위가 다름</t>
        </is>
      </c>
      <c r="R76" s="59" t="n"/>
      <c r="S76" s="59" t="inlineStr">
        <is>
          <t>오렌지추출물 15%, 파라핀오일 65%</t>
        </is>
      </c>
      <c r="T76" s="52" t="n"/>
      <c r="U76" s="59" t="n"/>
      <c r="V76" s="52" t="n"/>
      <c r="W76" s="53" t="n"/>
      <c r="X76" s="53" t="inlineStr">
        <is>
          <t>60.0%</t>
        </is>
      </c>
      <c r="Y76" s="52" t="inlineStr">
        <is>
          <t>농업회사법인 장수바이오(주)</t>
        </is>
      </c>
      <c r="Z76" s="52" t="inlineStr">
        <is>
          <t>063-351-4081</t>
        </is>
      </c>
      <c r="AA76" s="59" t="n"/>
      <c r="AB76" s="59" t="n"/>
      <c r="AC76" s="52" t="inlineStr">
        <is>
          <t>공시-3-6-054(공시-1-6-036)</t>
        </is>
      </c>
      <c r="AD76" s="52" t="inlineStr">
        <is>
          <t>병해충관리용</t>
        </is>
      </c>
      <c r="AE76" s="52" t="inlineStr">
        <is>
          <t>식물추출물+파라핀오일</t>
        </is>
      </c>
      <c r="AF76" s="60" t="n"/>
      <c r="AG76" s="61" t="n">
        <v>43518</v>
      </c>
      <c r="AH76" s="61" t="n">
        <v>45710</v>
      </c>
      <c r="AI76" s="61" t="n">
        <v>46804</v>
      </c>
      <c r="AJ76" s="52" t="inlineStr">
        <is>
          <t>330-87-00896</t>
        </is>
      </c>
      <c r="AK76" s="53" t="inlineStr">
        <is>
          <t>- (미기재)</t>
        </is>
      </c>
      <c r="AL76" s="59" t="inlineStr">
        <is>
          <t>전북특별자치도 장수군 장수읍 논개로 242-10</t>
        </is>
      </c>
      <c r="AM76" s="53" t="inlineStr">
        <is>
          <t>없음</t>
        </is>
      </c>
      <c r="AN76" s="59" t="n"/>
      <c r="AO76" s="52" t="n"/>
      <c r="AP76" s="59" t="inlineStr">
        <is>
          <t>PART 3. 유기농업자재 &gt; 한방싹충도사 (병해충관리용)</t>
        </is>
      </c>
      <c r="AQ76" s="59" t="inlineStr">
        <is>
          <t>국립농산물품질관리원 유기농업자재 공시현황(naqs.go.kr)</t>
        </is>
      </c>
      <c r="AR76" s="61" t="n">
        <v>46283</v>
      </c>
    </row>
    <row r="77" ht="35" customHeight="1">
      <c r="A77" s="51" t="n">
        <v>76</v>
      </c>
      <c r="B77" s="52" t="inlineStr">
        <is>
          <t>유기농업자재(기타 방제효과)</t>
        </is>
      </c>
      <c r="C77" s="53" t="inlineStr">
        <is>
          <t>포도</t>
        </is>
      </c>
      <c r="D77" s="53" t="inlineStr">
        <is>
          <t>해충</t>
        </is>
      </c>
      <c r="E77" s="54" t="inlineStr">
        <is>
          <t>꽃매미</t>
        </is>
      </c>
      <c r="F77" s="55" t="n"/>
      <c r="G77" s="56" t="inlineStr">
        <is>
          <t>한방싹충도사</t>
        </is>
      </c>
      <c r="H77" s="53" t="n"/>
      <c r="I77" s="53" t="n"/>
      <c r="J77" s="53" t="inlineStr">
        <is>
          <t>유기농업자재</t>
        </is>
      </c>
      <c r="K77" s="57" t="n"/>
      <c r="L77" s="52" t="n"/>
      <c r="M77" s="52" t="n"/>
      <c r="N77" s="52" t="n"/>
      <c r="O77" s="58" t="n"/>
      <c r="P77" s="53" t="n"/>
      <c r="Q77" s="59" t="inlineStr">
        <is>
          <t>화학농약이 아닌 유기농업자재 — 등록 농약과 안전사용기준·법적 지위가 다름</t>
        </is>
      </c>
      <c r="R77" s="59" t="n"/>
      <c r="S77" s="59" t="inlineStr">
        <is>
          <t>오렌지추출물 15%, 파라핀오일 65%</t>
        </is>
      </c>
      <c r="T77" s="52" t="n"/>
      <c r="U77" s="59" t="n"/>
      <c r="V77" s="52" t="n"/>
      <c r="W77" s="53" t="n"/>
      <c r="X77" s="53" t="inlineStr">
        <is>
          <t>62.8%</t>
        </is>
      </c>
      <c r="Y77" s="52" t="inlineStr">
        <is>
          <t>농업회사법인 장수바이오(주)</t>
        </is>
      </c>
      <c r="Z77" s="52" t="inlineStr">
        <is>
          <t>063-351-4081</t>
        </is>
      </c>
      <c r="AA77" s="59" t="n"/>
      <c r="AB77" s="59" t="n"/>
      <c r="AC77" s="52" t="inlineStr">
        <is>
          <t>공시-3-6-054(공시-1-6-036)</t>
        </is>
      </c>
      <c r="AD77" s="52" t="inlineStr">
        <is>
          <t>병해충관리용</t>
        </is>
      </c>
      <c r="AE77" s="52" t="inlineStr">
        <is>
          <t>식물추출물+파라핀오일</t>
        </is>
      </c>
      <c r="AF77" s="60" t="n"/>
      <c r="AG77" s="61" t="n">
        <v>43518</v>
      </c>
      <c r="AH77" s="61" t="n">
        <v>45710</v>
      </c>
      <c r="AI77" s="61" t="n">
        <v>46804</v>
      </c>
      <c r="AJ77" s="52" t="inlineStr">
        <is>
          <t>330-87-00896</t>
        </is>
      </c>
      <c r="AK77" s="53" t="inlineStr">
        <is>
          <t>- (미기재)</t>
        </is>
      </c>
      <c r="AL77" s="59" t="inlineStr">
        <is>
          <t>전북특별자치도 장수군 장수읍 논개로 242-10</t>
        </is>
      </c>
      <c r="AM77" s="53" t="inlineStr">
        <is>
          <t>없음</t>
        </is>
      </c>
      <c r="AN77" s="59" t="n"/>
      <c r="AO77" s="52" t="n"/>
      <c r="AP77" s="59" t="inlineStr">
        <is>
          <t>PART 3. 유기농업자재 &gt; 한방싹충도사 (병해충관리용)</t>
        </is>
      </c>
      <c r="AQ77" s="59" t="inlineStr">
        <is>
          <t>국립농산물품질관리원 유기농업자재 공시현황(naqs.go.kr)</t>
        </is>
      </c>
      <c r="AR77" s="61" t="n">
        <v>46283</v>
      </c>
    </row>
    <row r="78" ht="35" customHeight="1">
      <c r="A78" s="51" t="n">
        <v>77</v>
      </c>
      <c r="B78" s="52" t="inlineStr">
        <is>
          <t>유기농업자재(기타 방제효과)</t>
        </is>
      </c>
      <c r="C78" s="53" t="inlineStr">
        <is>
          <t>사과</t>
        </is>
      </c>
      <c r="D78" s="53" t="inlineStr">
        <is>
          <t>해충</t>
        </is>
      </c>
      <c r="E78" s="54" t="inlineStr">
        <is>
          <t>갈색날개매미충</t>
        </is>
      </c>
      <c r="F78" s="55" t="n"/>
      <c r="G78" s="56" t="inlineStr">
        <is>
          <t>한방싹충도사</t>
        </is>
      </c>
      <c r="H78" s="53" t="n"/>
      <c r="I78" s="53" t="n"/>
      <c r="J78" s="53" t="inlineStr">
        <is>
          <t>유기농업자재</t>
        </is>
      </c>
      <c r="K78" s="57" t="n"/>
      <c r="L78" s="52" t="n"/>
      <c r="M78" s="52" t="n"/>
      <c r="N78" s="52" t="n"/>
      <c r="O78" s="58" t="n"/>
      <c r="P78" s="53" t="n"/>
      <c r="Q78" s="59" t="inlineStr">
        <is>
          <t>화학농약이 아닌 유기농업자재 — 등록 농약과 안전사용기준·법적 지위가 다름</t>
        </is>
      </c>
      <c r="R78" s="59" t="n"/>
      <c r="S78" s="59" t="inlineStr">
        <is>
          <t>오렌지추출물 15%, 파라핀오일 65%</t>
        </is>
      </c>
      <c r="T78" s="52" t="n"/>
      <c r="U78" s="59" t="n"/>
      <c r="V78" s="52" t="n"/>
      <c r="W78" s="53" t="n"/>
      <c r="X78" s="53" t="inlineStr">
        <is>
          <t>65.8%</t>
        </is>
      </c>
      <c r="Y78" s="52" t="inlineStr">
        <is>
          <t>농업회사법인 장수바이오(주)</t>
        </is>
      </c>
      <c r="Z78" s="52" t="inlineStr">
        <is>
          <t>063-351-4081</t>
        </is>
      </c>
      <c r="AA78" s="59" t="n"/>
      <c r="AB78" s="59" t="n"/>
      <c r="AC78" s="52" t="inlineStr">
        <is>
          <t>공시-3-6-054(공시-1-6-036)</t>
        </is>
      </c>
      <c r="AD78" s="52" t="inlineStr">
        <is>
          <t>병해충관리용</t>
        </is>
      </c>
      <c r="AE78" s="52" t="inlineStr">
        <is>
          <t>식물추출물+파라핀오일</t>
        </is>
      </c>
      <c r="AF78" s="60" t="n"/>
      <c r="AG78" s="61" t="n">
        <v>43518</v>
      </c>
      <c r="AH78" s="61" t="n">
        <v>45710</v>
      </c>
      <c r="AI78" s="61" t="n">
        <v>46804</v>
      </c>
      <c r="AJ78" s="52" t="inlineStr">
        <is>
          <t>330-87-00896</t>
        </is>
      </c>
      <c r="AK78" s="53" t="inlineStr">
        <is>
          <t>- (미기재)</t>
        </is>
      </c>
      <c r="AL78" s="59" t="inlineStr">
        <is>
          <t>전북특별자치도 장수군 장수읍 논개로 242-10</t>
        </is>
      </c>
      <c r="AM78" s="53" t="inlineStr">
        <is>
          <t>없음</t>
        </is>
      </c>
      <c r="AN78" s="59" t="n"/>
      <c r="AO78" s="52" t="n"/>
      <c r="AP78" s="59" t="inlineStr">
        <is>
          <t>PART 3. 유기농업자재 &gt; 한방싹충도사 (병해충관리용)</t>
        </is>
      </c>
      <c r="AQ78" s="59" t="inlineStr">
        <is>
          <t>국립농산물품질관리원 유기농업자재 공시현황(naqs.go.kr)</t>
        </is>
      </c>
      <c r="AR78" s="61" t="n">
        <v>46283</v>
      </c>
    </row>
    <row r="79" ht="35" customHeight="1">
      <c r="A79" s="51" t="n">
        <v>78</v>
      </c>
      <c r="B79" s="52" t="inlineStr">
        <is>
          <t>유기농업자재(기타 방제효과)</t>
        </is>
      </c>
      <c r="C79" s="53" t="inlineStr">
        <is>
          <t>오이</t>
        </is>
      </c>
      <c r="D79" s="53" t="inlineStr">
        <is>
          <t>해충</t>
        </is>
      </c>
      <c r="E79" s="54" t="inlineStr">
        <is>
          <t>온실가루이</t>
        </is>
      </c>
      <c r="F79" s="55" t="n"/>
      <c r="G79" s="56" t="inlineStr">
        <is>
          <t>한방싹충도사</t>
        </is>
      </c>
      <c r="H79" s="53" t="n"/>
      <c r="I79" s="53" t="n"/>
      <c r="J79" s="53" t="inlineStr">
        <is>
          <t>유기농업자재</t>
        </is>
      </c>
      <c r="K79" s="57" t="n"/>
      <c r="L79" s="52" t="n"/>
      <c r="M79" s="52" t="n"/>
      <c r="N79" s="52" t="n"/>
      <c r="O79" s="58" t="n"/>
      <c r="P79" s="53" t="n"/>
      <c r="Q79" s="59" t="inlineStr">
        <is>
          <t>화학농약이 아닌 유기농업자재 — 등록 농약과 안전사용기준·법적 지위가 다름</t>
        </is>
      </c>
      <c r="R79" s="59" t="n"/>
      <c r="S79" s="59" t="inlineStr">
        <is>
          <t>오렌지추출물 15%, 파라핀오일 65%</t>
        </is>
      </c>
      <c r="T79" s="52" t="n"/>
      <c r="U79" s="59" t="n"/>
      <c r="V79" s="52" t="n"/>
      <c r="W79" s="53" t="n"/>
      <c r="X79" s="53" t="inlineStr">
        <is>
          <t>60% 이상</t>
        </is>
      </c>
      <c r="Y79" s="52" t="inlineStr">
        <is>
          <t>농업회사법인 장수바이오(주)</t>
        </is>
      </c>
      <c r="Z79" s="52" t="inlineStr">
        <is>
          <t>063-351-4081</t>
        </is>
      </c>
      <c r="AA79" s="59" t="n"/>
      <c r="AB79" s="59" t="n"/>
      <c r="AC79" s="52" t="inlineStr">
        <is>
          <t>공시-3-6-054(공시-1-6-036)</t>
        </is>
      </c>
      <c r="AD79" s="52" t="inlineStr">
        <is>
          <t>병해충관리용</t>
        </is>
      </c>
      <c r="AE79" s="52" t="inlineStr">
        <is>
          <t>식물추출물+파라핀오일</t>
        </is>
      </c>
      <c r="AF79" s="60" t="n"/>
      <c r="AG79" s="61" t="n">
        <v>43518</v>
      </c>
      <c r="AH79" s="61" t="n">
        <v>45710</v>
      </c>
      <c r="AI79" s="61" t="n">
        <v>46804</v>
      </c>
      <c r="AJ79" s="52" t="inlineStr">
        <is>
          <t>330-87-00896</t>
        </is>
      </c>
      <c r="AK79" s="53" t="inlineStr">
        <is>
          <t>- (미기재)</t>
        </is>
      </c>
      <c r="AL79" s="59" t="inlineStr">
        <is>
          <t>전북특별자치도 장수군 장수읍 논개로 242-10</t>
        </is>
      </c>
      <c r="AM79" s="53" t="inlineStr">
        <is>
          <t>없음</t>
        </is>
      </c>
      <c r="AN79" s="59" t="n"/>
      <c r="AO79" s="52" t="n"/>
      <c r="AP79" s="59" t="inlineStr">
        <is>
          <t>PART 3. 유기농업자재 &gt; 한방싹충도사 (병해충관리용)</t>
        </is>
      </c>
      <c r="AQ79" s="59" t="inlineStr">
        <is>
          <t>국립농산물품질관리원 유기농업자재 공시현황(naqs.go.kr)</t>
        </is>
      </c>
      <c r="AR79" s="61" t="n">
        <v>46283</v>
      </c>
    </row>
    <row r="80" ht="35" customHeight="1">
      <c r="A80" s="51" t="n">
        <v>79</v>
      </c>
      <c r="B80" s="52" t="inlineStr">
        <is>
          <t>유기농업자재(기타 방제효과)</t>
        </is>
      </c>
      <c r="C80" s="53" t="inlineStr">
        <is>
          <t>감귤</t>
        </is>
      </c>
      <c r="D80" s="53" t="inlineStr">
        <is>
          <t>해충</t>
        </is>
      </c>
      <c r="E80" s="54" t="inlineStr">
        <is>
          <t>이세리아깍지벌레</t>
        </is>
      </c>
      <c r="F80" s="55" t="n"/>
      <c r="G80" s="56" t="inlineStr">
        <is>
          <t>한방싹충도사</t>
        </is>
      </c>
      <c r="H80" s="53" t="n"/>
      <c r="I80" s="53" t="n"/>
      <c r="J80" s="53" t="inlineStr">
        <is>
          <t>유기농업자재</t>
        </is>
      </c>
      <c r="K80" s="57" t="n"/>
      <c r="L80" s="52" t="n"/>
      <c r="M80" s="52" t="n"/>
      <c r="N80" s="52" t="n"/>
      <c r="O80" s="58" t="n"/>
      <c r="P80" s="53" t="n"/>
      <c r="Q80" s="59" t="inlineStr">
        <is>
          <t>화학농약이 아닌 유기농업자재 — 등록 농약과 안전사용기준·법적 지위가 다름</t>
        </is>
      </c>
      <c r="R80" s="59" t="n"/>
      <c r="S80" s="59" t="inlineStr">
        <is>
          <t>오렌지추출물 15%, 파라핀오일 65%</t>
        </is>
      </c>
      <c r="T80" s="52" t="n"/>
      <c r="U80" s="59" t="n"/>
      <c r="V80" s="52" t="n"/>
      <c r="W80" s="53" t="n"/>
      <c r="X80" s="53" t="inlineStr">
        <is>
          <t>60% 이상</t>
        </is>
      </c>
      <c r="Y80" s="52" t="inlineStr">
        <is>
          <t>농업회사법인 장수바이오(주)</t>
        </is>
      </c>
      <c r="Z80" s="52" t="inlineStr">
        <is>
          <t>063-351-4081</t>
        </is>
      </c>
      <c r="AA80" s="59" t="n"/>
      <c r="AB80" s="59" t="n"/>
      <c r="AC80" s="52" t="inlineStr">
        <is>
          <t>공시-3-6-054(공시-1-6-036)</t>
        </is>
      </c>
      <c r="AD80" s="52" t="inlineStr">
        <is>
          <t>병해충관리용</t>
        </is>
      </c>
      <c r="AE80" s="52" t="inlineStr">
        <is>
          <t>식물추출물+파라핀오일</t>
        </is>
      </c>
      <c r="AF80" s="60" t="n"/>
      <c r="AG80" s="61" t="n">
        <v>43518</v>
      </c>
      <c r="AH80" s="61" t="n">
        <v>45710</v>
      </c>
      <c r="AI80" s="61" t="n">
        <v>46804</v>
      </c>
      <c r="AJ80" s="52" t="inlineStr">
        <is>
          <t>330-87-00896</t>
        </is>
      </c>
      <c r="AK80" s="53" t="inlineStr">
        <is>
          <t>- (미기재)</t>
        </is>
      </c>
      <c r="AL80" s="59" t="inlineStr">
        <is>
          <t>전북특별자치도 장수군 장수읍 논개로 242-10</t>
        </is>
      </c>
      <c r="AM80" s="53" t="inlineStr">
        <is>
          <t>없음</t>
        </is>
      </c>
      <c r="AN80" s="59" t="n"/>
      <c r="AO80" s="52" t="n"/>
      <c r="AP80" s="59" t="inlineStr">
        <is>
          <t>PART 3. 유기농업자재 &gt; 한방싹충도사 (병해충관리용)</t>
        </is>
      </c>
      <c r="AQ80" s="59" t="inlineStr">
        <is>
          <t>국립농산물품질관리원 유기농업자재 공시현황(naqs.go.kr)</t>
        </is>
      </c>
      <c r="AR80" s="61" t="n">
        <v>46283</v>
      </c>
    </row>
    <row r="81" ht="95" customHeight="1">
      <c r="A81" s="51" t="n">
        <v>80</v>
      </c>
      <c r="B81" s="52" t="inlineStr">
        <is>
          <t>유기농업자재(기타 방제효과)</t>
        </is>
      </c>
      <c r="C81" s="53" t="inlineStr">
        <is>
          <t>오이(시험)</t>
        </is>
      </c>
      <c r="D81" s="53" t="inlineStr">
        <is>
          <t>해충</t>
        </is>
      </c>
      <c r="E81" s="54" t="inlineStr">
        <is>
          <t>꽃노랑총채벌레</t>
        </is>
      </c>
      <c r="F81" s="55" t="n"/>
      <c r="G81" s="56" t="inlineStr">
        <is>
          <t>뉴응칠이</t>
        </is>
      </c>
      <c r="H81" s="53" t="n"/>
      <c r="I81" s="53" t="n"/>
      <c r="J81" s="53" t="inlineStr">
        <is>
          <t>유기농업자재</t>
        </is>
      </c>
      <c r="K81" s="57" t="n"/>
      <c r="L81" s="52" t="n"/>
      <c r="M81" s="52" t="n"/>
      <c r="N81" s="52" t="n"/>
      <c r="O81" s="58" t="n"/>
      <c r="P81" s="53" t="n"/>
      <c r="Q81" s="59" t="inlineStr">
        <is>
          <t>고추가 아닌 오이 시험 결과 / 화학농약이 아닌 유기농업자재 — 등록 농약과 안전사용기준·법적 지위가 다름 / 접촉성 제제(잎 뒷면까지 흠뻑 살포) · 강알칼리성 제제·석회보르도액·유황합제 혼용 금지 · 꿀벌 활동에 영향 가능</t>
        </is>
      </c>
      <c r="R81" s="59" t="n"/>
      <c r="S81" s="59" t="inlineStr">
        <is>
          <t>유칼립투스오일 30%, 고삼추출물 50%</t>
        </is>
      </c>
      <c r="T81" s="52" t="n"/>
      <c r="U81" s="59" t="n"/>
      <c r="V81" s="52" t="n"/>
      <c r="W81" s="53" t="n"/>
      <c r="X81" s="53" t="inlineStr">
        <is>
          <t>50% 이상</t>
        </is>
      </c>
      <c r="Y81" s="52" t="inlineStr">
        <is>
          <t>고려바이오㈜</t>
        </is>
      </c>
      <c r="Z81" s="52" t="inlineStr">
        <is>
          <t>031-354-8183</t>
        </is>
      </c>
      <c r="AA81" s="59" t="n"/>
      <c r="AB81" s="59" t="n"/>
      <c r="AC81" s="52" t="inlineStr">
        <is>
          <t>공시-2-6-061</t>
        </is>
      </c>
      <c r="AD81" s="52" t="inlineStr">
        <is>
          <t>병해충관리용</t>
        </is>
      </c>
      <c r="AE81" s="52" t="inlineStr">
        <is>
          <t>식물성오일+식물추출물</t>
        </is>
      </c>
      <c r="AF81" s="60" t="n"/>
      <c r="AG81" s="61" t="n">
        <v>44280</v>
      </c>
      <c r="AH81" s="61" t="n">
        <v>45376</v>
      </c>
      <c r="AI81" s="61" t="n">
        <v>46470</v>
      </c>
      <c r="AJ81" s="52" t="inlineStr">
        <is>
          <t>124-86-37020</t>
        </is>
      </c>
      <c r="AK81" s="53" t="inlineStr">
        <is>
          <t>있음</t>
        </is>
      </c>
      <c r="AL81" s="59" t="inlineStr">
        <is>
          <t>경기도 화성시 효행구 정남면 정남동로 346</t>
        </is>
      </c>
      <c r="AM81" s="53" t="inlineStr">
        <is>
          <t>없음</t>
        </is>
      </c>
      <c r="AN81" s="59" t="n"/>
      <c r="AO81" s="52" t="n"/>
      <c r="AP81" s="59" t="inlineStr">
        <is>
          <t>PART 3. 유기농업자재 &gt; 뉴응칠이 (병해충관리용)</t>
        </is>
      </c>
      <c r="AQ81" s="59" t="inlineStr">
        <is>
          <t>국립농산물품질관리원 유기농업자재 공시현황(naqs.go.kr)</t>
        </is>
      </c>
      <c r="AR81" s="61" t="n">
        <v>46283</v>
      </c>
    </row>
    <row r="82" ht="95" customHeight="1">
      <c r="A82" s="51" t="n">
        <v>81</v>
      </c>
      <c r="B82" s="52" t="inlineStr">
        <is>
          <t>유기농업자재(기타 방제효과)</t>
        </is>
      </c>
      <c r="C82" s="53" t="inlineStr">
        <is>
          <t>오이(시험)</t>
        </is>
      </c>
      <c r="D82" s="53" t="inlineStr">
        <is>
          <t>해충</t>
        </is>
      </c>
      <c r="E82" s="54" t="inlineStr">
        <is>
          <t>아메리카잎굴파리</t>
        </is>
      </c>
      <c r="F82" s="55" t="n"/>
      <c r="G82" s="56" t="inlineStr">
        <is>
          <t>뉴응칠이</t>
        </is>
      </c>
      <c r="H82" s="53" t="n"/>
      <c r="I82" s="53" t="n"/>
      <c r="J82" s="53" t="inlineStr">
        <is>
          <t>유기농업자재</t>
        </is>
      </c>
      <c r="K82" s="57" t="n"/>
      <c r="L82" s="52" t="n"/>
      <c r="M82" s="52" t="n"/>
      <c r="N82" s="52" t="n"/>
      <c r="O82" s="58" t="n"/>
      <c r="P82" s="53" t="n"/>
      <c r="Q82" s="59" t="inlineStr">
        <is>
          <t>고추가 아닌 오이 시험 결과 / 화학농약이 아닌 유기농업자재 — 등록 농약과 안전사용기준·법적 지위가 다름 / 접촉성 제제(잎 뒷면까지 흠뻑 살포) · 강알칼리성 제제·석회보르도액·유황합제 혼용 금지 · 꿀벌 활동에 영향 가능</t>
        </is>
      </c>
      <c r="R82" s="59" t="n"/>
      <c r="S82" s="59" t="inlineStr">
        <is>
          <t>유칼립투스오일 30%, 고삼추출물 50%</t>
        </is>
      </c>
      <c r="T82" s="52" t="n"/>
      <c r="U82" s="59" t="n"/>
      <c r="V82" s="52" t="n"/>
      <c r="W82" s="53" t="n"/>
      <c r="X82" s="53" t="inlineStr">
        <is>
          <t>50% 이상</t>
        </is>
      </c>
      <c r="Y82" s="52" t="inlineStr">
        <is>
          <t>고려바이오㈜</t>
        </is>
      </c>
      <c r="Z82" s="52" t="inlineStr">
        <is>
          <t>031-354-8183</t>
        </is>
      </c>
      <c r="AA82" s="59" t="n"/>
      <c r="AB82" s="59" t="n"/>
      <c r="AC82" s="52" t="inlineStr">
        <is>
          <t>공시-2-6-061</t>
        </is>
      </c>
      <c r="AD82" s="52" t="inlineStr">
        <is>
          <t>병해충관리용</t>
        </is>
      </c>
      <c r="AE82" s="52" t="inlineStr">
        <is>
          <t>식물성오일+식물추출물</t>
        </is>
      </c>
      <c r="AF82" s="60" t="n"/>
      <c r="AG82" s="61" t="n">
        <v>44280</v>
      </c>
      <c r="AH82" s="61" t="n">
        <v>45376</v>
      </c>
      <c r="AI82" s="61" t="n">
        <v>46470</v>
      </c>
      <c r="AJ82" s="52" t="inlineStr">
        <is>
          <t>124-86-37020</t>
        </is>
      </c>
      <c r="AK82" s="53" t="inlineStr">
        <is>
          <t>있음</t>
        </is>
      </c>
      <c r="AL82" s="59" t="inlineStr">
        <is>
          <t>경기도 화성시 효행구 정남면 정남동로 346</t>
        </is>
      </c>
      <c r="AM82" s="53" t="inlineStr">
        <is>
          <t>없음</t>
        </is>
      </c>
      <c r="AN82" s="59" t="n"/>
      <c r="AO82" s="52" t="n"/>
      <c r="AP82" s="59" t="inlineStr">
        <is>
          <t>PART 3. 유기농업자재 &gt; 뉴응칠이 (병해충관리용)</t>
        </is>
      </c>
      <c r="AQ82" s="59" t="inlineStr">
        <is>
          <t>국립농산물품질관리원 유기농업자재 공시현황(naqs.go.kr)</t>
        </is>
      </c>
      <c r="AR82" s="61" t="n">
        <v>46283</v>
      </c>
    </row>
    <row r="83" ht="95" customHeight="1">
      <c r="A83" s="51" t="n">
        <v>82</v>
      </c>
      <c r="B83" s="52" t="inlineStr">
        <is>
          <t>유기농업자재(기타 방제효과)</t>
        </is>
      </c>
      <c r="C83" s="53" t="inlineStr">
        <is>
          <t>오이(시험)</t>
        </is>
      </c>
      <c r="D83" s="53" t="inlineStr">
        <is>
          <t>해충</t>
        </is>
      </c>
      <c r="E83" s="54" t="inlineStr">
        <is>
          <t>온실가루이</t>
        </is>
      </c>
      <c r="F83" s="55" t="n"/>
      <c r="G83" s="56" t="inlineStr">
        <is>
          <t>뉴응칠이</t>
        </is>
      </c>
      <c r="H83" s="53" t="n"/>
      <c r="I83" s="53" t="n"/>
      <c r="J83" s="53" t="inlineStr">
        <is>
          <t>유기농업자재</t>
        </is>
      </c>
      <c r="K83" s="57" t="n"/>
      <c r="L83" s="52" t="n"/>
      <c r="M83" s="52" t="n"/>
      <c r="N83" s="52" t="n"/>
      <c r="O83" s="58" t="n"/>
      <c r="P83" s="53" t="n"/>
      <c r="Q83" s="59" t="inlineStr">
        <is>
          <t>고추가 아닌 오이 시험 결과 / 화학농약이 아닌 유기농업자재 — 등록 농약과 안전사용기준·법적 지위가 다름 / 접촉성 제제(잎 뒷면까지 흠뻑 살포) · 강알칼리성 제제·석회보르도액·유황합제 혼용 금지 · 꿀벌 활동에 영향 가능</t>
        </is>
      </c>
      <c r="R83" s="59" t="n"/>
      <c r="S83" s="59" t="inlineStr">
        <is>
          <t>유칼립투스오일 30%, 고삼추출물 50%</t>
        </is>
      </c>
      <c r="T83" s="52" t="n"/>
      <c r="U83" s="59" t="n"/>
      <c r="V83" s="52" t="n"/>
      <c r="W83" s="53" t="n"/>
      <c r="X83" s="53" t="inlineStr">
        <is>
          <t>50% 이상</t>
        </is>
      </c>
      <c r="Y83" s="52" t="inlineStr">
        <is>
          <t>고려바이오㈜</t>
        </is>
      </c>
      <c r="Z83" s="52" t="inlineStr">
        <is>
          <t>031-354-8183</t>
        </is>
      </c>
      <c r="AA83" s="59" t="n"/>
      <c r="AB83" s="59" t="n"/>
      <c r="AC83" s="52" t="inlineStr">
        <is>
          <t>공시-2-6-061</t>
        </is>
      </c>
      <c r="AD83" s="52" t="inlineStr">
        <is>
          <t>병해충관리용</t>
        </is>
      </c>
      <c r="AE83" s="52" t="inlineStr">
        <is>
          <t>식물성오일+식물추출물</t>
        </is>
      </c>
      <c r="AF83" s="60" t="n"/>
      <c r="AG83" s="61" t="n">
        <v>44280</v>
      </c>
      <c r="AH83" s="61" t="n">
        <v>45376</v>
      </c>
      <c r="AI83" s="61" t="n">
        <v>46470</v>
      </c>
      <c r="AJ83" s="52" t="inlineStr">
        <is>
          <t>124-86-37020</t>
        </is>
      </c>
      <c r="AK83" s="53" t="inlineStr">
        <is>
          <t>있음</t>
        </is>
      </c>
      <c r="AL83" s="59" t="inlineStr">
        <is>
          <t>경기도 화성시 효행구 정남면 정남동로 346</t>
        </is>
      </c>
      <c r="AM83" s="53" t="inlineStr">
        <is>
          <t>없음</t>
        </is>
      </c>
      <c r="AN83" s="59" t="n"/>
      <c r="AO83" s="52" t="n"/>
      <c r="AP83" s="59" t="inlineStr">
        <is>
          <t>PART 3. 유기농업자재 &gt; 뉴응칠이 (병해충관리용)</t>
        </is>
      </c>
      <c r="AQ83" s="59" t="inlineStr">
        <is>
          <t>국립농산물품질관리원 유기농업자재 공시현황(naqs.go.kr)</t>
        </is>
      </c>
      <c r="AR83" s="61" t="n">
        <v>46283</v>
      </c>
    </row>
    <row r="84" ht="95" customHeight="1">
      <c r="A84" s="51" t="n">
        <v>83</v>
      </c>
      <c r="B84" s="52" t="inlineStr">
        <is>
          <t>유기농업자재(기타 방제효과)</t>
        </is>
      </c>
      <c r="C84" s="53" t="inlineStr">
        <is>
          <t>오이(시험)</t>
        </is>
      </c>
      <c r="D84" s="53" t="inlineStr">
        <is>
          <t>병해</t>
        </is>
      </c>
      <c r="E84" s="54" t="inlineStr">
        <is>
          <t>흰가루병</t>
        </is>
      </c>
      <c r="F84" s="55" t="n"/>
      <c r="G84" s="56" t="inlineStr">
        <is>
          <t>뉴응칠이</t>
        </is>
      </c>
      <c r="H84" s="53" t="n"/>
      <c r="I84" s="53" t="n"/>
      <c r="J84" s="53" t="inlineStr">
        <is>
          <t>유기농업자재</t>
        </is>
      </c>
      <c r="K84" s="57" t="n"/>
      <c r="L84" s="52" t="n"/>
      <c r="M84" s="52" t="n"/>
      <c r="N84" s="52" t="n"/>
      <c r="O84" s="58" t="n"/>
      <c r="P84" s="53" t="n"/>
      <c r="Q84" s="59" t="inlineStr">
        <is>
          <t>고추가 아닌 오이 시험 결과 / 화학농약이 아닌 유기농업자재 — 등록 농약과 안전사용기준·법적 지위가 다름 / 접촉성 제제(잎 뒷면까지 흠뻑 살포) · 강알칼리성 제제·석회보르도액·유황합제 혼용 금지 · 꿀벌 활동에 영향 가능</t>
        </is>
      </c>
      <c r="R84" s="59" t="n"/>
      <c r="S84" s="59" t="inlineStr">
        <is>
          <t>유칼립투스오일 30%, 고삼추출물 50%</t>
        </is>
      </c>
      <c r="T84" s="52" t="n"/>
      <c r="U84" s="59" t="n"/>
      <c r="V84" s="52" t="n"/>
      <c r="W84" s="53" t="n"/>
      <c r="X84" s="53" t="inlineStr">
        <is>
          <t>50% 이상</t>
        </is>
      </c>
      <c r="Y84" s="52" t="inlineStr">
        <is>
          <t>고려바이오㈜</t>
        </is>
      </c>
      <c r="Z84" s="52" t="inlineStr">
        <is>
          <t>031-354-8183</t>
        </is>
      </c>
      <c r="AA84" s="59" t="n"/>
      <c r="AB84" s="59" t="n"/>
      <c r="AC84" s="52" t="inlineStr">
        <is>
          <t>공시-2-6-061</t>
        </is>
      </c>
      <c r="AD84" s="52" t="inlineStr">
        <is>
          <t>병해충관리용</t>
        </is>
      </c>
      <c r="AE84" s="52" t="inlineStr">
        <is>
          <t>식물성오일+식물추출물</t>
        </is>
      </c>
      <c r="AF84" s="60" t="n"/>
      <c r="AG84" s="61" t="n">
        <v>44280</v>
      </c>
      <c r="AH84" s="61" t="n">
        <v>45376</v>
      </c>
      <c r="AI84" s="61" t="n">
        <v>46470</v>
      </c>
      <c r="AJ84" s="52" t="inlineStr">
        <is>
          <t>124-86-37020</t>
        </is>
      </c>
      <c r="AK84" s="53" t="inlineStr">
        <is>
          <t>있음</t>
        </is>
      </c>
      <c r="AL84" s="59" t="inlineStr">
        <is>
          <t>경기도 화성시 효행구 정남면 정남동로 346</t>
        </is>
      </c>
      <c r="AM84" s="53" t="inlineStr">
        <is>
          <t>없음</t>
        </is>
      </c>
      <c r="AN84" s="59" t="n"/>
      <c r="AO84" s="52" t="n"/>
      <c r="AP84" s="59" t="inlineStr">
        <is>
          <t>PART 3. 유기농업자재 &gt; 뉴응칠이 (병해충관리용)</t>
        </is>
      </c>
      <c r="AQ84" s="59" t="inlineStr">
        <is>
          <t>국립농산물품질관리원 유기농업자재 공시현황(naqs.go.kr)</t>
        </is>
      </c>
      <c r="AR84" s="61" t="n">
        <v>46283</v>
      </c>
    </row>
    <row r="85" ht="80" customHeight="1">
      <c r="A85" s="51" t="n">
        <v>84</v>
      </c>
      <c r="B85" s="52" t="inlineStr">
        <is>
          <t>유기농업자재(기타 방제효과)</t>
        </is>
      </c>
      <c r="C85" s="53" t="inlineStr">
        <is>
          <t>블루베리</t>
        </is>
      </c>
      <c r="D85" s="53" t="inlineStr">
        <is>
          <t>해충</t>
        </is>
      </c>
      <c r="E85" s="54" t="inlineStr">
        <is>
          <t>미국선녀벌레</t>
        </is>
      </c>
      <c r="F85" s="55" t="n"/>
      <c r="G85" s="56" t="inlineStr">
        <is>
          <t>뉴응칠이</t>
        </is>
      </c>
      <c r="H85" s="53" t="n"/>
      <c r="I85" s="53" t="n"/>
      <c r="J85" s="53" t="inlineStr">
        <is>
          <t>유기농업자재</t>
        </is>
      </c>
      <c r="K85" s="57" t="n"/>
      <c r="L85" s="52" t="n"/>
      <c r="M85" s="52" t="n"/>
      <c r="N85" s="52" t="n"/>
      <c r="O85" s="58" t="n"/>
      <c r="P85" s="53" t="n"/>
      <c r="Q85" s="59" t="inlineStr">
        <is>
          <t>화학농약이 아닌 유기농업자재 — 등록 농약과 안전사용기준·법적 지위가 다름 / 접촉성 제제(잎 뒷면까지 흠뻑 살포) · 강알칼리성 제제·석회보르도액·유황합제 혼용 금지 · 꿀벌 활동에 영향 가능</t>
        </is>
      </c>
      <c r="R85" s="59" t="n"/>
      <c r="S85" s="59" t="inlineStr">
        <is>
          <t>유칼립투스오일 30%, 고삼추출물 50%</t>
        </is>
      </c>
      <c r="T85" s="52" t="n"/>
      <c r="U85" s="59" t="n"/>
      <c r="V85" s="52" t="n"/>
      <c r="W85" s="53" t="n"/>
      <c r="X85" s="53" t="inlineStr">
        <is>
          <t>50% 이상</t>
        </is>
      </c>
      <c r="Y85" s="52" t="inlineStr">
        <is>
          <t>고려바이오㈜</t>
        </is>
      </c>
      <c r="Z85" s="52" t="inlineStr">
        <is>
          <t>031-354-8183</t>
        </is>
      </c>
      <c r="AA85" s="59" t="n"/>
      <c r="AB85" s="59" t="n"/>
      <c r="AC85" s="52" t="inlineStr">
        <is>
          <t>공시-2-6-061</t>
        </is>
      </c>
      <c r="AD85" s="52" t="inlineStr">
        <is>
          <t>병해충관리용</t>
        </is>
      </c>
      <c r="AE85" s="52" t="inlineStr">
        <is>
          <t>식물성오일+식물추출물</t>
        </is>
      </c>
      <c r="AF85" s="60" t="n"/>
      <c r="AG85" s="61" t="n">
        <v>44280</v>
      </c>
      <c r="AH85" s="61" t="n">
        <v>45376</v>
      </c>
      <c r="AI85" s="61" t="n">
        <v>46470</v>
      </c>
      <c r="AJ85" s="52" t="inlineStr">
        <is>
          <t>124-86-37020</t>
        </is>
      </c>
      <c r="AK85" s="53" t="inlineStr">
        <is>
          <t>있음</t>
        </is>
      </c>
      <c r="AL85" s="59" t="inlineStr">
        <is>
          <t>경기도 화성시 효행구 정남면 정남동로 346</t>
        </is>
      </c>
      <c r="AM85" s="53" t="inlineStr">
        <is>
          <t>없음</t>
        </is>
      </c>
      <c r="AN85" s="59" t="n"/>
      <c r="AO85" s="52" t="n"/>
      <c r="AP85" s="59" t="inlineStr">
        <is>
          <t>PART 3. 유기농업자재 &gt; 뉴응칠이 (병해충관리용)</t>
        </is>
      </c>
      <c r="AQ85" s="59" t="inlineStr">
        <is>
          <t>국립농산물품질관리원 유기농업자재 공시현황(naqs.go.kr)</t>
        </is>
      </c>
      <c r="AR85" s="61" t="n">
        <v>46283</v>
      </c>
    </row>
    <row r="86" ht="35" customHeight="1">
      <c r="A86" s="51" t="n">
        <v>85</v>
      </c>
      <c r="B86" s="52" t="inlineStr">
        <is>
          <t>혼용 가능 조합</t>
        </is>
      </c>
      <c r="C86" s="53" t="n"/>
      <c r="D86" s="53" t="inlineStr">
        <is>
          <t>병해</t>
        </is>
      </c>
      <c r="E86" s="54" t="inlineStr">
        <is>
          <t>갈색무늬병</t>
        </is>
      </c>
      <c r="F86" s="55" t="n"/>
      <c r="G86" s="56" t="inlineStr">
        <is>
          <t>모스피란</t>
        </is>
      </c>
      <c r="H86" s="53" t="n"/>
      <c r="I86" s="53" t="n"/>
      <c r="J86" s="53" t="inlineStr">
        <is>
          <t>혼용정보</t>
        </is>
      </c>
      <c r="K86" s="57" t="n"/>
      <c r="L86" s="52" t="n"/>
      <c r="M86" s="52" t="n"/>
      <c r="N86" s="52" t="n"/>
      <c r="O86" s="58" t="n"/>
      <c r="P86" s="53" t="n"/>
      <c r="Q86" s="59" t="n"/>
      <c r="R86" s="59" t="n"/>
      <c r="S86" s="59" t="n"/>
      <c r="T86" s="52" t="n"/>
      <c r="U86" s="59" t="n"/>
      <c r="V86" s="52" t="inlineStr">
        <is>
          <t>탄쟈비상</t>
        </is>
      </c>
      <c r="W86" s="53" t="inlineStr">
        <is>
          <t>가능</t>
        </is>
      </c>
      <c r="X86" s="53" t="n"/>
      <c r="Y86" s="52" t="n"/>
      <c r="Z86" s="52" t="n"/>
      <c r="AA86" s="59" t="inlineStr">
        <is>
          <t>가이드 내 위치: 갈색무늬병 1순위</t>
        </is>
      </c>
      <c r="AB86" s="59" t="inlineStr">
        <is>
          <t>살균제(탄쟈비상) 학교 미보유 - 구매 필요</t>
        </is>
      </c>
      <c r="AC86" s="52" t="n"/>
      <c r="AD86" s="52" t="n"/>
      <c r="AE86" s="52" t="n"/>
      <c r="AF86" s="60" t="n"/>
      <c r="AG86" s="61" t="n"/>
      <c r="AH86" s="61" t="n"/>
      <c r="AI86" s="61" t="n"/>
      <c r="AJ86" s="52" t="n"/>
      <c r="AK86" s="53" t="n"/>
      <c r="AL86" s="59" t="n"/>
      <c r="AM86" s="53" t="n"/>
      <c r="AN86" s="59" t="n"/>
      <c r="AO86" s="52" t="n"/>
      <c r="AP86" s="59" t="inlineStr">
        <is>
          <t>PART 4. 혼용 가능 조합 &gt; 확인된 조합</t>
        </is>
      </c>
      <c r="AQ86" s="59" t="inlineStr">
        <is>
          <t>knco.co.kr/product/product_09 (경농 혼용안내, 고추 기준)</t>
        </is>
      </c>
      <c r="AR86" s="61" t="n">
        <v>46283</v>
      </c>
    </row>
    <row r="87" ht="35" customHeight="1">
      <c r="A87" s="51" t="n">
        <v>86</v>
      </c>
      <c r="B87" s="52" t="inlineStr">
        <is>
          <t>혼용 가능 조합</t>
        </is>
      </c>
      <c r="C87" s="53" t="n"/>
      <c r="D87" s="53" t="inlineStr">
        <is>
          <t>병해</t>
        </is>
      </c>
      <c r="E87" s="54" t="inlineStr">
        <is>
          <t>탄저병</t>
        </is>
      </c>
      <c r="F87" s="55" t="n"/>
      <c r="G87" s="56" t="inlineStr">
        <is>
          <t>모스피란</t>
        </is>
      </c>
      <c r="H87" s="53" t="n"/>
      <c r="I87" s="53" t="n"/>
      <c r="J87" s="53" t="inlineStr">
        <is>
          <t>혼용정보</t>
        </is>
      </c>
      <c r="K87" s="57" t="n"/>
      <c r="L87" s="52" t="n"/>
      <c r="M87" s="52" t="n"/>
      <c r="N87" s="52" t="n"/>
      <c r="O87" s="58" t="n"/>
      <c r="P87" s="53" t="n"/>
      <c r="Q87" s="59" t="n"/>
      <c r="R87" s="59" t="n"/>
      <c r="S87" s="59" t="n"/>
      <c r="T87" s="52" t="n"/>
      <c r="U87" s="59" t="n"/>
      <c r="V87" s="52" t="inlineStr">
        <is>
          <t>벨리스플러스</t>
        </is>
      </c>
      <c r="W87" s="53" t="inlineStr">
        <is>
          <t>가능</t>
        </is>
      </c>
      <c r="X87" s="53" t="n"/>
      <c r="Y87" s="52" t="n"/>
      <c r="Z87" s="52" t="n"/>
      <c r="AA87" s="59" t="inlineStr">
        <is>
          <t>가이드 내 위치: 탄저병 1순위</t>
        </is>
      </c>
      <c r="AB87" s="59" t="inlineStr">
        <is>
          <t>살균제(벨리스플러스) 학교 보유 중</t>
        </is>
      </c>
      <c r="AC87" s="52" t="n"/>
      <c r="AD87" s="52" t="n"/>
      <c r="AE87" s="52" t="n"/>
      <c r="AF87" s="60" t="n"/>
      <c r="AG87" s="61" t="n"/>
      <c r="AH87" s="61" t="n"/>
      <c r="AI87" s="61" t="n"/>
      <c r="AJ87" s="52" t="n"/>
      <c r="AK87" s="53" t="n"/>
      <c r="AL87" s="59" t="n"/>
      <c r="AM87" s="53" t="n"/>
      <c r="AN87" s="59" t="n"/>
      <c r="AO87" s="52" t="n"/>
      <c r="AP87" s="59" t="inlineStr">
        <is>
          <t>PART 4. 혼용 가능 조합 &gt; 확인된 조합</t>
        </is>
      </c>
      <c r="AQ87" s="59" t="inlineStr">
        <is>
          <t>knco.co.kr/product/product_09 (경농 혼용안내, 고추 기준)</t>
        </is>
      </c>
      <c r="AR87" s="61" t="n">
        <v>46283</v>
      </c>
    </row>
    <row r="88" ht="35" customHeight="1">
      <c r="A88" s="51" t="n">
        <v>87</v>
      </c>
      <c r="B88" s="52" t="inlineStr">
        <is>
          <t>혼용 가능 조합</t>
        </is>
      </c>
      <c r="C88" s="53" t="n"/>
      <c r="D88" s="53" t="inlineStr">
        <is>
          <t>병해</t>
        </is>
      </c>
      <c r="E88" s="54" t="inlineStr">
        <is>
          <t>탄저병</t>
        </is>
      </c>
      <c r="F88" s="55" t="n"/>
      <c r="G88" s="56" t="inlineStr">
        <is>
          <t>모스피란</t>
        </is>
      </c>
      <c r="H88" s="53" t="n"/>
      <c r="I88" s="53" t="n"/>
      <c r="J88" s="53" t="inlineStr">
        <is>
          <t>혼용정보</t>
        </is>
      </c>
      <c r="K88" s="57" t="n"/>
      <c r="L88" s="52" t="n"/>
      <c r="M88" s="52" t="n"/>
      <c r="N88" s="52" t="n"/>
      <c r="O88" s="58" t="n"/>
      <c r="P88" s="53" t="n"/>
      <c r="Q88" s="59" t="n"/>
      <c r="R88" s="59" t="n"/>
      <c r="S88" s="59" t="n"/>
      <c r="T88" s="52" t="n"/>
      <c r="U88" s="59" t="n"/>
      <c r="V88" s="52" t="inlineStr">
        <is>
          <t>다놀라</t>
        </is>
      </c>
      <c r="W88" s="53" t="inlineStr">
        <is>
          <t>가능</t>
        </is>
      </c>
      <c r="X88" s="53" t="n"/>
      <c r="Y88" s="52" t="n"/>
      <c r="Z88" s="52" t="n"/>
      <c r="AA88" s="59" t="inlineStr">
        <is>
          <t>가이드 내 위치: 탄저병 2순위</t>
        </is>
      </c>
      <c r="AB88" s="59" t="inlineStr">
        <is>
          <t>살균제(다놀라) 학교 보유 중</t>
        </is>
      </c>
      <c r="AC88" s="52" t="n"/>
      <c r="AD88" s="52" t="n"/>
      <c r="AE88" s="52" t="n"/>
      <c r="AF88" s="60" t="n"/>
      <c r="AG88" s="61" t="n"/>
      <c r="AH88" s="61" t="n"/>
      <c r="AI88" s="61" t="n"/>
      <c r="AJ88" s="52" t="n"/>
      <c r="AK88" s="53" t="n"/>
      <c r="AL88" s="59" t="n"/>
      <c r="AM88" s="53" t="n"/>
      <c r="AN88" s="59" t="n"/>
      <c r="AO88" s="52" t="n"/>
      <c r="AP88" s="59" t="inlineStr">
        <is>
          <t>PART 4. 혼용 가능 조합 &gt; 확인된 조합</t>
        </is>
      </c>
      <c r="AQ88" s="59" t="inlineStr">
        <is>
          <t>knco.co.kr/product/product_09 (경농 혼용안내, 고추 기준)</t>
        </is>
      </c>
      <c r="AR88" s="61" t="n">
        <v>46283</v>
      </c>
    </row>
    <row r="89" ht="35" customHeight="1">
      <c r="A89" s="51" t="n">
        <v>88</v>
      </c>
      <c r="B89" s="52" t="inlineStr">
        <is>
          <t>혼용 가능 조합</t>
        </is>
      </c>
      <c r="C89" s="53" t="n"/>
      <c r="D89" s="53" t="inlineStr">
        <is>
          <t>병해</t>
        </is>
      </c>
      <c r="E89" s="54" t="inlineStr">
        <is>
          <t>탄저병</t>
        </is>
      </c>
      <c r="F89" s="55" t="n"/>
      <c r="G89" s="56" t="inlineStr">
        <is>
          <t>모스피란</t>
        </is>
      </c>
      <c r="H89" s="53" t="n"/>
      <c r="I89" s="53" t="n"/>
      <c r="J89" s="53" t="inlineStr">
        <is>
          <t>혼용정보</t>
        </is>
      </c>
      <c r="K89" s="57" t="n"/>
      <c r="L89" s="52" t="n"/>
      <c r="M89" s="52" t="n"/>
      <c r="N89" s="52" t="n"/>
      <c r="O89" s="58" t="n"/>
      <c r="P89" s="53" t="n"/>
      <c r="Q89" s="59" t="n"/>
      <c r="R89" s="59" t="n"/>
      <c r="S89" s="59" t="n"/>
      <c r="T89" s="52" t="n"/>
      <c r="U89" s="59" t="n"/>
      <c r="V89" s="52" t="inlineStr">
        <is>
          <t>벨쿠트</t>
        </is>
      </c>
      <c r="W89" s="53" t="inlineStr">
        <is>
          <t>가능</t>
        </is>
      </c>
      <c r="X89" s="53" t="n"/>
      <c r="Y89" s="52" t="n"/>
      <c r="Z89" s="52" t="n"/>
      <c r="AA89" s="59" t="inlineStr">
        <is>
          <t>가이드 내 위치: 탄저병 4순위</t>
        </is>
      </c>
      <c r="AB89" s="59" t="inlineStr">
        <is>
          <t>살균제(벨쿠트) 학교 보유 중</t>
        </is>
      </c>
      <c r="AC89" s="52" t="n"/>
      <c r="AD89" s="52" t="n"/>
      <c r="AE89" s="52" t="n"/>
      <c r="AF89" s="60" t="n"/>
      <c r="AG89" s="61" t="n"/>
      <c r="AH89" s="61" t="n"/>
      <c r="AI89" s="61" t="n"/>
      <c r="AJ89" s="52" t="n"/>
      <c r="AK89" s="53" t="n"/>
      <c r="AL89" s="59" t="n"/>
      <c r="AM89" s="53" t="n"/>
      <c r="AN89" s="59" t="n"/>
      <c r="AO89" s="52" t="n"/>
      <c r="AP89" s="59" t="inlineStr">
        <is>
          <t>PART 4. 혼용 가능 조합 &gt; 확인된 조합</t>
        </is>
      </c>
      <c r="AQ89" s="59" t="inlineStr">
        <is>
          <t>knco.co.kr/product/product_09 (경농 혼용안내, 고추 기준)</t>
        </is>
      </c>
      <c r="AR89" s="61" t="n">
        <v>46283</v>
      </c>
    </row>
    <row r="90" ht="35" customHeight="1">
      <c r="A90" s="51" t="n">
        <v>89</v>
      </c>
      <c r="B90" s="52" t="inlineStr">
        <is>
          <t>혼용 가능 조합</t>
        </is>
      </c>
      <c r="C90" s="53" t="n"/>
      <c r="D90" s="53" t="inlineStr">
        <is>
          <t>병해</t>
        </is>
      </c>
      <c r="E90" s="54" t="inlineStr">
        <is>
          <t>세균점무늬병</t>
        </is>
      </c>
      <c r="F90" s="55" t="n"/>
      <c r="G90" s="56" t="inlineStr">
        <is>
          <t>모스피란</t>
        </is>
      </c>
      <c r="H90" s="53" t="n"/>
      <c r="I90" s="53" t="n"/>
      <c r="J90" s="53" t="inlineStr">
        <is>
          <t>혼용정보</t>
        </is>
      </c>
      <c r="K90" s="57" t="n"/>
      <c r="L90" s="52" t="n"/>
      <c r="M90" s="52" t="n"/>
      <c r="N90" s="52" t="n"/>
      <c r="O90" s="58" t="n"/>
      <c r="P90" s="53" t="n"/>
      <c r="Q90" s="59" t="n"/>
      <c r="R90" s="59" t="n"/>
      <c r="S90" s="59" t="n"/>
      <c r="T90" s="52" t="n"/>
      <c r="U90" s="59" t="n"/>
      <c r="V90" s="52" t="inlineStr">
        <is>
          <t>가스란</t>
        </is>
      </c>
      <c r="W90" s="53" t="inlineStr">
        <is>
          <t>가능</t>
        </is>
      </c>
      <c r="X90" s="53" t="n"/>
      <c r="Y90" s="52" t="n"/>
      <c r="Z90" s="52" t="n"/>
      <c r="AA90" s="59" t="inlineStr">
        <is>
          <t>가이드 내 위치: 세균점무늬병 3순위</t>
        </is>
      </c>
      <c r="AB90" s="59" t="inlineStr">
        <is>
          <t>살균제(가스란) 학교 미보유 - 구매 필요</t>
        </is>
      </c>
      <c r="AC90" s="52" t="n"/>
      <c r="AD90" s="52" t="n"/>
      <c r="AE90" s="52" t="n"/>
      <c r="AF90" s="60" t="n"/>
      <c r="AG90" s="61" t="n"/>
      <c r="AH90" s="61" t="n"/>
      <c r="AI90" s="61" t="n"/>
      <c r="AJ90" s="52" t="n"/>
      <c r="AK90" s="53" t="n"/>
      <c r="AL90" s="59" t="n"/>
      <c r="AM90" s="53" t="n"/>
      <c r="AN90" s="59" t="n"/>
      <c r="AO90" s="52" t="n"/>
      <c r="AP90" s="59" t="inlineStr">
        <is>
          <t>PART 4. 혼용 가능 조합 &gt; 확인된 조합</t>
        </is>
      </c>
      <c r="AQ90" s="59" t="inlineStr">
        <is>
          <t>knco.co.kr/product/product_09 (경농 혼용안내, 고추 기준)</t>
        </is>
      </c>
      <c r="AR90" s="61" t="n">
        <v>46283</v>
      </c>
    </row>
    <row r="91" ht="50" customHeight="1">
      <c r="A91" s="51" t="n">
        <v>90</v>
      </c>
      <c r="B91" s="52" t="inlineStr">
        <is>
          <t>혼용 가능 조합</t>
        </is>
      </c>
      <c r="C91" s="53" t="n"/>
      <c r="D91" s="53" t="inlineStr">
        <is>
          <t>병해</t>
        </is>
      </c>
      <c r="E91" s="54" t="inlineStr">
        <is>
          <t>탄저병</t>
        </is>
      </c>
      <c r="F91" s="55" t="n"/>
      <c r="G91" s="56" t="inlineStr">
        <is>
          <t>코니도</t>
        </is>
      </c>
      <c r="H91" s="53" t="n"/>
      <c r="I91" s="53" t="n"/>
      <c r="J91" s="53" t="inlineStr">
        <is>
          <t>혼용정보</t>
        </is>
      </c>
      <c r="K91" s="57" t="n"/>
      <c r="L91" s="52" t="n"/>
      <c r="M91" s="52" t="n"/>
      <c r="N91" s="52" t="n"/>
      <c r="O91" s="58" t="n"/>
      <c r="P91" s="53" t="n"/>
      <c r="Q91" s="59" t="n"/>
      <c r="R91" s="59" t="n"/>
      <c r="S91" s="59" t="n"/>
      <c r="T91" s="52" t="n"/>
      <c r="U91" s="59" t="n"/>
      <c r="V91" s="52" t="inlineStr">
        <is>
          <t>벨쿠트</t>
        </is>
      </c>
      <c r="W91" s="53" t="inlineStr">
        <is>
          <t>가능</t>
        </is>
      </c>
      <c r="X91" s="53" t="n"/>
      <c r="Y91" s="52" t="n"/>
      <c r="Z91" s="52" t="n"/>
      <c r="AA91" s="59" t="inlineStr">
        <is>
          <t>가이드 내 위치: 탄저병 4순위</t>
        </is>
      </c>
      <c r="AB91" s="59" t="inlineStr">
        <is>
          <t>살균제(벨쿠트) 학교 보유 중</t>
        </is>
      </c>
      <c r="AC91" s="52" t="n"/>
      <c r="AD91" s="52" t="n"/>
      <c r="AE91" s="52" t="n"/>
      <c r="AF91" s="60" t="n"/>
      <c r="AG91" s="61" t="n"/>
      <c r="AH91" s="61" t="n"/>
      <c r="AI91" s="61" t="n"/>
      <c r="AJ91" s="52" t="n"/>
      <c r="AK91" s="53" t="n"/>
      <c r="AL91" s="59" t="n"/>
      <c r="AM91" s="53" t="n"/>
      <c r="AN91" s="59" t="n"/>
      <c r="AO91" s="52" t="n"/>
      <c r="AP91" s="59" t="inlineStr">
        <is>
          <t>PART 4. 혼용 가능 조합 &gt; 바이엘(코니도·타스타) 공식 혼용정보</t>
        </is>
      </c>
      <c r="AQ91" s="59" t="inlineStr">
        <is>
          <t>farmhannong.com/kor/product/mix-info (바이엘 혼용기술정보 2025)</t>
        </is>
      </c>
      <c r="AR91" s="61" t="n">
        <v>46283</v>
      </c>
    </row>
    <row r="92" ht="50" customHeight="1">
      <c r="A92" s="51" t="n">
        <v>91</v>
      </c>
      <c r="B92" s="52" t="inlineStr">
        <is>
          <t>혼용 가능 조합</t>
        </is>
      </c>
      <c r="C92" s="53" t="n"/>
      <c r="D92" s="53" t="n"/>
      <c r="E92" s="54" t="n"/>
      <c r="F92" s="55" t="n"/>
      <c r="G92" s="56" t="inlineStr">
        <is>
          <t>타스타</t>
        </is>
      </c>
      <c r="H92" s="53" t="n"/>
      <c r="I92" s="53" t="n"/>
      <c r="J92" s="53" t="inlineStr">
        <is>
          <t>혼용정보</t>
        </is>
      </c>
      <c r="K92" s="57" t="n"/>
      <c r="L92" s="52" t="n"/>
      <c r="M92" s="52" t="n"/>
      <c r="N92" s="52" t="n"/>
      <c r="O92" s="58" t="n"/>
      <c r="P92" s="53" t="n"/>
      <c r="Q92" s="59" t="inlineStr">
        <is>
          <t>살균제 조합 자체가 공식 자료에 없음. 살균제와 섞지 말 것</t>
        </is>
      </c>
      <c r="R92" s="59" t="n"/>
      <c r="S92" s="59" t="n"/>
      <c r="T92" s="52" t="n"/>
      <c r="U92" s="59" t="n"/>
      <c r="V92" s="52" t="n"/>
      <c r="W92" s="53" t="inlineStr">
        <is>
          <t>조합 없음(섞지 말 것)</t>
        </is>
      </c>
      <c r="X92" s="53" t="n"/>
      <c r="Y92" s="52" t="n"/>
      <c r="Z92" s="52" t="n"/>
      <c r="AA92" s="59" t="n"/>
      <c r="AB92" s="59" t="n"/>
      <c r="AC92" s="52" t="n"/>
      <c r="AD92" s="52" t="n"/>
      <c r="AE92" s="52" t="n"/>
      <c r="AF92" s="60" t="n"/>
      <c r="AG92" s="61" t="n"/>
      <c r="AH92" s="61" t="n"/>
      <c r="AI92" s="61" t="n"/>
      <c r="AJ92" s="52" t="n"/>
      <c r="AK92" s="53" t="n"/>
      <c r="AL92" s="59" t="n"/>
      <c r="AM92" s="53" t="n"/>
      <c r="AN92" s="59" t="n"/>
      <c r="AO92" s="52" t="n"/>
      <c r="AP92" s="59" t="inlineStr">
        <is>
          <t>PART 4. 혼용 가능 조합 &gt; 바이엘(코니도·타스타) 공식 혼용정보</t>
        </is>
      </c>
      <c r="AQ92" s="59" t="inlineStr">
        <is>
          <t>farmhannong.com/kor/product/mix-info (바이엘 혼용기술정보 2025)</t>
        </is>
      </c>
      <c r="AR92" s="61" t="n">
        <v>46283</v>
      </c>
    </row>
    <row r="93" ht="65" customHeight="1">
      <c r="A93" s="51" t="n">
        <v>92</v>
      </c>
      <c r="B93" s="52" t="inlineStr">
        <is>
          <t>혼용정보 확인결과</t>
        </is>
      </c>
      <c r="C93" s="53" t="n"/>
      <c r="D93" s="53" t="n"/>
      <c r="E93" s="54" t="n"/>
      <c r="F93" s="55" t="n"/>
      <c r="G93" s="56" t="inlineStr">
        <is>
          <t>버픽스</t>
        </is>
      </c>
      <c r="H93" s="53" t="n"/>
      <c r="I93" s="53" t="n"/>
      <c r="J93" s="53" t="inlineStr">
        <is>
          <t>혼용정보</t>
        </is>
      </c>
      <c r="K93" s="57" t="n"/>
      <c r="L93" s="52" t="n"/>
      <c r="M93" s="52" t="n"/>
      <c r="N93" s="52" t="n"/>
      <c r="O93" s="58" t="n"/>
      <c r="P93" s="53" t="n"/>
      <c r="Q93" s="59" t="n"/>
      <c r="R93" s="59" t="n"/>
      <c r="S93" s="59" t="n"/>
      <c r="T93" s="52" t="n"/>
      <c r="U93" s="59" t="n"/>
      <c r="V93" s="52" t="n"/>
      <c r="W93" s="53" t="inlineStr">
        <is>
          <t>미확인</t>
        </is>
      </c>
      <c r="X93" s="53" t="n"/>
      <c r="Y93" s="52" t="inlineStr">
        <is>
          <t>동방아그로</t>
        </is>
      </c>
      <c r="Z93" s="52" t="inlineStr">
        <is>
          <t>1644-7337</t>
        </is>
      </c>
      <c r="AA93" s="59" t="inlineStr">
        <is>
          <t>자사 제품혼용표 도구에서 "버픽스"로 검색 → 전체 작물 통틀어 0건. 아직 표에 등록이 안 된 신제품으로 보임</t>
        </is>
      </c>
      <c r="AB93" s="59" t="n"/>
      <c r="AC93" s="52" t="n"/>
      <c r="AD93" s="52" t="n"/>
      <c r="AE93" s="52" t="n"/>
      <c r="AF93" s="60" t="n"/>
      <c r="AG93" s="61" t="n"/>
      <c r="AH93" s="61" t="n"/>
      <c r="AI93" s="61" t="n"/>
      <c r="AJ93" s="52" t="n"/>
      <c r="AK93" s="53" t="n"/>
      <c r="AL93" s="59" t="n"/>
      <c r="AM93" s="53" t="n"/>
      <c r="AN93" s="59" t="n"/>
      <c r="AO93" s="52" t="n"/>
      <c r="AP93" s="59" t="inlineStr">
        <is>
          <t>PART 4. 혼용 가능 조합 &gt; 나머지 3개(버픽스·무름반점뚝·강철비) 끝까지 확인한 결과</t>
        </is>
      </c>
      <c r="AQ93" s="59" t="inlineStr">
        <is>
          <t>dongbangagro.co.kr/product_combined.php · dae-yu.co.kr · enbio.co.kr</t>
        </is>
      </c>
      <c r="AR93" s="61" t="n">
        <v>46283</v>
      </c>
    </row>
    <row r="94" ht="65" customHeight="1">
      <c r="A94" s="51" t="n">
        <v>93</v>
      </c>
      <c r="B94" s="52" t="inlineStr">
        <is>
          <t>혼용정보 확인결과</t>
        </is>
      </c>
      <c r="C94" s="53" t="n"/>
      <c r="D94" s="53" t="n"/>
      <c r="E94" s="54" t="n"/>
      <c r="F94" s="55" t="n"/>
      <c r="G94" s="56" t="inlineStr">
        <is>
          <t>무름반점뚝</t>
        </is>
      </c>
      <c r="H94" s="53" t="n"/>
      <c r="I94" s="53" t="n"/>
      <c r="J94" s="53" t="inlineStr">
        <is>
          <t>혼용정보</t>
        </is>
      </c>
      <c r="K94" s="57" t="n"/>
      <c r="L94" s="52" t="n"/>
      <c r="M94" s="52" t="n"/>
      <c r="N94" s="52" t="n"/>
      <c r="O94" s="58" t="n"/>
      <c r="P94" s="53" t="n"/>
      <c r="Q94" s="59" t="n"/>
      <c r="R94" s="59" t="n"/>
      <c r="S94" s="59" t="n"/>
      <c r="T94" s="52" t="n"/>
      <c r="U94" s="59" t="n"/>
      <c r="V94" s="52" t="n"/>
      <c r="W94" s="53" t="inlineStr">
        <is>
          <t>미확인</t>
        </is>
      </c>
      <c r="X94" s="53" t="n"/>
      <c r="Y94" s="52" t="inlineStr">
        <is>
          <t>대유</t>
        </is>
      </c>
      <c r="Z94" s="52" t="n"/>
      <c r="AA94" s="59" t="inlineStr">
        <is>
          <t>회사 사이트에 혼용정보 코너 자체가 없음. 제품 상세페이지에도 혼용 관련 내용 없음</t>
        </is>
      </c>
      <c r="AB94" s="59" t="n"/>
      <c r="AC94" s="52" t="n"/>
      <c r="AD94" s="52" t="n"/>
      <c r="AE94" s="52" t="n"/>
      <c r="AF94" s="60" t="n"/>
      <c r="AG94" s="61" t="n"/>
      <c r="AH94" s="61" t="n"/>
      <c r="AI94" s="61" t="n"/>
      <c r="AJ94" s="52" t="n"/>
      <c r="AK94" s="53" t="n"/>
      <c r="AL94" s="59" t="n"/>
      <c r="AM94" s="53" t="n"/>
      <c r="AN94" s="59" t="n"/>
      <c r="AO94" s="52" t="n"/>
      <c r="AP94" s="59" t="inlineStr">
        <is>
          <t>PART 4. 혼용 가능 조합 &gt; 나머지 3개(버픽스·무름반점뚝·강철비) 끝까지 확인한 결과</t>
        </is>
      </c>
      <c r="AQ94" s="59" t="inlineStr">
        <is>
          <t>dongbangagro.co.kr/product_combined.php · dae-yu.co.kr · enbio.co.kr</t>
        </is>
      </c>
      <c r="AR94" s="61" t="n">
        <v>46283</v>
      </c>
    </row>
    <row r="95" ht="65" customHeight="1">
      <c r="A95" s="51" t="n">
        <v>94</v>
      </c>
      <c r="B95" s="52" t="inlineStr">
        <is>
          <t>혼용정보 확인결과</t>
        </is>
      </c>
      <c r="C95" s="53" t="n"/>
      <c r="D95" s="53" t="n"/>
      <c r="E95" s="54" t="n"/>
      <c r="F95" s="55" t="n"/>
      <c r="G95" s="56" t="inlineStr">
        <is>
          <t>강철비</t>
        </is>
      </c>
      <c r="H95" s="53" t="n"/>
      <c r="I95" s="53" t="n"/>
      <c r="J95" s="53" t="inlineStr">
        <is>
          <t>혼용정보</t>
        </is>
      </c>
      <c r="K95" s="57" t="n"/>
      <c r="L95" s="52" t="n"/>
      <c r="M95" s="52" t="n"/>
      <c r="N95" s="52" t="n"/>
      <c r="O95" s="58" t="n"/>
      <c r="P95" s="53" t="n"/>
      <c r="Q95" s="59" t="n"/>
      <c r="R95" s="59" t="n"/>
      <c r="S95" s="59" t="n"/>
      <c r="T95" s="52" t="n"/>
      <c r="U95" s="59" t="n"/>
      <c r="V95" s="52" t="n"/>
      <c r="W95" s="53" t="inlineStr">
        <is>
          <t>미확인</t>
        </is>
      </c>
      <c r="X95" s="53" t="n"/>
      <c r="Y95" s="52" t="inlineStr">
        <is>
          <t>인바이오</t>
        </is>
      </c>
      <c r="Z95" s="52" t="inlineStr">
        <is>
          <t>031-477-6011</t>
        </is>
      </c>
      <c r="AA95" s="59" t="inlineStr">
        <is>
          <t>자사 혼용가부표(살균제용·살충제용 두 장, 도합 300개 이상 조합 수록)를 처음부터 끝까지 다 읽었으나 "강철비"는 어디에도 없음</t>
        </is>
      </c>
      <c r="AB95" s="59" t="n"/>
      <c r="AC95" s="52" t="n"/>
      <c r="AD95" s="52" t="n"/>
      <c r="AE95" s="52" t="n"/>
      <c r="AF95" s="60" t="n"/>
      <c r="AG95" s="61" t="n"/>
      <c r="AH95" s="61" t="n"/>
      <c r="AI95" s="61" t="n"/>
      <c r="AJ95" s="52" t="n"/>
      <c r="AK95" s="53" t="n"/>
      <c r="AL95" s="59" t="n"/>
      <c r="AM95" s="53" t="n"/>
      <c r="AN95" s="59" t="n"/>
      <c r="AO95" s="52" t="n"/>
      <c r="AP95" s="59" t="inlineStr">
        <is>
          <t>PART 4. 혼용 가능 조합 &gt; 나머지 3개(버픽스·무름반점뚝·강철비) 끝까지 확인한 결과</t>
        </is>
      </c>
      <c r="AQ95" s="59" t="inlineStr">
        <is>
          <t>dongbangagro.co.kr/product_combined.php · dae-yu.co.kr · enbio.co.kr</t>
        </is>
      </c>
      <c r="AR95" s="61" t="n">
        <v>46283</v>
      </c>
    </row>
  </sheetData>
  <conditionalFormatting sqref="I2:I3000">
    <cfRule type="expression" priority="1" dxfId="2">
      <formula>$I2="보유"</formula>
    </cfRule>
  </conditionalFormatting>
  <conditionalFormatting sqref="Q2:Q3000">
    <cfRule type="expression" priority="2" dxfId="3">
      <formula>LEN($Q2)&gt;0</formula>
    </cfRule>
  </conditionalFormatting>
  <dataValidations count="7">
    <dataValidation sqref="B2:B3000" showDropDown="0" showInputMessage="0" showErrorMessage="0" allowBlank="1" errorTitle="입력값 확인" error="[참고 사항] 시트의 분류 값 목록에 있는 값을 선택하세요." type="list" errorStyle="stop">
      <formula1>=목록_정보구분</formula1>
    </dataValidation>
    <dataValidation sqref="D2:D3000" showDropDown="0" showInputMessage="0" showErrorMessage="0" allowBlank="1" errorTitle="입력값 확인" error="[참고 사항] 시트의 분류 값 목록에 있는 값을 선택하세요." type="list" errorStyle="stop">
      <formula1>=목록_병해충구분</formula1>
    </dataValidation>
    <dataValidation sqref="J2:J3000" showDropDown="0" showInputMessage="0" showErrorMessage="0" allowBlank="1" errorTitle="입력값 확인" error="[참고 사항] 시트의 분류 값 목록에 있는 값을 선택하세요." type="list" errorStyle="stop">
      <formula1>=목록_방제구분</formula1>
    </dataValidation>
    <dataValidation sqref="I2:I3000" showDropDown="0" showInputMessage="0" showErrorMessage="0" allowBlank="1" errorTitle="입력값 확인" error="[참고 사항] 시트의 분류 값 목록에 있는 값을 선택하세요." type="list" errorStyle="stop">
      <formula1>=목록_학교보유</formula1>
    </dataValidation>
    <dataValidation sqref="W2:W3000" showDropDown="0" showInputMessage="0" showErrorMessage="0" allowBlank="1" errorTitle="입력값 확인" error="[참고 사항] 시트의 분류 값 목록에 있는 값을 선택하세요." type="list" errorStyle="stop">
      <formula1>=목록_혼용가능여부</formula1>
    </dataValidation>
    <dataValidation sqref="H2:H3000" showDropDown="0" showInputMessage="0" showErrorMessage="0" allowBlank="1" errorTitle="입력값 확인" error="[참고 사항] 시트의 분류 값 목록에 있는 값을 선택하세요." type="list" errorStyle="warning">
      <formula1>=목록_제형</formula1>
    </dataValidation>
    <dataValidation sqref="L2:L3000" showDropDown="0" showInputMessage="0" showErrorMessage="0" allowBlank="1" errorTitle="입력값 확인" error="[참고 사항] 시트의 분류 값 목록에 있는 값을 선택하세요." type="list" errorStyle="warning">
      <formula1>=목록_살포방법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8" customWidth="1" min="4" max="4"/>
    <col width="22" customWidth="1" min="5" max="5"/>
    <col width="16" customWidth="1" min="6" max="6"/>
    <col width="22" customWidth="1" min="7" max="7"/>
    <col width="70" customWidth="1" min="8" max="8"/>
    <col width="12" customWidth="1" min="9" max="9"/>
  </cols>
  <sheetData>
    <row r="1">
      <c r="A1" s="62" t="inlineStr">
        <is>
          <t>■ 사용 방법</t>
        </is>
      </c>
    </row>
    <row r="2">
      <c r="A2" s="63" t="inlineStr">
        <is>
          <t>[병해충 방제 가이드] 시트 — 한눈에 보기</t>
        </is>
      </c>
    </row>
    <row r="3">
      <c r="A3" s="63" t="inlineStr">
        <is>
          <t xml:space="preserve">   ① 맨 위 노란 칸(병해충 선택)을 누르고 ▼ 목록에서 병해충을 고르면, 바로 아래에 1~4순위 약제와 희석배수·살포 방법·시기·횟수·주의사항이 표시됩니다.</t>
        </is>
      </c>
    </row>
    <row r="4">
      <c r="A4" s="63" t="inlineStr">
        <is>
          <t xml:space="preserve">   ② 아래 방제표에서 [병해충명] 머리글의 ▼ 필터 → 검색 칸에 병해충명 입력 → 확인. 해당 병해충의 약제만 남습니다.</t>
        </is>
      </c>
    </row>
    <row r="5">
      <c r="A5" s="63" t="inlineStr">
        <is>
          <t xml:space="preserve">   ③ 같은 병해충의 약제는 한 묶음(굵은 윗선 + 같은 바탕색)으로 표시되고, 순위 순서로 나열됩니다.</t>
        </is>
      </c>
    </row>
    <row r="6">
      <c r="A6" s="63" t="inlineStr">
        <is>
          <t>[전체 방제 정보] 시트 — 원본 자료 전체(구매 필요 약제·유기농업자재 기타 효과·혼용 조합·확인결과 포함)를 모든 열에서 필터·검색할 수 있습니다.</t>
        </is>
      </c>
    </row>
    <row r="7">
      <c r="A7" s="63" t="inlineStr">
        <is>
          <t>새 자료 추가: [전체 방제 정보] 표 바로 아래 행에 입력하면 표가 자동 확장되고, 조회 카드에도 반영됩니다(정보 구분 = 추천 약제(로테이션)).</t>
        </is>
      </c>
    </row>
    <row r="8">
      <c r="A8" s="63" t="inlineStr">
        <is>
          <t>필터 해제: [데이터] 탭 → [지우기].</t>
        </is>
      </c>
    </row>
    <row r="10">
      <c r="A10" s="62" t="inlineStr">
        <is>
          <t>■ 표시 규칙</t>
        </is>
      </c>
    </row>
    <row r="11">
      <c r="A11" s="63" t="inlineStr">
        <is>
          <t>• 노란색 = 학교(연암대) 보유 약제   • 주황 바탕 = 주의사항·혼용 정보가 있는 칸   • 초록 머리글 = 사용 방법(희석·방법·시기·횟수)</t>
        </is>
      </c>
    </row>
    <row r="12">
      <c r="A12" s="63" t="inlineStr">
        <is>
          <t>• 원본에 값이 없는 칸은 빈칸으로 두었습니다(임의로 채우지 않음). 원본 "-" 표기도 빈칸입니다.</t>
        </is>
      </c>
    </row>
    <row r="13">
      <c r="A13" s="63" t="inlineStr">
        <is>
          <t>• [살포 시기]는 원본에 시기가 명시된 경우(정식기·발생초기·생육기 등)만 기재했고, [수확 전 사용 제한]은 안전사용기준의 "수확○일전"입니다.</t>
        </is>
      </c>
    </row>
    <row r="14">
      <c r="A14" s="63" t="inlineStr">
        <is>
          <t>• [작물명] "파프리카"는 원본 가이드 제목(파프리카 재배 현장 방제 가이드) 기준입니다. 유기농업자재는 원본 시험 작물을 적었습니다.</t>
        </is>
      </c>
    </row>
    <row r="16">
      <c r="A16" s="62" t="inlineStr">
        <is>
          <t>■ 분류 값 목록 (드롭다운 원본 — 새 값이 필요하면 각 목록 아래 빈칸에 추가)</t>
        </is>
      </c>
    </row>
    <row r="17">
      <c r="A17" s="33" t="inlineStr">
        <is>
          <t>병해충(조회용)</t>
        </is>
      </c>
      <c r="B17" s="33" t="inlineStr">
        <is>
          <t>정보 구분</t>
        </is>
      </c>
      <c r="C17" s="33" t="inlineStr">
        <is>
          <t>병해충 구분</t>
        </is>
      </c>
      <c r="D17" s="33" t="inlineStr">
        <is>
          <t>방제 구분</t>
        </is>
      </c>
      <c r="E17" s="33" t="inlineStr">
        <is>
          <t>학교 보유</t>
        </is>
      </c>
      <c r="F17" s="33" t="inlineStr">
        <is>
          <t>혼용 가능 여부</t>
        </is>
      </c>
      <c r="G17" s="33" t="inlineStr">
        <is>
          <t>제형</t>
        </is>
      </c>
      <c r="H17" s="33" t="inlineStr">
        <is>
          <t>살포 방법</t>
        </is>
      </c>
    </row>
    <row r="18">
      <c r="A18" s="64" t="inlineStr">
        <is>
          <t>갈색무늬병</t>
        </is>
      </c>
      <c r="B18" s="64" t="inlineStr">
        <is>
          <t>추천 약제(로테이션)</t>
        </is>
      </c>
      <c r="C18" s="64" t="inlineStr">
        <is>
          <t>병해</t>
        </is>
      </c>
      <c r="D18" s="64" t="inlineStr">
        <is>
          <t>등록 농약</t>
        </is>
      </c>
      <c r="E18" s="64" t="inlineStr">
        <is>
          <t>보유</t>
        </is>
      </c>
      <c r="F18" s="64" t="inlineStr">
        <is>
          <t>가능</t>
        </is>
      </c>
      <c r="G18" s="64" t="inlineStr">
        <is>
          <t>수화제</t>
        </is>
      </c>
      <c r="H18" s="64" t="inlineStr">
        <is>
          <t>경엽처리</t>
        </is>
      </c>
    </row>
    <row r="19">
      <c r="A19" s="64" t="inlineStr">
        <is>
          <t>갈색점무늬병</t>
        </is>
      </c>
      <c r="B19" s="64" t="inlineStr">
        <is>
          <t>구매 필요 약제</t>
        </is>
      </c>
      <c r="C19" s="64" t="inlineStr">
        <is>
          <t>해충</t>
        </is>
      </c>
      <c r="D19" s="64" t="inlineStr">
        <is>
          <t>유기농업자재</t>
        </is>
      </c>
      <c r="E19" s="64" t="inlineStr">
        <is>
          <t>미보유</t>
        </is>
      </c>
      <c r="F19" s="64" t="inlineStr">
        <is>
          <t>조합 없음(섞지 말 것)</t>
        </is>
      </c>
      <c r="G19" s="64" t="inlineStr">
        <is>
          <t>액상</t>
        </is>
      </c>
      <c r="H19" s="64" t="inlineStr">
        <is>
          <t>관주처리</t>
        </is>
      </c>
    </row>
    <row r="20">
      <c r="A20" s="64" t="inlineStr">
        <is>
          <t>붉은썩음병</t>
        </is>
      </c>
      <c r="B20" s="64" t="inlineStr">
        <is>
          <t>유기농업자재</t>
        </is>
      </c>
      <c r="C20" s="64" t="n"/>
      <c r="D20" s="64" t="inlineStr">
        <is>
          <t>혼용정보</t>
        </is>
      </c>
      <c r="E20" s="64" t="n"/>
      <c r="F20" s="64" t="inlineStr">
        <is>
          <t>미확인</t>
        </is>
      </c>
      <c r="G20" s="64" t="inlineStr">
        <is>
          <t>액상수화제</t>
        </is>
      </c>
      <c r="H20" s="64" t="inlineStr">
        <is>
          <t>관주처리(양액재배)</t>
        </is>
      </c>
    </row>
    <row r="21">
      <c r="A21" s="64" t="inlineStr">
        <is>
          <t>뿌리썩음병</t>
        </is>
      </c>
      <c r="B21" s="64" t="inlineStr">
        <is>
          <t>유기농업자재(기타 방제효과)</t>
        </is>
      </c>
      <c r="C21" s="64" t="n"/>
      <c r="D21" s="64" t="n"/>
      <c r="E21" s="64" t="n"/>
      <c r="F21" s="64" t="n"/>
      <c r="G21" s="64" t="inlineStr">
        <is>
          <t>유제</t>
        </is>
      </c>
      <c r="H21" s="64" t="inlineStr">
        <is>
          <t>토양처리</t>
        </is>
      </c>
    </row>
    <row r="22">
      <c r="A22" s="64" t="inlineStr">
        <is>
          <t>세균점무늬병</t>
        </is>
      </c>
      <c r="B22" s="64" t="inlineStr">
        <is>
          <t>혼용 가능 조합</t>
        </is>
      </c>
      <c r="C22" s="64" t="n"/>
      <c r="D22" s="64" t="n"/>
      <c r="E22" s="64" t="n"/>
      <c r="F22" s="64" t="n"/>
      <c r="G22" s="64" t="inlineStr">
        <is>
          <t>입상수화제</t>
        </is>
      </c>
      <c r="H22" s="64" t="n"/>
    </row>
    <row r="23">
      <c r="A23" s="64" t="inlineStr">
        <is>
          <t>잿빛곰팡이병</t>
        </is>
      </c>
      <c r="B23" s="64" t="inlineStr">
        <is>
          <t>혼용정보 확인결과</t>
        </is>
      </c>
      <c r="C23" s="64" t="n"/>
      <c r="D23" s="64" t="n"/>
      <c r="E23" s="64" t="n"/>
      <c r="F23" s="64" t="n"/>
      <c r="G23" s="64" t="inlineStr">
        <is>
          <t>입제</t>
        </is>
      </c>
      <c r="H23" s="64" t="n"/>
    </row>
    <row r="24">
      <c r="A24" s="64" t="inlineStr">
        <is>
          <t>탄저병</t>
        </is>
      </c>
      <c r="B24" s="64" t="n"/>
      <c r="C24" s="64" t="n"/>
      <c r="D24" s="64" t="n"/>
      <c r="E24" s="64" t="n"/>
      <c r="F24" s="64" t="n"/>
      <c r="G24" s="64" t="n"/>
      <c r="H24" s="64" t="n"/>
    </row>
    <row r="25">
      <c r="A25" s="64" t="inlineStr">
        <is>
          <t>풋마름병</t>
        </is>
      </c>
      <c r="B25" s="64" t="n"/>
      <c r="C25" s="64" t="n"/>
      <c r="D25" s="64" t="n"/>
      <c r="E25" s="64" t="n"/>
      <c r="F25" s="64" t="n"/>
      <c r="G25" s="64" t="n"/>
      <c r="H25" s="64" t="n"/>
    </row>
    <row r="26">
      <c r="A26" s="64" t="inlineStr">
        <is>
          <t>거세미나방류</t>
        </is>
      </c>
      <c r="B26" s="64" t="n"/>
      <c r="C26" s="64" t="n"/>
      <c r="D26" s="64" t="n"/>
      <c r="E26" s="64" t="n"/>
      <c r="F26" s="64" t="n"/>
      <c r="G26" s="64" t="n"/>
      <c r="H26" s="64" t="n"/>
    </row>
    <row r="27">
      <c r="A27" s="64" t="inlineStr">
        <is>
          <t>과실파리류</t>
        </is>
      </c>
      <c r="B27" s="64" t="n"/>
      <c r="C27" s="64" t="n"/>
      <c r="D27" s="64" t="n"/>
      <c r="E27" s="64" t="n"/>
      <c r="F27" s="64" t="n"/>
      <c r="G27" s="64" t="n"/>
      <c r="H27" s="64" t="n"/>
    </row>
    <row r="28">
      <c r="A28" s="64" t="inlineStr">
        <is>
          <t>꽃노랑총채벌레</t>
        </is>
      </c>
      <c r="B28" s="64" t="n"/>
      <c r="C28" s="64" t="n"/>
      <c r="D28" s="64" t="n"/>
      <c r="E28" s="64" t="n"/>
      <c r="F28" s="64" t="n"/>
      <c r="G28" s="64" t="n"/>
      <c r="H28" s="64" t="n"/>
    </row>
    <row r="29">
      <c r="A29" s="64" t="inlineStr">
        <is>
          <t>담배가루이</t>
        </is>
      </c>
      <c r="B29" s="64" t="n"/>
      <c r="C29" s="64" t="n"/>
      <c r="D29" s="64" t="n"/>
      <c r="E29" s="64" t="n"/>
      <c r="F29" s="64" t="n"/>
      <c r="G29" s="64" t="n"/>
      <c r="H29" s="64" t="n"/>
    </row>
    <row r="30">
      <c r="A30" s="64" t="inlineStr">
        <is>
          <t>복숭아혹진딧물</t>
        </is>
      </c>
      <c r="B30" s="64" t="n"/>
      <c r="C30" s="64" t="n"/>
      <c r="D30" s="64" t="n"/>
      <c r="E30" s="64" t="n"/>
      <c r="F30" s="64" t="n"/>
      <c r="G30" s="64" t="n"/>
      <c r="H30" s="64" t="n"/>
    </row>
    <row r="31">
      <c r="A31" s="64" t="inlineStr">
        <is>
          <t>온실가루이</t>
        </is>
      </c>
      <c r="B31" s="64" t="n"/>
      <c r="C31" s="64" t="n"/>
      <c r="D31" s="64" t="n"/>
      <c r="E31" s="64" t="n"/>
      <c r="F31" s="64" t="n"/>
      <c r="G31" s="64" t="n"/>
      <c r="H31" s="64" t="n"/>
    </row>
    <row r="32">
      <c r="A32" s="64" t="inlineStr">
        <is>
          <t>진딧물(목화진딧물, 복숭아혹진딧물)</t>
        </is>
      </c>
      <c r="B32" s="64" t="n"/>
      <c r="C32" s="64" t="n"/>
      <c r="D32" s="64" t="n"/>
      <c r="E32" s="64" t="n"/>
      <c r="F32" s="64" t="n"/>
      <c r="G32" s="64" t="n"/>
      <c r="H32" s="64" t="n"/>
    </row>
    <row r="33">
      <c r="A33" s="64" t="inlineStr">
        <is>
          <t>차먼지응애</t>
        </is>
      </c>
      <c r="B33" s="64" t="n"/>
      <c r="C33" s="64" t="n"/>
      <c r="D33" s="64" t="n"/>
      <c r="E33" s="64" t="n"/>
      <c r="F33" s="64" t="n"/>
      <c r="G33" s="64" t="n"/>
      <c r="H33" s="64" t="n"/>
    </row>
    <row r="34">
      <c r="A34" s="64" t="n"/>
      <c r="B34" s="64" t="n"/>
      <c r="C34" s="64" t="n"/>
      <c r="D34" s="64" t="n"/>
      <c r="E34" s="64" t="n"/>
      <c r="F34" s="64" t="n"/>
      <c r="G34" s="64" t="n"/>
      <c r="H34" s="64" t="n"/>
    </row>
    <row r="35">
      <c r="A35" s="64" t="n"/>
      <c r="B35" s="64" t="n"/>
      <c r="C35" s="64" t="n"/>
      <c r="D35" s="64" t="n"/>
      <c r="E35" s="64" t="n"/>
      <c r="F35" s="64" t="n"/>
      <c r="G35" s="64" t="n"/>
      <c r="H35" s="64" t="n"/>
    </row>
    <row r="36">
      <c r="A36" s="64" t="n"/>
      <c r="B36" s="64" t="n"/>
      <c r="C36" s="64" t="n"/>
      <c r="D36" s="64" t="n"/>
      <c r="E36" s="64" t="n"/>
      <c r="F36" s="64" t="n"/>
      <c r="G36" s="64" t="n"/>
      <c r="H36" s="64" t="n"/>
    </row>
    <row r="37">
      <c r="A37" s="64" t="n"/>
      <c r="B37" s="64" t="n"/>
      <c r="C37" s="64" t="n"/>
      <c r="D37" s="64" t="n"/>
      <c r="E37" s="64" t="n"/>
      <c r="F37" s="64" t="n"/>
      <c r="G37" s="64" t="n"/>
      <c r="H37" s="64" t="n"/>
    </row>
    <row r="38">
      <c r="A38" s="64" t="n"/>
      <c r="B38" s="64" t="n"/>
      <c r="C38" s="64" t="n"/>
      <c r="D38" s="64" t="n"/>
      <c r="E38" s="64" t="n"/>
      <c r="F38" s="64" t="n"/>
      <c r="G38" s="64" t="n"/>
      <c r="H38" s="64" t="n"/>
    </row>
    <row r="39">
      <c r="A39" s="64" t="n"/>
      <c r="B39" s="64" t="n"/>
      <c r="C39" s="64" t="n"/>
      <c r="D39" s="64" t="n"/>
      <c r="E39" s="64" t="n"/>
      <c r="F39" s="64" t="n"/>
      <c r="G39" s="64" t="n"/>
      <c r="H39" s="64" t="n"/>
    </row>
    <row r="40">
      <c r="A40" s="64" t="n"/>
      <c r="B40" s="64" t="n"/>
      <c r="C40" s="64" t="n"/>
      <c r="D40" s="64" t="n"/>
      <c r="E40" s="64" t="n"/>
      <c r="F40" s="64" t="n"/>
      <c r="G40" s="64" t="n"/>
      <c r="H40" s="64" t="n"/>
    </row>
    <row r="41">
      <c r="A41" s="64" t="n"/>
      <c r="B41" s="64" t="n"/>
      <c r="C41" s="64" t="n"/>
      <c r="D41" s="64" t="n"/>
      <c r="E41" s="64" t="n"/>
      <c r="F41" s="64" t="n"/>
      <c r="G41" s="64" t="n"/>
      <c r="H41" s="64" t="n"/>
    </row>
    <row r="42">
      <c r="A42" s="64" t="n"/>
      <c r="B42" s="64" t="n"/>
      <c r="C42" s="64" t="n"/>
      <c r="D42" s="64" t="n"/>
      <c r="E42" s="64" t="n"/>
      <c r="F42" s="64" t="n"/>
      <c r="G42" s="64" t="n"/>
      <c r="H42" s="64" t="n"/>
    </row>
    <row r="43">
      <c r="A43" s="64" t="n"/>
      <c r="B43" s="64" t="n"/>
      <c r="C43" s="64" t="n"/>
      <c r="D43" s="64" t="n"/>
      <c r="E43" s="64" t="n"/>
      <c r="F43" s="64" t="n"/>
      <c r="G43" s="64" t="n"/>
      <c r="H43" s="64" t="n"/>
    </row>
    <row r="44">
      <c r="A44" s="64" t="n"/>
      <c r="B44" s="64" t="n"/>
      <c r="C44" s="64" t="n"/>
      <c r="D44" s="64" t="n"/>
      <c r="E44" s="64" t="n"/>
      <c r="F44" s="64" t="n"/>
      <c r="G44" s="64" t="n"/>
      <c r="H44" s="64" t="n"/>
    </row>
    <row r="45">
      <c r="A45" s="64" t="n"/>
      <c r="B45" s="64" t="n"/>
      <c r="C45" s="64" t="n"/>
      <c r="D45" s="64" t="n"/>
      <c r="E45" s="64" t="n"/>
      <c r="F45" s="64" t="n"/>
      <c r="G45" s="64" t="n"/>
      <c r="H45" s="64" t="n"/>
    </row>
    <row r="46">
      <c r="A46" s="64" t="n"/>
      <c r="B46" s="64" t="n"/>
      <c r="C46" s="64" t="n"/>
      <c r="D46" s="64" t="n"/>
      <c r="E46" s="64" t="n"/>
      <c r="F46" s="64" t="n"/>
      <c r="G46" s="64" t="n"/>
      <c r="H46" s="64" t="n"/>
    </row>
    <row r="47">
      <c r="A47" s="64" t="n"/>
      <c r="B47" s="64" t="n"/>
      <c r="C47" s="64" t="n"/>
      <c r="D47" s="64" t="n"/>
      <c r="E47" s="64" t="n"/>
      <c r="F47" s="64" t="n"/>
      <c r="G47" s="64" t="n"/>
      <c r="H47" s="64" t="n"/>
    </row>
    <row r="49">
      <c r="A49" s="62" t="inlineStr">
        <is>
          <t>■ 원본 가이드 안내·참고 사항 (원문 그대로)</t>
        </is>
      </c>
    </row>
    <row r="50">
      <c r="A50" s="33" t="inlineStr">
        <is>
          <t>번호</t>
        </is>
      </c>
      <c r="B50" s="33" t="inlineStr">
        <is>
          <t>원본 위치</t>
        </is>
      </c>
      <c r="C50" s="65" t="n"/>
      <c r="D50" s="33" t="inlineStr">
        <is>
          <t>세부 위치</t>
        </is>
      </c>
      <c r="E50" s="66" t="n"/>
      <c r="F50" s="66" t="n"/>
      <c r="G50" s="65" t="n"/>
      <c r="H50" s="33" t="inlineStr">
        <is>
          <t>내용</t>
        </is>
      </c>
      <c r="I50" s="33" t="inlineStr">
        <is>
          <t>자료 조회일</t>
        </is>
      </c>
    </row>
    <row r="51" ht="20" customHeight="1">
      <c r="A51" s="67" t="n">
        <v>1</v>
      </c>
      <c r="B51" s="68" t="inlineStr">
        <is>
          <t>개요</t>
        </is>
      </c>
      <c r="D51" s="68" t="n"/>
      <c r="H51" s="68" t="inlineStr">
        <is>
          <t>파프리카 재배 현장 방제 가이드</t>
        </is>
      </c>
      <c r="I51" s="69" t="n"/>
    </row>
    <row r="52" ht="20" customHeight="1">
      <c r="A52" s="67" t="n">
        <v>2</v>
      </c>
      <c r="B52" s="68" t="inlineStr">
        <is>
          <t>개요</t>
        </is>
      </c>
      <c r="D52" s="68" t="inlineStr">
        <is>
          <t>파프리카 재배 현장 방제 가이드</t>
        </is>
      </c>
      <c r="H52" s="68" t="inlineStr">
        <is>
          <t>연암대학교 스마트팜 유리온실</t>
        </is>
      </c>
      <c r="I52" s="69" t="n"/>
    </row>
    <row r="53" ht="20" customHeight="1">
      <c r="A53" s="67" t="n">
        <v>3</v>
      </c>
      <c r="B53" s="68" t="inlineStr">
        <is>
          <t>개요</t>
        </is>
      </c>
      <c r="D53" s="68" t="inlineStr">
        <is>
          <t>파프리카 재배 현장 방제 가이드</t>
        </is>
      </c>
      <c r="H53" s="68" t="inlineStr">
        <is>
          <t>선정 기준: ① 학교 보유 약제 ② 여러 병해충에 겸용 가능한 약제</t>
        </is>
      </c>
      <c r="I53" s="69" t="n"/>
    </row>
    <row r="54" ht="35" customHeight="1">
      <c r="A54" s="67" t="n">
        <v>4</v>
      </c>
      <c r="B54" s="68" t="inlineStr">
        <is>
          <t>개요</t>
        </is>
      </c>
      <c r="D54" s="68" t="inlineStr">
        <is>
          <t>파프리카 재배 현장 방제 가이드</t>
        </is>
      </c>
      <c r="H54" s="68" t="inlineStr">
        <is>
          <t>같은 작용기작(코드)을 연속 사용하면 저항성이 생기니, 2회 이상 살포 시 표의 2~4순위로 바꿔가며 로테이션</t>
        </is>
      </c>
      <c r="I54" s="69" t="n"/>
    </row>
    <row r="55" ht="35" customHeight="1">
      <c r="A55" s="67" t="n">
        <v>5</v>
      </c>
      <c r="B55" s="68" t="inlineStr">
        <is>
          <t>개요</t>
        </is>
      </c>
      <c r="D55" s="68" t="inlineStr">
        <is>
          <t>구매 약제 전체 목록 (추천표 중 학교 미보유분)</t>
        </is>
      </c>
      <c r="H55" s="68" t="inlineStr">
        <is>
          <t>총 14개 — 뒤쪽 병해충별 추천표에 나온 약제 중 현재 연암대 재고에 없는 것을 전부 모았습니다. 구매 시 참고하세요.</t>
        </is>
      </c>
      <c r="I55" s="69" t="n"/>
    </row>
    <row r="56" ht="20" customHeight="1">
      <c r="A56" s="67" t="n">
        <v>6</v>
      </c>
      <c r="B56" s="68" t="inlineStr">
        <is>
          <t>개요</t>
        </is>
      </c>
      <c r="D56" s="68" t="inlineStr">
        <is>
          <t>구매 약제 전체 목록 (추천표 중 학교 미보유분)</t>
        </is>
      </c>
      <c r="H56" s="68" t="inlineStr">
        <is>
          <t>유기농업자재 (친환경 공시자재)_보조 방제수단</t>
        </is>
      </c>
      <c r="I56" s="69" t="n"/>
    </row>
    <row r="57" ht="20" customHeight="1">
      <c r="A57" s="67" t="n">
        <v>7</v>
      </c>
      <c r="B57" s="68" t="inlineStr">
        <is>
          <t>PART 3. 유기농업자재</t>
        </is>
      </c>
      <c r="D57" s="68" t="n"/>
      <c r="H57" s="68" t="inlineStr">
        <is>
          <t>선정 기준</t>
        </is>
      </c>
      <c r="I57" s="69" t="n"/>
    </row>
    <row r="58" ht="35" customHeight="1">
      <c r="A58" s="67" t="n">
        <v>8</v>
      </c>
      <c r="B58" s="68" t="inlineStr">
        <is>
          <t>PART 3. 유기농업자재</t>
        </is>
      </c>
      <c r="D58" s="68" t="n"/>
      <c r="H58" s="68" t="inlineStr">
        <is>
          <t>① 이 가이드가 다루는 고추 병해충(꽃노랑총채벌레·온실가루이·복숭아혹진딧물)에 실제 방제시험 데이터가 있는 제품만</t>
        </is>
      </c>
      <c r="I58" s="69" t="n"/>
    </row>
    <row r="59" ht="35" customHeight="1">
      <c r="A59" s="67" t="n">
        <v>9</v>
      </c>
      <c r="B59" s="68" t="inlineStr">
        <is>
          <t>PART 3. 유기농업자재</t>
        </is>
      </c>
      <c r="D59" s="68" t="n"/>
      <c r="H59" s="68" t="inlineStr">
        <is>
          <t>② 국립농산물품질관리원 공시자재(naqs.go.kr)에 정식 등재된 것만 — 출처 불명확한 자료는 제외</t>
        </is>
      </c>
      <c r="I59" s="69" t="n"/>
    </row>
    <row r="60" ht="95" customHeight="1">
      <c r="A60" s="67" t="n">
        <v>10</v>
      </c>
      <c r="B60" s="68" t="inlineStr">
        <is>
          <t>PART 3. 유기농업자재</t>
        </is>
      </c>
      <c r="D60" s="68" t="n"/>
      <c r="H60" s="68" t="inlineStr">
        <is>
          <t>아래 2개 제품은 국립농산물품질관리원 유기농업자재 공시현황(naqs.go.kr)에 등재된 병해충관리용 공시자재입니다. 정식 등록 '농약'이 아니라 효능시험을 거쳐 공시된 친환경 자재이며, 본 가이드의 고추 재배 병해충(꽃노랑총채벌레·온실가루이·복숭아혹진딧물)과 직접 관련된 항목만 정리했습니다. 무농약·유기재배 인증 포장이나 수확 임박 시기, 로테이션 보조 수단으로 참고하시기 바랍니다.</t>
        </is>
      </c>
      <c r="I60" s="69" t="n"/>
    </row>
    <row r="61" ht="65" customHeight="1">
      <c r="A61" s="67" t="n">
        <v>11</v>
      </c>
      <c r="B61" s="68" t="inlineStr">
        <is>
          <t>PART 3. 유기농업자재</t>
        </is>
      </c>
      <c r="D61" s="68" t="n"/>
      <c r="H61" s="68" t="inlineStr">
        <is>
          <t>⚠ 화학농약이 아닌 유기농업자재입니다 — 등록 농약과 안전사용기준·법적 지위가 다릅니다. 표시구분 '농약효과'는 효능시험 결과일 뿐 '농약등록'과는 별개이며, 두 제품 모두 농약/비료 등록여부는 '없음'입니다.</t>
        </is>
      </c>
      <c r="I61" s="69" t="n"/>
    </row>
    <row r="62" ht="35" customHeight="1">
      <c r="A62" s="67" t="n">
        <v>12</v>
      </c>
      <c r="B62" s="68" t="inlineStr">
        <is>
          <t>PART 3. 유기농업자재</t>
        </is>
      </c>
      <c r="D62" s="68" t="inlineStr">
        <is>
          <t>한방싹충도사 (병해충관리용)</t>
        </is>
      </c>
      <c r="H62" s="68" t="inlineStr">
        <is>
          <t>고추 관련 사용법: 꽃노랑총채벌레, 발생초기, 1,000배 희석, 경엽처리 — 무처리구 대비 방제가 61.7%</t>
        </is>
      </c>
      <c r="I62" s="69" t="n"/>
    </row>
    <row r="63" ht="65" customHeight="1">
      <c r="A63" s="67" t="n">
        <v>13</v>
      </c>
      <c r="B63" s="68" t="inlineStr">
        <is>
          <t>PART 3. 유기농업자재</t>
        </is>
      </c>
      <c r="D63" s="68" t="inlineStr">
        <is>
          <t>한방싹충도사 (병해충관리용)</t>
        </is>
      </c>
      <c r="H63" s="68" t="inlineStr">
        <is>
          <t>그 외 방제효과: 딸기 점박이응애 67.5% · 배 조팝나무진딧물 77.4% · 양배추 배추흰나비 65.9% · 복숭아 복숭아순나방 60.0% · 포도 꽃매미 62.8% · 사과 갈색날개매미충 65.8% · 오이 온실가루이 60%이상 · 감귤 이세리아깍지벌레 60%이상</t>
        </is>
      </c>
      <c r="I63" s="69" t="n"/>
    </row>
    <row r="64" ht="35" customHeight="1">
      <c r="A64" s="67" t="n">
        <v>14</v>
      </c>
      <c r="B64" s="68" t="inlineStr">
        <is>
          <t>PART 3. 유기농업자재</t>
        </is>
      </c>
      <c r="D64" s="68" t="inlineStr">
        <is>
          <t>뉴응칠이 (병해충관리용)</t>
        </is>
      </c>
      <c r="H64" s="68" t="inlineStr">
        <is>
          <t>고추 관련 사용법: 복숭아혹진딧물, 생육기, 1,000배 희석, 경엽처리 — 무처리구 대비 방제가 50% 이상</t>
        </is>
      </c>
      <c r="I64" s="69" t="n"/>
    </row>
    <row r="65" ht="50" customHeight="1">
      <c r="A65" s="67" t="n">
        <v>15</v>
      </c>
      <c r="B65" s="68" t="inlineStr">
        <is>
          <t>PART 3. 유기농업자재</t>
        </is>
      </c>
      <c r="D65" s="68" t="inlineStr">
        <is>
          <t>뉴응칠이 (병해충관리용)</t>
        </is>
      </c>
      <c r="H65" s="68" t="inlineStr">
        <is>
          <t>그 외 방제효과(오이 시험): 꽃노랑총채벌레·아메리카잎굴파리·온실가루이·흰가루병 — 무처리구 대비 50% 이상 / 블루베리 미국선녀벌레 50% 이상</t>
        </is>
      </c>
      <c r="I65" s="69" t="n"/>
    </row>
    <row r="66" ht="35" customHeight="1">
      <c r="A66" s="67" t="n">
        <v>16</v>
      </c>
      <c r="B66" s="68" t="inlineStr">
        <is>
          <t>PART 3. 유기농업자재</t>
        </is>
      </c>
      <c r="D66" s="68" t="inlineStr">
        <is>
          <t>뉴응칠이 (병해충관리용)</t>
        </is>
      </c>
      <c r="H66" s="68" t="inlineStr">
        <is>
          <t>주의: 접촉성 제제(잎 뒷면까지 흠뻑 살포) · 강알칼리성 제제·석회보르도액·유황합제 혼용 금지 · 꿀벌 활동에 영향 가능</t>
        </is>
      </c>
      <c r="I66" s="69" t="n"/>
    </row>
    <row r="67" ht="35" customHeight="1">
      <c r="A67" s="67" t="n">
        <v>17</v>
      </c>
      <c r="B67" s="68" t="inlineStr">
        <is>
          <t>PART 3. 유기농업자재</t>
        </is>
      </c>
      <c r="D67" s="68" t="inlineStr">
        <is>
          <t>뉴응칠이 (병해충관리용)</t>
        </is>
      </c>
      <c r="H67" s="68" t="inlineStr">
        <is>
          <t>자료 출처: 국립농산물품질관리원 유기농업자재 공시현황(naqs.go.kr), 조회일 2026-09-18. 실제 사용 전 최신 공시정보 재확인 요망.</t>
        </is>
      </c>
      <c r="I67" s="69" t="n">
        <v>46283</v>
      </c>
    </row>
    <row r="68" ht="20" customHeight="1">
      <c r="A68" s="67" t="n">
        <v>18</v>
      </c>
      <c r="B68" s="68" t="inlineStr">
        <is>
          <t>PART 4. 혼용 가능 조합</t>
        </is>
      </c>
      <c r="D68" s="68" t="n"/>
      <c r="H68" s="68" t="inlineStr">
        <is>
          <t>선정 기준</t>
        </is>
      </c>
      <c r="I68" s="69" t="n"/>
    </row>
    <row r="69" ht="35" customHeight="1">
      <c r="A69" s="67" t="n">
        <v>19</v>
      </c>
      <c r="B69" s="68" t="inlineStr">
        <is>
          <t>PART 4. 혼용 가능 조합</t>
        </is>
      </c>
      <c r="D69" s="68" t="n"/>
      <c r="H69" s="68" t="inlineStr">
        <is>
          <t>① 가이드의 교내 보유 약제 살충제를 기준 축으로 삼음 — 학교가 실제로 쓸 확률이 가장 높은 제품이라서</t>
        </is>
      </c>
      <c r="I69" s="69" t="n"/>
    </row>
    <row r="70" ht="35" customHeight="1">
      <c r="A70" s="67" t="n">
        <v>20</v>
      </c>
      <c r="B70" s="68" t="inlineStr">
        <is>
          <t>PART 4. 혼용 가능 조합</t>
        </is>
      </c>
      <c r="D70" s="68" t="n"/>
      <c r="H70" s="68" t="inlineStr">
        <is>
          <t>② 제조사 1차 자료(공식 혼용정보 도구)에 “혼용가능(○)”로 명시된 조합만 — 추정이나 일반론은 배제</t>
        </is>
      </c>
      <c r="I70" s="69" t="n"/>
    </row>
    <row r="71" ht="35" customHeight="1">
      <c r="A71" s="67" t="n">
        <v>21</v>
      </c>
      <c r="B71" s="68" t="inlineStr">
        <is>
          <t>PART 4. 혼용 가능 조합</t>
        </is>
      </c>
      <c r="D71" s="68" t="n"/>
      <c r="H71" s="68" t="inlineStr">
        <is>
          <t>③ 궁합이 확인된 살균제가 이 가이드에 이미 나오는 제품일 때만 우선 표기 — 가이드 밖 제품과의 궁합은 실용성이 낮음</t>
        </is>
      </c>
      <c r="I71" s="69" t="n"/>
    </row>
    <row r="72" ht="35" customHeight="1">
      <c r="A72" s="67" t="n">
        <v>22</v>
      </c>
      <c r="B72" s="68" t="inlineStr">
        <is>
          <t>PART 4. 혼용 가능 조합</t>
        </is>
      </c>
      <c r="D72" s="68" t="n"/>
      <c r="H72" s="68" t="inlineStr">
        <is>
          <t>④ 못 찾은 건 억지로 채우지 않고 “미확인”으로 명시 (버픽스·무름반점뚝·강철비)</t>
        </is>
      </c>
      <c r="I72" s="69" t="n"/>
    </row>
    <row r="73" ht="65" customHeight="1">
      <c r="A73" s="67" t="n">
        <v>23</v>
      </c>
      <c r="B73" s="68" t="inlineStr">
        <is>
          <t>PART 4. 혼용 가능 조합</t>
        </is>
      </c>
      <c r="D73" s="68" t="n"/>
      <c r="H73" s="68" t="inlineStr">
        <is>
          <t>경농 혼용안내(knco.co.kr, 고추 기준)에서 학교 최우선 살충제 모스피란(아세타미프리드)을 조회한 결과, 아래 살균제와는 동시 살포(탱크믹스)가 가능하다고 나온다. 전부 이 가이드에 이미 나오는 제품들이다.</t>
        </is>
      </c>
      <c r="I73" s="69" t="n"/>
    </row>
    <row r="74" ht="80" customHeight="1">
      <c r="A74" s="67" t="n">
        <v>24</v>
      </c>
      <c r="B74" s="68" t="inlineStr">
        <is>
          <t>PART 4. 혼용 가능 조합</t>
        </is>
      </c>
      <c r="D74" s="68" t="inlineStr">
        <is>
          <t>확인된 조합</t>
        </is>
      </c>
      <c r="H74" s="68" t="inlineStr">
        <is>
          <t>위 5개는 모두 경농 제품이라 같은 회사 조회 결과 안에서 확인이 된 것이다. 스포르곤·코니도·타스타·강철비·쏘버린처럼 다른 회사(팜한농·바이엘·신젠타 등) 제품은 이 방식으로는 조회되지 않는다. 회사가 다르면 각 제조사 홈페이지 혼용정보나 고객센터로 직접 확인해야 하고, 확인 안 된 조합은 섞지 않는 게 원칙이다.</t>
        </is>
      </c>
      <c r="I74" s="69" t="n"/>
    </row>
    <row r="75" ht="50" customHeight="1">
      <c r="A75" s="67" t="n">
        <v>25</v>
      </c>
      <c r="B75" s="68" t="inlineStr">
        <is>
          <t>PART 4. 혼용 가능 조합</t>
        </is>
      </c>
      <c r="D75" s="68" t="inlineStr">
        <is>
          <t>확인된 조합</t>
        </is>
      </c>
      <c r="H75" s="68" t="inlineStr">
        <is>
          <t>제조사별 혼용정보 조회처: 경농 knco.co.kr/product/product_09 · 팜한농 farmhannong.com/kor/product/mix-info · 한국삼공 30agro.co.kr · 신젠타코리아 syngenta.co.kr</t>
        </is>
      </c>
      <c r="I75" s="69" t="n"/>
    </row>
    <row r="76" ht="20" customHeight="1">
      <c r="A76" s="67" t="n">
        <v>26</v>
      </c>
      <c r="B76" s="68" t="inlineStr">
        <is>
          <t>PART 4. 혼용 가능 조합</t>
        </is>
      </c>
      <c r="D76" s="68" t="inlineStr">
        <is>
          <t>확인된 조합</t>
        </is>
      </c>
      <c r="H76" s="68" t="inlineStr">
        <is>
          <t>조회일 2026-09-18</t>
        </is>
      </c>
      <c r="I76" s="69" t="n">
        <v>46283</v>
      </c>
    </row>
    <row r="77" ht="50" customHeight="1">
      <c r="A77" s="67" t="n">
        <v>27</v>
      </c>
      <c r="B77" s="68" t="inlineStr">
        <is>
          <t>PART 4. 혼용 가능 조합</t>
        </is>
      </c>
      <c r="D77" s="68" t="inlineStr">
        <is>
          <t>바이엘(코니도·타스타) 공식 혼용정보</t>
        </is>
      </c>
      <c r="H77" s="68" t="inlineStr">
        <is>
          <t>팜한농 혼용정보(farmhannong.com, 고추 기준) 조회 결과. 코니도는 살균제 벨쿠트와 짝이 맞고, 타스타는 고추에서 같이 쓸 살균제가 공식적으로 하나도 없다.</t>
        </is>
      </c>
      <c r="I77" s="69" t="n"/>
    </row>
    <row r="78" ht="80" customHeight="1">
      <c r="A78" s="67" t="n">
        <v>28</v>
      </c>
      <c r="B78" s="68" t="inlineStr">
        <is>
          <t>PART 4. 혼용 가능 조합</t>
        </is>
      </c>
      <c r="D78" s="68" t="inlineStr">
        <is>
          <t>바이엘(코니도·타스타) 공식 혼용정보</t>
        </is>
      </c>
      <c r="H78" s="68" t="inlineStr">
        <is>
          <t>스포르곤(팜한농)은 이 표에서 바이고·시반토·신기록-D 같은 다른 바이엘 살충제와는 짝이 맞지만, 가이드가 쓰는 모스피란·코니도·타스타 중 누구와도 짝으로 나오지 않는다. 쏘버린(팜한농, 카보설판)은 정식할 때 흙에 뿌리는 입제라 이 혼용정보표 자체에 없다 — 원래 스프레이통에 섞어 쓰는 제품이 아니다.</t>
        </is>
      </c>
      <c r="I78" s="69" t="n"/>
    </row>
    <row r="79" ht="50" customHeight="1">
      <c r="A79" s="67" t="n">
        <v>29</v>
      </c>
      <c r="B79" s="68" t="inlineStr">
        <is>
          <t>PART 4. 혼용 가능 조합</t>
        </is>
      </c>
      <c r="D79" s="68" t="inlineStr">
        <is>
          <t>바이엘(코니도·타스타) 공식 혼용정보</t>
        </is>
      </c>
      <c r="H79" s="68" t="inlineStr">
        <is>
          <t>버픽스(동방아그로), 무름반점뚝(대유), 강철비(인바이오)는 제조사는 확인했지만 온라인에 공개된 혼용정보 도구가 없어 짝을 못 찾았다. 이 세 개는 쓰기 전에 제조사 고객센터에 직접 물어봐야 한다.</t>
        </is>
      </c>
      <c r="I79" s="69" t="n"/>
    </row>
    <row r="80" ht="35" customHeight="1">
      <c r="A80" s="67" t="n">
        <v>30</v>
      </c>
      <c r="B80" s="68" t="inlineStr">
        <is>
          <t>PART 4. 혼용 가능 조합</t>
        </is>
      </c>
      <c r="D80" s="68" t="inlineStr">
        <is>
          <t>바이엘(코니도·타스타) 공식 혼용정보</t>
        </is>
      </c>
      <c r="H80" s="68" t="inlineStr">
        <is>
          <t>출처: farmhannong.com/kor/product/mix-info (바이엘 혼용기술정보 2025), 조회일 2026-09-18</t>
        </is>
      </c>
      <c r="I80" s="69" t="n">
        <v>46283</v>
      </c>
    </row>
    <row r="81" ht="50" customHeight="1">
      <c r="A81" s="67" t="n">
        <v>31</v>
      </c>
      <c r="B81" s="68" t="inlineStr">
        <is>
          <t>PART 4. 혼용 가능 조합</t>
        </is>
      </c>
      <c r="D81" s="68" t="inlineStr">
        <is>
          <t>나머지 3개(버픽스·무름반점뚝·강철비) 끝까지 확인한 결과</t>
        </is>
      </c>
      <c r="H81" s="68" t="inlineStr">
        <is>
          <t>제조사를 알아낸 뒤 각 회사 홈페이지의 혼용정보를 끝까지 뒤졌다. 결과는 아래와 같다 — 도구가 없어서 못 찾은 게 아니라, 도구는 있는데 그 안에 이 제품 자체가 없는 경우가 대부분이다.</t>
        </is>
      </c>
      <c r="I81" s="69" t="n"/>
    </row>
    <row r="82" ht="65" customHeight="1">
      <c r="A82" s="67" t="n">
        <v>32</v>
      </c>
      <c r="B82" s="68" t="inlineStr">
        <is>
          <t>PART 4. 혼용 가능 조합</t>
        </is>
      </c>
      <c r="D82" s="68" t="inlineStr">
        <is>
          <t>나머지 3개(버픽스·무름반점뚝·강철비) 끝까지 확인한 결과</t>
        </is>
      </c>
      <c r="H82" s="68" t="inlineStr">
        <is>
          <t>셋 다 온라인에 공개된 자료로는 답이 안 나온다는 뜻이다. 이 이상은 제조사 고객센터에 직접 전화해서 "이 제품, 저 살균제/살충제랑 섞어도 되나요"라고 물어보는 수밖에 없다 — 동방아그로 1644-7337 · 대유 · 인바이오 031-477-6011.</t>
        </is>
      </c>
      <c r="I82" s="69" t="n"/>
    </row>
    <row r="83" ht="50" customHeight="1">
      <c r="A83" s="67" t="n">
        <v>33</v>
      </c>
      <c r="B83" s="68" t="inlineStr">
        <is>
          <t>PART 4. 혼용 가능 조합</t>
        </is>
      </c>
      <c r="D83" s="68" t="inlineStr">
        <is>
          <t>나머지 3개(버픽스·무름반점뚝·강철비) 끝까지 확인한 결과</t>
        </is>
      </c>
      <c r="H83" s="68" t="inlineStr">
        <is>
          <t>확인 경로: dongbangagro.co.kr/product_combined.php · dae-yu.co.kr · enbio.co.kr(혼용정보 게시판, 살균제·살충제 혼용가부표 전체), 조회일 2026-09-18</t>
        </is>
      </c>
      <c r="I83" s="69" t="n">
        <v>46283</v>
      </c>
    </row>
  </sheetData>
  <mergeCells count="68">
    <mergeCell ref="D56:G56"/>
    <mergeCell ref="D71:G71"/>
    <mergeCell ref="B54:C54"/>
    <mergeCell ref="B62:C62"/>
    <mergeCell ref="B72:C72"/>
    <mergeCell ref="D58:G58"/>
    <mergeCell ref="B59:C59"/>
    <mergeCell ref="D83:G83"/>
    <mergeCell ref="B81:C81"/>
    <mergeCell ref="D74:G74"/>
    <mergeCell ref="D68:G68"/>
    <mergeCell ref="D64:G64"/>
    <mergeCell ref="B66:C66"/>
    <mergeCell ref="D82:G82"/>
    <mergeCell ref="D55:G55"/>
    <mergeCell ref="B56:C56"/>
    <mergeCell ref="D51:G51"/>
    <mergeCell ref="D67:G67"/>
    <mergeCell ref="B71:C71"/>
    <mergeCell ref="D73:G73"/>
    <mergeCell ref="B58:C58"/>
    <mergeCell ref="B77:C77"/>
    <mergeCell ref="D54:G54"/>
    <mergeCell ref="B52:C52"/>
    <mergeCell ref="B70:C70"/>
    <mergeCell ref="D79:G79"/>
    <mergeCell ref="D59:G59"/>
    <mergeCell ref="D50:G50"/>
    <mergeCell ref="D69:G69"/>
    <mergeCell ref="B67:C67"/>
    <mergeCell ref="D60:G60"/>
    <mergeCell ref="B61:C61"/>
    <mergeCell ref="B60:C60"/>
    <mergeCell ref="D63:G63"/>
    <mergeCell ref="B57:C57"/>
    <mergeCell ref="D81:G81"/>
    <mergeCell ref="B53:C53"/>
    <mergeCell ref="B82:C82"/>
    <mergeCell ref="B73:C73"/>
    <mergeCell ref="B69:C69"/>
    <mergeCell ref="D80:G80"/>
    <mergeCell ref="B78:C78"/>
    <mergeCell ref="D65:G65"/>
    <mergeCell ref="D77:G77"/>
    <mergeCell ref="D52:G52"/>
    <mergeCell ref="D57:G57"/>
    <mergeCell ref="B65:C65"/>
    <mergeCell ref="B83:C83"/>
    <mergeCell ref="D76:G76"/>
    <mergeCell ref="B74:C74"/>
    <mergeCell ref="B55:C55"/>
    <mergeCell ref="D70:G70"/>
    <mergeCell ref="B68:C68"/>
    <mergeCell ref="D61:G61"/>
    <mergeCell ref="B64:C64"/>
    <mergeCell ref="D75:G75"/>
    <mergeCell ref="D53:G53"/>
    <mergeCell ref="B51:C51"/>
    <mergeCell ref="D66:G66"/>
    <mergeCell ref="B76:C76"/>
    <mergeCell ref="B80:C80"/>
    <mergeCell ref="D72:G72"/>
    <mergeCell ref="D78:G78"/>
    <mergeCell ref="B50:C50"/>
    <mergeCell ref="B63:C63"/>
    <mergeCell ref="B79:C79"/>
    <mergeCell ref="B75:C75"/>
    <mergeCell ref="D62:G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파프리카 병해충 방제 가이드</dc:title>
  <dcterms:created xmlns:dcterms="http://purl.org/dc/terms/" xmlns:xsi="http://www.w3.org/2001/XMLSchema-instance" xsi:type="dcterms:W3CDTF">2026-09-30T04:44:52Z</dcterms:created>
  <dcterms:modified xmlns:dcterms="http://purl.org/dc/terms/" xmlns:xsi="http://www.w3.org/2001/XMLSchema-instance" xsi:type="dcterms:W3CDTF">2026-09-30T04:44:52Z</dcterms:modified>
</cp:coreProperties>
</file>