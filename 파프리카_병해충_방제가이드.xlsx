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병해충 방제 가이드" sheetId="1" state="visible" r:id="rId3"/>
    <sheet name="전체 방제 정보" sheetId="2" state="visible" r:id="rId4"/>
    <sheet name="살충제 등록정보" sheetId="3" state="visible" r:id="rId5"/>
    <sheet name="작용기작 코드 설명" sheetId="4" state="visible" r:id="rId6"/>
    <sheet name="참고 사항" sheetId="5" state="visible" r:id="rId7"/>
  </sheets>
  <definedNames>
    <definedName function="false" hidden="false" localSheetId="0" name="_xlnm.Print_Area" vbProcedure="false">'병해충 방제 가이드'!$A$1:$J$33</definedName>
    <definedName function="false" hidden="false" name="목록_방제구분" vbProcedure="false">'참고 사항'!$D$22:$D$51</definedName>
    <definedName function="false" hidden="false" name="목록_병해충구분" vbProcedure="false">'참고 사항'!$C$22:$C$51</definedName>
    <definedName function="false" hidden="false" name="목록_병해충조회용" vbProcedure="false">'참고 사항'!$A$22:$A$51</definedName>
    <definedName function="false" hidden="false" name="목록_살포방법" vbProcedure="false">'참고 사항'!$H$22:$H$51</definedName>
    <definedName function="false" hidden="false" name="목록_정보구분" vbProcedure="false">'참고 사항'!$B$22:$B$51</definedName>
    <definedName function="false" hidden="false" name="목록_제형" vbProcedure="false">'참고 사항'!$G$22:$G$51</definedName>
    <definedName function="false" hidden="false" name="목록_학교보유" vbProcedure="false">'참고 사항'!$E$22:$E$51</definedName>
    <definedName function="false" hidden="false" name="목록_혼용가능여부" vbProcedure="false">'참고 사항'!$F$22:$F$51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<sst xmlns="http://schemas.openxmlformats.org/spreadsheetml/2006/main" count="16562" uniqueCount="2527">
  <si>
    <t xml:space="preserve">🌶 파프리카 병해충 방제 가이드</t>
  </si>
  <si>
    <r>
      <rPr>
        <sz val="11"/>
        <color theme="1"/>
        <rFont val="WenQuanYi Zen Hei"/>
        <family val="2"/>
      </rPr>
      <t xml:space="preserve">계산용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수정 금지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</si>
  <si>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color rgb="FF7F7F7F"/>
        <rFont val="WenQuanYi Zen Hei"/>
        <family val="2"/>
      </rPr>
      <t xml:space="preserve">병해충을 선택하면 사용할 약제와 희석배수 </t>
    </r>
    <r>
      <rPr>
        <sz val="10"/>
        <color rgb="FF7F7F7F"/>
        <rFont val="맑은 고딕"/>
        <family val="0"/>
        <charset val="1"/>
      </rPr>
      <t xml:space="preserve">· </t>
    </r>
    <r>
      <rPr>
        <sz val="10"/>
        <color rgb="FF7F7F7F"/>
        <rFont val="WenQuanYi Zen Hei"/>
        <family val="2"/>
      </rPr>
      <t xml:space="preserve">살포 시기 </t>
    </r>
    <r>
      <rPr>
        <sz val="10"/>
        <color rgb="FF7F7F7F"/>
        <rFont val="맑은 고딕"/>
        <family val="0"/>
        <charset val="1"/>
      </rPr>
      <t xml:space="preserve">· </t>
    </r>
    <r>
      <rPr>
        <sz val="10"/>
        <color rgb="FF7F7F7F"/>
        <rFont val="WenQuanYi Zen Hei"/>
        <family val="2"/>
      </rPr>
      <t xml:space="preserve">살포 방법 </t>
    </r>
    <r>
      <rPr>
        <sz val="10"/>
        <color rgb="FF7F7F7F"/>
        <rFont val="맑은 고딕"/>
        <family val="0"/>
        <charset val="1"/>
      </rPr>
      <t xml:space="preserve">· </t>
    </r>
    <r>
      <rPr>
        <sz val="10"/>
        <color rgb="FF7F7F7F"/>
        <rFont val="WenQuanYi Zen Hei"/>
        <family val="2"/>
      </rPr>
      <t xml:space="preserve">주의사항이 아래에 바로 표시됩니다</t>
    </r>
    <r>
      <rPr>
        <sz val="10"/>
        <color rgb="FF7F7F7F"/>
        <rFont val="맑은 고딕"/>
        <family val="0"/>
        <charset val="1"/>
      </rPr>
      <t xml:space="preserve">.   (</t>
    </r>
    <r>
      <rPr>
        <sz val="10"/>
        <color rgb="FF7F7F7F"/>
        <rFont val="WenQuanYi Zen Hei"/>
        <family val="2"/>
      </rPr>
      <t xml:space="preserve">연암대학교 스마트팜 유리온실 방제 가이드 </t>
    </r>
    <r>
      <rPr>
        <sz val="10"/>
        <color rgb="FF7F7F7F"/>
        <rFont val="맑은 고딕"/>
        <family val="0"/>
        <charset val="1"/>
      </rPr>
      <t xml:space="preserve">+ </t>
    </r>
    <r>
      <rPr>
        <sz val="10"/>
        <color rgb="FF7F7F7F"/>
        <rFont val="WenQuanYi Zen Hei"/>
        <family val="2"/>
      </rPr>
      <t xml:space="preserve">참고자료 살충제 등록정보 기준</t>
    </r>
    <r>
      <rPr>
        <sz val="10"/>
        <color rgb="FF7F7F7F"/>
        <rFont val="맑은 고딕"/>
        <family val="0"/>
        <charset val="1"/>
      </rPr>
      <t xml:space="preserve">)</t>
    </r>
  </si>
  <si>
    <t xml:space="preserve">🔎 병해충 검색</t>
  </si>
  <si>
    <r>
      <rPr>
        <b val="true"/>
        <sz val="18"/>
        <color rgb="FF1F3864"/>
        <rFont val="WenQuanYi Zen Hei"/>
        <family val="2"/>
      </rPr>
      <t xml:space="preserve">진딧물</t>
    </r>
    <r>
      <rPr>
        <b val="true"/>
        <sz val="18"/>
        <color rgb="FF1F3864"/>
        <rFont val="맑은 고딕"/>
        <family val="0"/>
        <charset val="1"/>
      </rPr>
      <t xml:space="preserve">(</t>
    </r>
    <r>
      <rPr>
        <b val="true"/>
        <sz val="18"/>
        <color rgb="FF1F3864"/>
        <rFont val="WenQuanYi Zen Hei"/>
        <family val="2"/>
      </rPr>
      <t xml:space="preserve">목화진딧물</t>
    </r>
    <r>
      <rPr>
        <b val="true"/>
        <sz val="18"/>
        <color rgb="FF1F3864"/>
        <rFont val="맑은 고딕"/>
        <family val="0"/>
        <charset val="1"/>
      </rPr>
      <t xml:space="preserve">, </t>
    </r>
    <r>
      <rPr>
        <b val="true"/>
        <sz val="18"/>
        <color rgb="FF1F3864"/>
        <rFont val="WenQuanYi Zen Hei"/>
        <family val="2"/>
      </rPr>
      <t xml:space="preserve">복숭아혹진딧물</t>
    </r>
    <r>
      <rPr>
        <b val="true"/>
        <sz val="18"/>
        <color rgb="FF1F3864"/>
        <rFont val="맑은 고딕"/>
        <family val="0"/>
        <charset val="1"/>
      </rPr>
      <t xml:space="preserve">)</t>
    </r>
  </si>
  <si>
    <r>
      <rPr>
        <sz val="9"/>
        <color rgb="FF7F7F7F"/>
        <rFont val="WenQuanYi Zen Hei"/>
        <family val="2"/>
      </rPr>
      <t xml:space="preserve">◀ 노란 칸 클릭 → 오른쪽 ▼ 에서 병해충 선택
    </t>
    </r>
    <r>
      <rPr>
        <sz val="9"/>
        <color rgb="FF7F7F7F"/>
        <rFont val="맑은 고딕"/>
        <family val="0"/>
        <charset val="1"/>
      </rPr>
      <t xml:space="preserve">(Microsoft 365</t>
    </r>
    <r>
      <rPr>
        <sz val="9"/>
        <color rgb="FF7F7F7F"/>
        <rFont val="WenQuanYi Zen Hei"/>
        <family val="2"/>
      </rPr>
      <t xml:space="preserve">는 이름 일부를 입력하면 목록이 좁혀집니다</t>
    </r>
    <r>
      <rPr>
        <sz val="9"/>
        <color rgb="FF7F7F7F"/>
        <rFont val="맑은 고딕"/>
        <family val="0"/>
        <charset val="1"/>
      </rPr>
      <t xml:space="preserve">)</t>
    </r>
  </si>
  <si>
    <r>
      <rPr>
        <b val="true"/>
        <sz val="10"/>
        <color rgb="FF843C0C"/>
        <rFont val="WenQuanYi Zen Hei"/>
        <family val="2"/>
      </rPr>
      <t xml:space="preserve">⚠️ 공통 주의</t>
    </r>
    <r>
      <rPr>
        <b val="true"/>
        <sz val="10"/>
        <color rgb="FF843C0C"/>
        <rFont val="맑은 고딕"/>
        <family val="0"/>
        <charset val="1"/>
      </rPr>
      <t xml:space="preserve">:  </t>
    </r>
    <r>
      <rPr>
        <b val="true"/>
        <sz val="10"/>
        <color rgb="FF843C0C"/>
        <rFont val="WenQuanYi Zen Hei"/>
        <family val="2"/>
      </rPr>
      <t xml:space="preserve">같은 작용기작</t>
    </r>
    <r>
      <rPr>
        <b val="true"/>
        <sz val="10"/>
        <color rgb="FF843C0C"/>
        <rFont val="맑은 고딕"/>
        <family val="0"/>
        <charset val="1"/>
      </rPr>
      <t xml:space="preserve">(</t>
    </r>
    <r>
      <rPr>
        <b val="true"/>
        <sz val="10"/>
        <color rgb="FF843C0C"/>
        <rFont val="WenQuanYi Zen Hei"/>
        <family val="2"/>
      </rPr>
      <t xml:space="preserve">코드</t>
    </r>
    <r>
      <rPr>
        <b val="true"/>
        <sz val="10"/>
        <color rgb="FF843C0C"/>
        <rFont val="맑은 고딕"/>
        <family val="0"/>
        <charset val="1"/>
      </rPr>
      <t xml:space="preserve">)</t>
    </r>
    <r>
      <rPr>
        <b val="true"/>
        <sz val="10"/>
        <color rgb="FF843C0C"/>
        <rFont val="WenQuanYi Zen Hei"/>
        <family val="2"/>
      </rPr>
      <t xml:space="preserve">을 연속 사용하면 저항성이 생기니</t>
    </r>
    <r>
      <rPr>
        <b val="true"/>
        <sz val="10"/>
        <color rgb="FF843C0C"/>
        <rFont val="맑은 고딕"/>
        <family val="0"/>
        <charset val="1"/>
      </rPr>
      <t xml:space="preserve">, 2</t>
    </r>
    <r>
      <rPr>
        <b val="true"/>
        <sz val="10"/>
        <color rgb="FF843C0C"/>
        <rFont val="WenQuanYi Zen Hei"/>
        <family val="2"/>
      </rPr>
      <t xml:space="preserve">회 이상 살포 시 </t>
    </r>
    <r>
      <rPr>
        <b val="true"/>
        <sz val="10"/>
        <color rgb="FF843C0C"/>
        <rFont val="맑은 고딕"/>
        <family val="0"/>
        <charset val="1"/>
      </rPr>
      <t xml:space="preserve">2~4</t>
    </r>
    <r>
      <rPr>
        <b val="true"/>
        <sz val="10"/>
        <color rgb="FF843C0C"/>
        <rFont val="WenQuanYi Zen Hei"/>
        <family val="2"/>
      </rPr>
      <t xml:space="preserve">순위로 바꿔가며 로테이션  </t>
    </r>
    <r>
      <rPr>
        <b val="true"/>
        <sz val="10"/>
        <color rgb="FF843C0C"/>
        <rFont val="맑은 고딕"/>
        <family val="0"/>
        <charset val="1"/>
      </rPr>
      <t xml:space="preserve">·  </t>
    </r>
    <r>
      <rPr>
        <b val="true"/>
        <sz val="10"/>
        <color rgb="FF843C0C"/>
        <rFont val="WenQuanYi Zen Hei"/>
        <family val="2"/>
      </rPr>
      <t xml:space="preserve">확인 안 된 약제 조합은 섞지 않는 것이 원칙</t>
    </r>
  </si>
  <si>
    <r>
      <rPr>
        <sz val="9"/>
        <color rgb="FF7F7F7F"/>
        <rFont val="WenQuanYi Zen Hei"/>
        <family val="2"/>
      </rPr>
      <t xml:space="preserve">※ 위 정보는 </t>
    </r>
    <r>
      <rPr>
        <sz val="9"/>
        <color rgb="FF7F7F7F"/>
        <rFont val="맑은 고딕"/>
        <family val="0"/>
        <charset val="1"/>
      </rPr>
      <t xml:space="preserve">[</t>
    </r>
    <r>
      <rPr>
        <sz val="9"/>
        <color rgb="FF7F7F7F"/>
        <rFont val="WenQuanYi Zen Hei"/>
        <family val="2"/>
      </rPr>
      <t xml:space="preserve">전체 방제 정보</t>
    </r>
    <r>
      <rPr>
        <sz val="9"/>
        <color rgb="FF7F7F7F"/>
        <rFont val="맑은 고딕"/>
        <family val="0"/>
        <charset val="1"/>
      </rPr>
      <t xml:space="preserve">] </t>
    </r>
    <r>
      <rPr>
        <sz val="9"/>
        <color rgb="FF7F7F7F"/>
        <rFont val="WenQuanYi Zen Hei"/>
        <family val="2"/>
      </rPr>
      <t xml:space="preserve">시트에서 자동으로 불러옵니다</t>
    </r>
    <r>
      <rPr>
        <sz val="9"/>
        <color rgb="FF7F7F7F"/>
        <rFont val="맑은 고딕"/>
        <family val="0"/>
        <charset val="1"/>
      </rPr>
      <t xml:space="preserve">.  "</t>
    </r>
    <r>
      <rPr>
        <sz val="9"/>
        <color rgb="FF7F7F7F"/>
        <rFont val="WenQuanYi Zen Hei"/>
        <family val="2"/>
      </rPr>
      <t xml:space="preserve">미기재</t>
    </r>
    <r>
      <rPr>
        <sz val="9"/>
        <color rgb="FF7F7F7F"/>
        <rFont val="맑은 고딕"/>
        <family val="0"/>
        <charset val="1"/>
      </rPr>
      <t xml:space="preserve">" = </t>
    </r>
    <r>
      <rPr>
        <sz val="9"/>
        <color rgb="FF7F7F7F"/>
        <rFont val="WenQuanYi Zen Hei"/>
        <family val="2"/>
      </rPr>
      <t xml:space="preserve">원본</t>
    </r>
    <r>
      <rPr>
        <sz val="9"/>
        <color rgb="FF7F7F7F"/>
        <rFont val="맑은 고딕"/>
        <family val="0"/>
        <charset val="1"/>
      </rPr>
      <t xml:space="preserve">·</t>
    </r>
    <r>
      <rPr>
        <sz val="9"/>
        <color rgb="FF7F7F7F"/>
        <rFont val="WenQuanYi Zen Hei"/>
        <family val="2"/>
      </rPr>
      <t xml:space="preserve">참고자료에 해당 정보가 없음</t>
    </r>
    <r>
      <rPr>
        <sz val="9"/>
        <color rgb="FF7F7F7F"/>
        <rFont val="맑은 고딕"/>
        <family val="0"/>
        <charset val="1"/>
      </rPr>
      <t xml:space="preserve">.  1~4</t>
    </r>
    <r>
      <rPr>
        <sz val="9"/>
        <color rgb="FF7F7F7F"/>
        <rFont val="WenQuanYi Zen Hei"/>
        <family val="2"/>
      </rPr>
      <t xml:space="preserve">순위 </t>
    </r>
    <r>
      <rPr>
        <sz val="9"/>
        <color rgb="FF7F7F7F"/>
        <rFont val="맑은 고딕"/>
        <family val="0"/>
        <charset val="1"/>
      </rPr>
      <t xml:space="preserve">= </t>
    </r>
    <r>
      <rPr>
        <sz val="9"/>
        <color rgb="FF7F7F7F"/>
        <rFont val="WenQuanYi Zen Hei"/>
        <family val="2"/>
      </rPr>
      <t xml:space="preserve">원본 가이드의 로테이션 순위</t>
    </r>
    <r>
      <rPr>
        <sz val="9"/>
        <color rgb="FF7F7F7F"/>
        <rFont val="맑은 고딕"/>
        <family val="0"/>
        <charset val="1"/>
      </rPr>
      <t xml:space="preserve">,  🌿 </t>
    </r>
    <r>
      <rPr>
        <sz val="9"/>
        <color rgb="FF7F7F7F"/>
        <rFont val="WenQuanYi Zen Hei"/>
        <family val="2"/>
      </rPr>
      <t xml:space="preserve">보조 </t>
    </r>
    <r>
      <rPr>
        <sz val="9"/>
        <color rgb="FF7F7F7F"/>
        <rFont val="맑은 고딕"/>
        <family val="0"/>
        <charset val="1"/>
      </rPr>
      <t xml:space="preserve">= </t>
    </r>
    <r>
      <rPr>
        <sz val="9"/>
        <color rgb="FF7F7F7F"/>
        <rFont val="WenQuanYi Zen Hei"/>
        <family val="2"/>
      </rPr>
      <t xml:space="preserve">유기농업자재</t>
    </r>
    <r>
      <rPr>
        <sz val="9"/>
        <color rgb="FF7F7F7F"/>
        <rFont val="맑은 고딕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친환경 공시자재</t>
    </r>
    <r>
      <rPr>
        <sz val="9"/>
        <color rgb="FF7F7F7F"/>
        <rFont val="맑은 고딕"/>
        <family val="0"/>
        <charset val="1"/>
      </rPr>
      <t xml:space="preserve">).  </t>
    </r>
    <r>
      <rPr>
        <sz val="9"/>
        <color rgb="FF7F7F7F"/>
        <rFont val="WenQuanYi Zen Hei"/>
        <family val="2"/>
      </rPr>
      <t xml:space="preserve">주의사항의 </t>
    </r>
    <r>
      <rPr>
        <sz val="9"/>
        <color rgb="FF7F7F7F"/>
        <rFont val="맑은 고딕"/>
        <family val="0"/>
        <charset val="1"/>
      </rPr>
      <t xml:space="preserve">"</t>
    </r>
    <r>
      <rPr>
        <sz val="9"/>
        <color rgb="FF7F7F7F"/>
        <rFont val="WenQuanYi Zen Hei"/>
        <family val="2"/>
      </rPr>
      <t xml:space="preserve">참고자료 등록정보와 상이</t>
    </r>
    <r>
      <rPr>
        <sz val="9"/>
        <color rgb="FF7F7F7F"/>
        <rFont val="맑은 고딕"/>
        <family val="0"/>
        <charset val="1"/>
      </rPr>
      <t xml:space="preserve">"</t>
    </r>
    <r>
      <rPr>
        <sz val="9"/>
        <color rgb="FF7F7F7F"/>
        <rFont val="WenQuanYi Zen Hei"/>
        <family val="2"/>
      </rPr>
      <t xml:space="preserve">는 가이드 값과 등록정보 값이 달라 사용 전 확인이 필요하다는 뜻입니다</t>
    </r>
    <r>
      <rPr>
        <sz val="9"/>
        <color rgb="FF7F7F7F"/>
        <rFont val="맑은 고딕"/>
        <family val="0"/>
        <charset val="1"/>
      </rPr>
      <t xml:space="preserve">.</t>
    </r>
  </si>
  <si>
    <t xml:space="preserve">번호</t>
  </si>
  <si>
    <t xml:space="preserve">정보 구분</t>
  </si>
  <si>
    <t xml:space="preserve">작물명</t>
  </si>
  <si>
    <t xml:space="preserve">병해충 구분</t>
  </si>
  <si>
    <t xml:space="preserve">병해충명</t>
  </si>
  <si>
    <t xml:space="preserve">순위</t>
  </si>
  <si>
    <t xml:space="preserve">약제명</t>
  </si>
  <si>
    <t xml:space="preserve">제형</t>
  </si>
  <si>
    <t xml:space="preserve">학교 보유</t>
  </si>
  <si>
    <t xml:space="preserve">방제 구분</t>
  </si>
  <si>
    <t xml:space="preserve">희석배수</t>
  </si>
  <si>
    <t xml:space="preserve">사용량</t>
  </si>
  <si>
    <t xml:space="preserve">살포 방법</t>
  </si>
  <si>
    <t xml:space="preserve">살포 시기</t>
  </si>
  <si>
    <r>
      <rPr>
        <b val="true"/>
        <sz val="10"/>
        <color rgb="FFFFFFFF"/>
        <rFont val="WenQuanYi Zen Hei"/>
        <family val="2"/>
      </rPr>
      <t xml:space="preserve">사용 제한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수확 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</si>
  <si>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살포 횟수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</si>
  <si>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살포 간격</t>
  </si>
  <si>
    <t xml:space="preserve">주의사항</t>
  </si>
  <si>
    <t xml:space="preserve">혼용 정보</t>
  </si>
  <si>
    <t xml:space="preserve">인축독성</t>
  </si>
  <si>
    <t xml:space="preserve">어독성</t>
  </si>
  <si>
    <t xml:space="preserve">유효성분</t>
  </si>
  <si>
    <t xml:space="preserve">작용기작</t>
  </si>
  <si>
    <t xml:space="preserve">작용기작 설명</t>
  </si>
  <si>
    <r>
      <rPr>
        <b val="true"/>
        <sz val="10"/>
        <color rgb="FFFFFFFF"/>
        <rFont val="WenQuanYi Zen Hei"/>
        <family val="2"/>
      </rPr>
      <t xml:space="preserve">겸용 대상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전체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</si>
  <si>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혼용 상대 약제</t>
  </si>
  <si>
    <t xml:space="preserve">혼용 가능 여부</t>
  </si>
  <si>
    <r>
      <rPr>
        <b val="true"/>
        <sz val="10"/>
        <color rgb="FFFFFFFF"/>
        <rFont val="WenQuanYi Zen Hei"/>
        <family val="2"/>
      </rPr>
      <t xml:space="preserve">방제가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효과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</si>
  <si>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제조사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공시사업자</t>
    </r>
  </si>
  <si>
    <t xml:space="preserve">등록 작물</t>
  </si>
  <si>
    <t xml:space="preserve">등록번호</t>
  </si>
  <si>
    <t xml:space="preserve">등록 건수</t>
  </si>
  <si>
    <t xml:space="preserve">연락처</t>
  </si>
  <si>
    <t xml:space="preserve">관련 정보</t>
  </si>
  <si>
    <t xml:space="preserve">비고</t>
  </si>
  <si>
    <t xml:space="preserve">공시번호</t>
  </si>
  <si>
    <t xml:space="preserve">자재구분</t>
  </si>
  <si>
    <t xml:space="preserve">자재명</t>
  </si>
  <si>
    <r>
      <rPr>
        <b val="true"/>
        <sz val="10"/>
        <color rgb="FFFFFFFF"/>
        <rFont val="WenQuanYi Zen Hei"/>
        <family val="2"/>
      </rPr>
      <t xml:space="preserve">가격</t>
    </r>
    <r>
      <rPr>
        <b val="true"/>
        <sz val="10"/>
        <color rgb="FFFFFFFF"/>
        <rFont val="맑은 고딕"/>
        <family val="0"/>
        <charset val="1"/>
      </rPr>
      <t xml:space="preserve">(500mL)</t>
    </r>
  </si>
  <si>
    <t xml:space="preserve">등재일자</t>
  </si>
  <si>
    <t xml:space="preserve">공시 시작일</t>
  </si>
  <si>
    <t xml:space="preserve">공시 종료일</t>
  </si>
  <si>
    <t xml:space="preserve">사업자등록번호</t>
  </si>
  <si>
    <t xml:space="preserve">책임보험 가입여부</t>
  </si>
  <si>
    <r>
      <rPr>
        <b val="true"/>
        <sz val="10"/>
        <color rgb="FFFFFFFF"/>
        <rFont val="WenQuanYi Zen Hei"/>
        <family val="2"/>
      </rPr>
      <t xml:space="preserve">사업장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제조장</t>
    </r>
  </si>
  <si>
    <r>
      <rPr>
        <b val="true"/>
        <sz val="10"/>
        <color rgb="FFFFFFFF"/>
        <rFont val="WenQuanYi Zen Hei"/>
        <family val="2"/>
      </rPr>
      <t xml:space="preserve">농약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비료 등록여부</t>
    </r>
  </si>
  <si>
    <r>
      <rPr>
        <b val="true"/>
        <sz val="10"/>
        <color rgb="FFFFFFFF"/>
        <rFont val="WenQuanYi Zen Hei"/>
        <family val="2"/>
      </rPr>
      <t xml:space="preserve">약제명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</si>
  <si>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안전사용기준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</si>
  <si>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원본 위치</t>
  </si>
  <si>
    <t xml:space="preserve">출처</t>
  </si>
  <si>
    <t xml:space="preserve">자료 조회일</t>
  </si>
  <si>
    <r>
      <rPr>
        <sz val="10"/>
        <rFont val="WenQuanYi Zen Hei"/>
        <family val="2"/>
      </rPr>
      <t xml:space="preserve">추천 약제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로테이션</t>
    </r>
    <r>
      <rPr>
        <sz val="10"/>
        <rFont val="맑은 고딕"/>
        <family val="0"/>
        <charset val="1"/>
      </rPr>
      <t xml:space="preserve">)</t>
    </r>
  </si>
  <si>
    <t xml:space="preserve">파프리카</t>
  </si>
  <si>
    <t xml:space="preserve">병해</t>
  </si>
  <si>
    <t xml:space="preserve">갈색무늬병</t>
  </si>
  <si>
    <t xml:space="preserve">탄쟈비상</t>
  </si>
  <si>
    <t xml:space="preserve">액상수화제</t>
  </si>
  <si>
    <t xml:space="preserve">미보유</t>
  </si>
  <si>
    <t xml:space="preserve">등록 농약</t>
  </si>
  <si>
    <t xml:space="preserve">경엽처리</t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</si>
  <si>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일전</t>
    </r>
  </si>
  <si>
    <r>
      <rPr>
        <sz val="10"/>
        <rFont val="WenQuanYi Zen Hei"/>
        <family val="2"/>
      </rPr>
      <t xml:space="preserve">등록된 약제가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개뿐이라 대체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로테이션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용은 없습니다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</si>
  <si>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모스피란과 혼용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경농 조회</t>
    </r>
    <r>
      <rPr>
        <sz val="10"/>
        <rFont val="맑은 고딕"/>
        <family val="0"/>
        <charset val="1"/>
      </rPr>
      <t xml:space="preserve">)</t>
    </r>
  </si>
  <si>
    <t xml:space="preserve">Trifloxystrobin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</si>
  <si>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</si>
  <si>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갈색무늬병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갈색점무늬병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</si>
  <si>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탄쟈비상 </t>
    </r>
    <r>
      <rPr>
        <sz val="10"/>
        <rFont val="맑은 고딕"/>
        <family val="0"/>
        <charset val="1"/>
      </rPr>
      <t xml:space="preserve">(Trifloxystrobin) [</t>
    </r>
    <r>
      <rPr>
        <sz val="10"/>
        <rFont val="WenQuanYi Zen Hei"/>
        <family val="2"/>
      </rPr>
      <t xml:space="preserve">학교 미보유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구매 필요</t>
    </r>
    <r>
      <rPr>
        <sz val="10"/>
        <rFont val="맑은 고딕"/>
        <family val="0"/>
        <charset val="1"/>
      </rPr>
      <t xml:space="preserve">] 2000</t>
    </r>
    <r>
      <rPr>
        <sz val="10"/>
        <rFont val="WenQuanYi Zen Hei"/>
        <family val="2"/>
      </rPr>
      <t xml:space="preserve">배 희석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경엽처리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</si>
  <si>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탄쟈비상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</si>
  <si>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일전</t>
    </r>
    <r>
      <rPr>
        <sz val="10"/>
        <rFont val="맑은 고딕"/>
        <family val="0"/>
        <charset val="1"/>
      </rPr>
      <t xml:space="preserve">/3</t>
    </r>
    <r>
      <rPr>
        <sz val="10"/>
        <rFont val="WenQuanYi Zen Hei"/>
        <family val="2"/>
      </rPr>
      <t xml:space="preserve">회</t>
    </r>
  </si>
  <si>
    <r>
      <rPr>
        <sz val="10"/>
        <rFont val="맑은 고딕"/>
        <family val="0"/>
        <charset val="1"/>
      </rPr>
      <t xml:space="preserve">PART 1. </t>
    </r>
    <r>
      <rPr>
        <sz val="10"/>
        <rFont val="WenQuanYi Zen Hei"/>
        <family val="2"/>
      </rPr>
      <t xml:space="preserve">병해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갈색무늬병 로테이션표</t>
    </r>
  </si>
  <si>
    <t xml:space="preserve">갈색점무늬병</t>
  </si>
  <si>
    <t xml:space="preserve">버픽스</t>
  </si>
  <si>
    <t xml:space="preserve">보유</t>
  </si>
  <si>
    <r>
      <rPr>
        <sz val="10"/>
        <rFont val="WenQuanYi Zen Hei"/>
        <family val="2"/>
      </rPr>
      <t xml:space="preserve">혼용정보 미확인 — 사용 전 제조사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동방아그로 </t>
    </r>
    <r>
      <rPr>
        <sz val="10"/>
        <rFont val="맑은 고딕"/>
        <family val="0"/>
        <charset val="1"/>
      </rPr>
      <t xml:space="preserve">1644-7337) </t>
    </r>
    <r>
      <rPr>
        <sz val="10"/>
        <rFont val="WenQuanYi Zen Hei"/>
        <family val="2"/>
      </rPr>
      <t xml:space="preserve">확인</t>
    </r>
  </si>
  <si>
    <t xml:space="preserve">Florylpicoxamid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</si>
  <si>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4</t>
    </r>
  </si>
  <si>
    <r>
      <rPr>
        <sz val="10"/>
        <rFont val="WenQuanYi Zen Hei"/>
        <family val="2"/>
      </rPr>
      <t xml:space="preserve">갈색점무늬병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잿빛곰팡이병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</si>
  <si>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버픽스 </t>
    </r>
    <r>
      <rPr>
        <sz val="10"/>
        <rFont val="맑은 고딕"/>
        <family val="0"/>
        <charset val="1"/>
      </rPr>
      <t xml:space="preserve">(Florylpicoxamid) [</t>
    </r>
    <r>
      <rPr>
        <sz val="10"/>
        <rFont val="WenQuanYi Zen Hei"/>
        <family val="2"/>
      </rPr>
      <t xml:space="preserve">학교 보유 중</t>
    </r>
    <r>
      <rPr>
        <sz val="10"/>
        <rFont val="맑은 고딕"/>
        <family val="0"/>
        <charset val="1"/>
      </rPr>
      <t xml:space="preserve">] 2000</t>
    </r>
    <r>
      <rPr>
        <sz val="10"/>
        <rFont val="WenQuanYi Zen Hei"/>
        <family val="2"/>
      </rPr>
      <t xml:space="preserve">배 희석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경엽처리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</si>
  <si>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버픽스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</si>
  <si>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</si>
  <si>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r>
      <rPr>
        <sz val="10"/>
        <rFont val="맑은 고딕"/>
        <family val="0"/>
        <charset val="1"/>
      </rPr>
      <t xml:space="preserve">PART 1. </t>
    </r>
    <r>
      <rPr>
        <sz val="10"/>
        <rFont val="WenQuanYi Zen Hei"/>
        <family val="2"/>
      </rPr>
      <t xml:space="preserve">병해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갈색점무늬병 로테이션표</t>
    </r>
  </si>
  <si>
    <t xml:space="preserve">벨리스플러스</t>
  </si>
  <si>
    <t xml:space="preserve">입상수화제</t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</si>
  <si>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</t>
    </r>
  </si>
  <si>
    <t xml:space="preserve">Boscalid+Pyraclostrobin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</si>
  <si>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3,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2</t>
    </r>
  </si>
  <si>
    <r>
      <rPr>
        <sz val="10"/>
        <rFont val="WenQuanYi Zen Hei"/>
        <family val="2"/>
      </rPr>
      <t xml:space="preserve">갈색점무늬병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</si>
  <si>
    <r>
      <rPr>
        <sz val="10"/>
        <rFont val="WenQuanYi Zen Hei"/>
        <family val="2"/>
      </rPr>
      <t xml:space="preserve">벨리스플러스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입상수화제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</si>
  <si>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회</t>
    </r>
  </si>
  <si>
    <t xml:space="preserve">오조아</t>
  </si>
  <si>
    <t xml:space="preserve">수화제</t>
  </si>
  <si>
    <t xml:space="preserve">Fluazinam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</si>
  <si>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5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</si>
  <si>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살균 병용성분</t>
    </r>
    <r>
      <rPr>
        <sz val="10"/>
        <rFont val="맑은 고딕"/>
        <family val="0"/>
        <charset val="1"/>
      </rPr>
      <t xml:space="preserve">/IRAC </t>
    </r>
    <r>
      <rPr>
        <sz val="10"/>
        <rFont val="WenQuanYi Zen Hei"/>
        <family val="2"/>
      </rPr>
      <t xml:space="preserve">비대상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디니트로아닐린계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플루아지남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</si>
  <si>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갈색점무늬병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잿빛곰팡이병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역병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차먼지응애</t>
    </r>
  </si>
  <si>
    <r>
      <rPr>
        <sz val="10"/>
        <rFont val="WenQuanYi Zen Hei"/>
        <family val="2"/>
      </rPr>
      <t xml:space="preserve">오조아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</si>
  <si>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4</t>
    </r>
    <r>
      <rPr>
        <sz val="10"/>
        <rFont val="WenQuanYi Zen Hei"/>
        <family val="2"/>
      </rPr>
      <t xml:space="preserve">회</t>
    </r>
  </si>
  <si>
    <t xml:space="preserve">경탄</t>
  </si>
  <si>
    <t xml:space="preserve">Chlorothalonil+Kresoxim-methyl</t>
  </si>
  <si>
    <r>
      <rPr>
        <sz val="10"/>
        <rFont val="WenQuanYi Zen Hei"/>
        <family val="2"/>
      </rPr>
      <t xml:space="preserve">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</si>
  <si>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갈색점무늬병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역병</t>
    </r>
  </si>
  <si>
    <r>
      <rPr>
        <sz val="10"/>
        <rFont val="WenQuanYi Zen Hei"/>
        <family val="2"/>
      </rPr>
      <t xml:space="preserve">경탄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</si>
  <si>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t xml:space="preserve">붉은썩음병</t>
  </si>
  <si>
    <t xml:space="preserve">스포르곤</t>
  </si>
  <si>
    <t xml:space="preserve">관주처리</t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</si>
  <si>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일전</t>
    </r>
  </si>
  <si>
    <r>
      <rPr>
        <sz val="10"/>
        <rFont val="WenQuanYi Zen Hei"/>
        <family val="2"/>
      </rPr>
      <t xml:space="preserve">모스피란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코니도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타스타와의 혼용 조합 자료 없음</t>
    </r>
  </si>
  <si>
    <t xml:space="preserve">Prochloraz-manganese</t>
  </si>
  <si>
    <r>
      <rPr>
        <sz val="10"/>
        <rFont val="WenQuanYi Zen Hei"/>
        <family val="2"/>
      </rPr>
      <t xml:space="preserve">사</t>
    </r>
    <r>
      <rPr>
        <sz val="10"/>
        <rFont val="맑은 고딕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</si>
  <si>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붉은썩음병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뿌리썩음병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흰가루병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흰비단병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</si>
  <si>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스포르곤 </t>
    </r>
    <r>
      <rPr>
        <sz val="10"/>
        <rFont val="맑은 고딕"/>
        <family val="0"/>
        <charset val="1"/>
      </rPr>
      <t xml:space="preserve">(Prochloraz-manganese) [</t>
    </r>
    <r>
      <rPr>
        <sz val="10"/>
        <rFont val="WenQuanYi Zen Hei"/>
        <family val="2"/>
      </rPr>
      <t xml:space="preserve">학교 미보유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구매 필요</t>
    </r>
    <r>
      <rPr>
        <sz val="10"/>
        <rFont val="맑은 고딕"/>
        <family val="0"/>
        <charset val="1"/>
      </rPr>
      <t xml:space="preserve">] 1000</t>
    </r>
    <r>
      <rPr>
        <sz val="10"/>
        <rFont val="WenQuanYi Zen Hei"/>
        <family val="2"/>
      </rPr>
      <t xml:space="preserve">배 희석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관주처리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</si>
  <si>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스포르곤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</si>
  <si>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</si>
  <si>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r>
      <rPr>
        <sz val="10"/>
        <rFont val="맑은 고딕"/>
        <family val="0"/>
        <charset val="1"/>
      </rPr>
      <t xml:space="preserve">PART 1. </t>
    </r>
    <r>
      <rPr>
        <sz val="10"/>
        <rFont val="WenQuanYi Zen Hei"/>
        <family val="2"/>
      </rPr>
      <t xml:space="preserve">병해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붉은썩음병 로테이션표</t>
    </r>
  </si>
  <si>
    <t xml:space="preserve">균디스</t>
  </si>
  <si>
    <t xml:space="preserve">Azoxystrobin</t>
  </si>
  <si>
    <r>
      <rPr>
        <sz val="10"/>
        <rFont val="WenQuanYi Zen Hei"/>
        <family val="2"/>
      </rPr>
      <t xml:space="preserve">붉은썩음병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</si>
  <si>
    <r>
      <rPr>
        <sz val="10"/>
        <rFont val="WenQuanYi Zen Hei"/>
        <family val="2"/>
      </rPr>
      <t xml:space="preserve">균디스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</si>
  <si>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t xml:space="preserve">뿌리썩음병</t>
  </si>
  <si>
    <t xml:space="preserve">입제</t>
  </si>
  <si>
    <r>
      <rPr>
        <sz val="10"/>
        <rFont val="WenQuanYi Zen Hei"/>
        <family val="2"/>
      </rPr>
      <t xml:space="preserve">붉은썩음병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뿌리썩음병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</si>
  <si>
    <r>
      <rPr>
        <sz val="10"/>
        <rFont val="WenQuanYi Zen Hei"/>
        <family val="2"/>
      </rPr>
      <t xml:space="preserve">스포르곤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</si>
  <si>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PART 1. </t>
    </r>
    <r>
      <rPr>
        <sz val="10"/>
        <rFont val="WenQuanYi Zen Hei"/>
        <family val="2"/>
      </rPr>
      <t xml:space="preserve">병해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뿌리썩음병 로테이션표</t>
    </r>
  </si>
  <si>
    <t xml:space="preserve">세균점무늬병</t>
  </si>
  <si>
    <t xml:space="preserve">무름반점뚝</t>
  </si>
  <si>
    <r>
      <rPr>
        <sz val="10"/>
        <rFont val="WenQuanYi Zen Hei"/>
        <family val="2"/>
      </rPr>
      <t xml:space="preserve">혼용정보 미확인 — 사용 전 제조사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</t>
    </r>
  </si>
  <si>
    <t xml:space="preserve">Oxolinic acid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</si>
  <si>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4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</si>
  <si>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무름반점뚝 </t>
    </r>
    <r>
      <rPr>
        <sz val="10"/>
        <rFont val="맑은 고딕"/>
        <family val="0"/>
        <charset val="1"/>
      </rPr>
      <t xml:space="preserve">(Oxolinic acid) [</t>
    </r>
    <r>
      <rPr>
        <sz val="10"/>
        <rFont val="WenQuanYi Zen Hei"/>
        <family val="2"/>
      </rPr>
      <t xml:space="preserve">학교 보유 중</t>
    </r>
    <r>
      <rPr>
        <sz val="10"/>
        <rFont val="맑은 고딕"/>
        <family val="0"/>
        <charset val="1"/>
      </rPr>
      <t xml:space="preserve">] 1000</t>
    </r>
    <r>
      <rPr>
        <sz val="10"/>
        <rFont val="WenQuanYi Zen Hei"/>
        <family val="2"/>
      </rPr>
      <t xml:space="preserve">배 희석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경엽처리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</si>
  <si>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무름반점뚝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</si>
  <si>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PART 1. </t>
    </r>
    <r>
      <rPr>
        <sz val="10"/>
        <rFont val="WenQuanYi Zen Hei"/>
        <family val="2"/>
      </rPr>
      <t xml:space="preserve">병해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세균점무늬병 로테이션표</t>
    </r>
  </si>
  <si>
    <t xml:space="preserve">미스타클린</t>
  </si>
  <si>
    <t xml:space="preserve">Oxytetracycline dihydrate+Validamycin A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</si>
  <si>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5+</t>
    </r>
    <r>
      <rPr>
        <sz val="10"/>
        <rFont val="WenQuanYi Zen Hei"/>
        <family val="2"/>
      </rPr>
      <t xml:space="preserve">미분류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</t>
    </r>
  </si>
  <si>
    <t xml:space="preserve">미스타클린 수화제</t>
  </si>
  <si>
    <t xml:space="preserve">가스란</t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</si>
  <si>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일전</t>
    </r>
  </si>
  <si>
    <r>
      <rPr>
        <sz val="10"/>
        <rFont val="WenQuanYi Zen Hei"/>
        <family val="2"/>
      </rPr>
      <t xml:space="preserve">코퍼옥시클로라이드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가스가마이신 </t>
    </r>
    <r>
      <rPr>
        <sz val="10"/>
        <rFont val="맑은 고딕"/>
        <family val="0"/>
        <charset val="1"/>
      </rPr>
      <t xml:space="preserve">(Copper oxychloride+Kasugamycin)</t>
    </r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</si>
  <si>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3,</t>
    </r>
    <r>
      <rPr>
        <sz val="10"/>
        <rFont val="WenQuanYi Zen Hei"/>
        <family val="2"/>
      </rPr>
      <t xml:space="preserve">카</t>
    </r>
  </si>
  <si>
    <r>
      <rPr>
        <sz val="10"/>
        <rFont val="WenQuanYi Zen Hei"/>
        <family val="2"/>
      </rPr>
      <t xml:space="preserve">세균점무늬병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</si>
  <si>
    <r>
      <rPr>
        <sz val="10"/>
        <rFont val="WenQuanYi Zen Hei"/>
        <family val="2"/>
      </rPr>
      <t xml:space="preserve">가스란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</si>
  <si>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5</t>
    </r>
    <r>
      <rPr>
        <sz val="10"/>
        <rFont val="WenQuanYi Zen Hei"/>
        <family val="2"/>
      </rPr>
      <t xml:space="preserve">회</t>
    </r>
  </si>
  <si>
    <t xml:space="preserve">골든벨</t>
  </si>
  <si>
    <r>
      <rPr>
        <sz val="10"/>
        <rFont val="WenQuanYi Zen Hei"/>
        <family val="2"/>
      </rPr>
      <t xml:space="preserve">가스가마이신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티오파네이트메틸 </t>
    </r>
    <r>
      <rPr>
        <sz val="10"/>
        <rFont val="맑은 고딕"/>
        <family val="0"/>
        <charset val="1"/>
      </rPr>
      <t xml:space="preserve">(Kasugamycin+Thiophanate-methyl)</t>
    </r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</si>
  <si>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1,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</si>
  <si>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골든벨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</si>
  <si>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</si>
  <si>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t xml:space="preserve">잿빛곰팡이병</t>
  </si>
  <si>
    <r>
      <rPr>
        <sz val="10"/>
        <rFont val="WenQuanYi Zen Hei"/>
        <family val="2"/>
      </rPr>
      <t xml:space="preserve">갈색점무늬병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잿빛곰팡이병</t>
    </r>
  </si>
  <si>
    <r>
      <rPr>
        <sz val="10"/>
        <rFont val="WenQuanYi Zen Hei"/>
        <family val="2"/>
      </rPr>
      <t xml:space="preserve">버픽스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</si>
  <si>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PART 1. </t>
    </r>
    <r>
      <rPr>
        <sz val="10"/>
        <rFont val="WenQuanYi Zen Hei"/>
        <family val="2"/>
      </rPr>
      <t xml:space="preserve">병해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잿빛곰팡이병 로테이션표</t>
    </r>
  </si>
  <si>
    <t xml:space="preserve">미래빛</t>
  </si>
  <si>
    <t xml:space="preserve">Pydiflumetofen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</si>
  <si>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2</t>
    </r>
  </si>
  <si>
    <r>
      <rPr>
        <sz val="10"/>
        <rFont val="WenQuanYi Zen Hei"/>
        <family val="2"/>
      </rPr>
      <t xml:space="preserve">미래빛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</si>
  <si>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t xml:space="preserve">사파이어</t>
  </si>
  <si>
    <t xml:space="preserve">Fludioxonil</t>
  </si>
  <si>
    <r>
      <rPr>
        <sz val="10"/>
        <rFont val="WenQuanYi Zen Hei"/>
        <family val="2"/>
      </rPr>
      <t xml:space="preserve">마</t>
    </r>
    <r>
      <rPr>
        <sz val="10"/>
        <rFont val="맑은 고딕"/>
        <family val="0"/>
        <charset val="1"/>
      </rPr>
      <t xml:space="preserve">2</t>
    </r>
  </si>
  <si>
    <r>
      <rPr>
        <sz val="10"/>
        <rFont val="WenQuanYi Zen Hei"/>
        <family val="2"/>
      </rPr>
      <t xml:space="preserve">사파이어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</si>
  <si>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회</t>
    </r>
  </si>
  <si>
    <t xml:space="preserve">탄저병</t>
  </si>
  <si>
    <r>
      <rPr>
        <sz val="10"/>
        <rFont val="WenQuanYi Zen Hei"/>
        <family val="2"/>
      </rPr>
      <t xml:space="preserve">역병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잿빛곰팡이병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갈색점무늬병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</si>
  <si>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벨리스플러스 </t>
    </r>
    <r>
      <rPr>
        <sz val="10"/>
        <rFont val="맑은 고딕"/>
        <family val="0"/>
        <charset val="1"/>
      </rPr>
      <t xml:space="preserve">(Boscalid+Pyraclostrobin) [</t>
    </r>
    <r>
      <rPr>
        <sz val="10"/>
        <rFont val="WenQuanYi Zen Hei"/>
        <family val="2"/>
      </rPr>
      <t xml:space="preserve">학교 보유 중</t>
    </r>
    <r>
      <rPr>
        <sz val="10"/>
        <rFont val="맑은 고딕"/>
        <family val="0"/>
        <charset val="1"/>
      </rPr>
      <t xml:space="preserve">] 2000</t>
    </r>
    <r>
      <rPr>
        <sz val="10"/>
        <rFont val="WenQuanYi Zen Hei"/>
        <family val="2"/>
      </rPr>
      <t xml:space="preserve">배 희석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경엽처리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회</t>
    </r>
  </si>
  <si>
    <r>
      <rPr>
        <sz val="10"/>
        <rFont val="맑은 고딕"/>
        <family val="0"/>
        <charset val="1"/>
      </rPr>
      <t xml:space="preserve">PART 1. </t>
    </r>
    <r>
      <rPr>
        <sz val="10"/>
        <rFont val="WenQuanYi Zen Hei"/>
        <family val="2"/>
      </rPr>
      <t xml:space="preserve">병해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탄저병 로테이션표</t>
    </r>
  </si>
  <si>
    <t xml:space="preserve">다놀라</t>
  </si>
  <si>
    <t xml:space="preserve">액상</t>
  </si>
  <si>
    <r>
      <rPr>
        <sz val="10"/>
        <rFont val="WenQuanYi Zen Hei"/>
        <family val="2"/>
      </rPr>
      <t xml:space="preserve">원본에 희석배수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사용방법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안전사용기준 미기재</t>
    </r>
  </si>
  <si>
    <r>
      <rPr>
        <sz val="10"/>
        <rFont val="WenQuanYi Zen Hei"/>
        <family val="2"/>
      </rPr>
      <t xml:space="preserve">디페노코나졸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피라클로스트로빈 </t>
    </r>
    <r>
      <rPr>
        <sz val="10"/>
        <rFont val="맑은 고딕"/>
        <family val="0"/>
        <charset val="1"/>
      </rPr>
      <t xml:space="preserve">(Difenoconazole+Pyraclostrobin)</t>
    </r>
  </si>
  <si>
    <r>
      <rPr>
        <sz val="10"/>
        <rFont val="WenQuanYi Zen Hei"/>
        <family val="2"/>
      </rPr>
      <t xml:space="preserve">사</t>
    </r>
    <r>
      <rPr>
        <sz val="10"/>
        <rFont val="맑은 고딕"/>
        <family val="0"/>
        <charset val="1"/>
      </rPr>
      <t xml:space="preserve">1,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</si>
  <si>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다놀라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</t>
    </r>
    <r>
      <rPr>
        <sz val="10"/>
        <rFont val="맑은 고딕"/>
        <family val="0"/>
        <charset val="1"/>
      </rPr>
      <t xml:space="preserve">)</t>
    </r>
  </si>
  <si>
    <t xml:space="preserve">-</t>
  </si>
  <si>
    <t xml:space="preserve">미리본</t>
  </si>
  <si>
    <r>
      <rPr>
        <sz val="10"/>
        <rFont val="WenQuanYi Zen Hei"/>
        <family val="2"/>
      </rPr>
      <t xml:space="preserve">플룩사피록사드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피라클로스트로빈 </t>
    </r>
    <r>
      <rPr>
        <sz val="10"/>
        <rFont val="맑은 고딕"/>
        <family val="0"/>
        <charset val="1"/>
      </rPr>
      <t xml:space="preserve">(Fluxapyroxad+Pyraclostrobin)</t>
    </r>
  </si>
  <si>
    <t xml:space="preserve">벨쿠트</t>
  </si>
  <si>
    <r>
      <rPr>
        <sz val="10"/>
        <rFont val="WenQuanYi Zen Hei"/>
        <family val="2"/>
      </rPr>
      <t xml:space="preserve">모스피란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코니도와 혼용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팜한농 조회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</si>
  <si>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이미녹타딘트리스알베실레이트 </t>
    </r>
    <r>
      <rPr>
        <sz val="10"/>
        <rFont val="맑은 고딕"/>
        <family val="0"/>
        <charset val="1"/>
      </rPr>
      <t xml:space="preserve">(Iminoctadin tris (albesilate))</t>
    </r>
  </si>
  <si>
    <t xml:space="preserve">카</t>
  </si>
  <si>
    <r>
      <rPr>
        <sz val="10"/>
        <rFont val="WenQuanYi Zen Hei"/>
        <family val="2"/>
      </rPr>
      <t xml:space="preserve">탄저병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잿빛곰팡이병</t>
    </r>
  </si>
  <si>
    <r>
      <rPr>
        <sz val="10"/>
        <rFont val="WenQuanYi Zen Hei"/>
        <family val="2"/>
      </rPr>
      <t xml:space="preserve">벨쿠트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수화제</t>
    </r>
    <r>
      <rPr>
        <sz val="10"/>
        <rFont val="맑은 고딕"/>
        <family val="0"/>
        <charset val="1"/>
      </rPr>
      <t xml:space="preserve">)</t>
    </r>
  </si>
  <si>
    <t xml:space="preserve">풋마름병</t>
  </si>
  <si>
    <t xml:space="preserve">크린쏘일</t>
  </si>
  <si>
    <t xml:space="preserve">토양처리</t>
  </si>
  <si>
    <r>
      <rPr>
        <sz val="10"/>
        <rFont val="WenQuanYi Zen Hei"/>
        <family val="2"/>
      </rPr>
      <t xml:space="preserve">정식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주일 전</t>
    </r>
  </si>
  <si>
    <r>
      <rPr>
        <sz val="10"/>
        <rFont val="WenQuanYi Zen Hei"/>
        <family val="2"/>
      </rPr>
      <t xml:space="preserve">가이드 추천문에는 유효성분 </t>
    </r>
    <r>
      <rPr>
        <sz val="10"/>
        <rFont val="맑은 고딕"/>
        <family val="0"/>
        <charset val="1"/>
      </rPr>
      <t xml:space="preserve">'Metam-sodium', </t>
    </r>
    <r>
      <rPr>
        <sz val="10"/>
        <rFont val="WenQuanYi Zen Hei"/>
        <family val="2"/>
      </rPr>
      <t xml:space="preserve">사용방법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관주처리</t>
    </r>
    <r>
      <rPr>
        <sz val="10"/>
        <rFont val="맑은 고딕"/>
        <family val="0"/>
        <charset val="1"/>
      </rPr>
      <t xml:space="preserve">', </t>
    </r>
    <r>
      <rPr>
        <sz val="10"/>
        <rFont val="WenQuanYi Zen Hei"/>
        <family val="2"/>
      </rPr>
      <t xml:space="preserve">안전사용기준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정식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주전 </t>
    </r>
    <r>
      <rPr>
        <sz val="10"/>
        <rFont val="맑은 고딕"/>
        <family val="0"/>
        <charset val="1"/>
      </rPr>
      <t xml:space="preserve">/ 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표기 — 원본 내 표기 상이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필요</t>
    </r>
  </si>
  <si>
    <t xml:space="preserve">Dazomet</t>
  </si>
  <si>
    <r>
      <rPr>
        <sz val="10"/>
        <rFont val="WenQuanYi Zen Hei"/>
        <family val="2"/>
      </rPr>
      <t xml:space="preserve">미분류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</si>
  <si>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크린쏘일 </t>
    </r>
    <r>
      <rPr>
        <sz val="10"/>
        <rFont val="맑은 고딕"/>
        <family val="0"/>
        <charset val="1"/>
      </rPr>
      <t xml:space="preserve">(Metam-sodium) [</t>
    </r>
    <r>
      <rPr>
        <sz val="10"/>
        <rFont val="WenQuanYi Zen Hei"/>
        <family val="2"/>
      </rPr>
      <t xml:space="preserve">학교 미보유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구매 필요</t>
    </r>
    <r>
      <rPr>
        <sz val="10"/>
        <rFont val="맑은 고딕"/>
        <family val="0"/>
        <charset val="1"/>
      </rPr>
      <t xml:space="preserve">]  </t>
    </r>
    <r>
      <rPr>
        <sz val="10"/>
        <rFont val="WenQuanYi Zen Hei"/>
        <family val="2"/>
      </rPr>
      <t xml:space="preserve">관주처리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정식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주전 </t>
    </r>
    <r>
      <rPr>
        <sz val="10"/>
        <rFont val="맑은 고딕"/>
        <family val="0"/>
        <charset val="1"/>
      </rPr>
      <t xml:space="preserve">/ 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</si>
  <si>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크린쏘일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</si>
  <si>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정식기 </t>
    </r>
    <r>
      <rPr>
        <sz val="10"/>
        <rFont val="맑은 고딕"/>
        <family val="0"/>
        <charset val="1"/>
      </rPr>
      <t xml:space="preserve">/ 1</t>
    </r>
    <r>
      <rPr>
        <sz val="10"/>
        <rFont val="WenQuanYi Zen Hei"/>
        <family val="2"/>
      </rPr>
      <t xml:space="preserve">회</t>
    </r>
  </si>
  <si>
    <r>
      <rPr>
        <sz val="10"/>
        <rFont val="맑은 고딕"/>
        <family val="0"/>
        <charset val="1"/>
      </rPr>
      <t xml:space="preserve">PART 1. </t>
    </r>
    <r>
      <rPr>
        <sz val="10"/>
        <rFont val="WenQuanYi Zen Hei"/>
        <family val="2"/>
      </rPr>
      <t xml:space="preserve">병해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풋마름병 로테이션표</t>
    </r>
  </si>
  <si>
    <t xml:space="preserve">해충</t>
  </si>
  <si>
    <t xml:space="preserve">거세미나방류</t>
  </si>
  <si>
    <t xml:space="preserve">쏘버린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</si>
  <si>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㎏</t>
    </r>
    <r>
      <rPr>
        <sz val="10"/>
        <rFont val="맑은 고딕"/>
        <family val="0"/>
        <charset val="1"/>
      </rPr>
      <t xml:space="preserve">/10a</t>
    </r>
  </si>
  <si>
    <t xml:space="preserve">정식기</t>
  </si>
  <si>
    <t xml:space="preserve">정식 시 흙에 뿌리는 입제 — 혼용정보표 대상 아님</t>
  </si>
  <si>
    <r>
      <rPr>
        <sz val="10"/>
        <rFont val="WenQuanYi Zen Hei"/>
        <family val="2"/>
      </rPr>
      <t xml:space="preserve">Ⅳ급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저독성</t>
    </r>
    <r>
      <rPr>
        <sz val="10"/>
        <rFont val="맑은 고딕"/>
        <family val="0"/>
        <charset val="1"/>
      </rPr>
      <t xml:space="preserve">)</t>
    </r>
  </si>
  <si>
    <t xml:space="preserve">Ⅲ급</t>
  </si>
  <si>
    <t xml:space="preserve">Carbosulfan</t>
  </si>
  <si>
    <t xml:space="preserve">1a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</si>
  <si>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Carbamates(</t>
    </r>
    <r>
      <rPr>
        <sz val="10"/>
        <rFont val="WenQuanYi Zen Hei"/>
        <family val="2"/>
      </rPr>
      <t xml:space="preserve">카바메이트계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</si>
  <si>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거세미나방류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꽃노랑총채벌레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</si>
  <si>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팜한농</t>
    </r>
  </si>
  <si>
    <t xml:space="preserve">단고추류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</si>
  <si>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-188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</si>
  <si>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쏘버린 </t>
    </r>
    <r>
      <rPr>
        <sz val="10"/>
        <rFont val="맑은 고딕"/>
        <family val="0"/>
        <charset val="1"/>
      </rPr>
      <t xml:space="preserve">(Carbosulfan) [</t>
    </r>
    <r>
      <rPr>
        <sz val="10"/>
        <rFont val="WenQuanYi Zen Hei"/>
        <family val="2"/>
      </rPr>
      <t xml:space="preserve">학교 미보유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구매 필요</t>
    </r>
    <r>
      <rPr>
        <sz val="10"/>
        <rFont val="맑은 고딕"/>
        <family val="0"/>
        <charset val="1"/>
      </rPr>
      <t xml:space="preserve">] </t>
    </r>
    <r>
      <rPr>
        <sz val="10"/>
        <rFont val="WenQuanYi Zen Hei"/>
        <family val="2"/>
      </rPr>
      <t xml:space="preserve">토양처리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정식기 </t>
    </r>
    <r>
      <rPr>
        <sz val="10"/>
        <rFont val="맑은 고딕"/>
        <family val="0"/>
        <charset val="1"/>
      </rPr>
      <t xml:space="preserve">/ 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</si>
  <si>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쏘버린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</si>
  <si>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PART 2. </t>
    </r>
    <r>
      <rPr>
        <sz val="10"/>
        <rFont val="WenQuanYi Zen Hei"/>
        <family val="2"/>
      </rPr>
      <t xml:space="preserve">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거세미나방류 로테이션표</t>
    </r>
  </si>
  <si>
    <t xml:space="preserve">보라충</t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</si>
  <si>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㎏</t>
    </r>
    <r>
      <rPr>
        <sz val="10"/>
        <rFont val="맑은 고딕"/>
        <family val="0"/>
        <charset val="1"/>
      </rPr>
      <t xml:space="preserve">/10a</t>
    </r>
  </si>
  <si>
    <t xml:space="preserve">Phoxim</t>
  </si>
  <si>
    <t xml:space="preserve">1b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</si>
  <si>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Organophosphates(</t>
    </r>
    <r>
      <rPr>
        <sz val="10"/>
        <rFont val="WenQuanYi Zen Hei"/>
        <family val="2"/>
      </rPr>
      <t xml:space="preserve">유기인계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</si>
  <si>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한얼싸이언스</t>
    </r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</si>
  <si>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-181</t>
    </r>
  </si>
  <si>
    <r>
      <rPr>
        <sz val="10"/>
        <rFont val="WenQuanYi Zen Hei"/>
        <family val="2"/>
      </rPr>
      <t xml:space="preserve">보라충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입제</t>
    </r>
    <r>
      <rPr>
        <sz val="10"/>
        <rFont val="맑은 고딕"/>
        <family val="0"/>
        <charset val="1"/>
      </rPr>
      <t xml:space="preserve">)</t>
    </r>
  </si>
  <si>
    <t xml:space="preserve">싸이포스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</si>
  <si>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㎏</t>
    </r>
    <r>
      <rPr>
        <sz val="10"/>
        <rFont val="맑은 고딕"/>
        <family val="0"/>
        <charset val="1"/>
      </rPr>
      <t xml:space="preserve">/10a</t>
    </r>
  </si>
  <si>
    <t xml:space="preserve">Ⅱ급</t>
  </si>
  <si>
    <t xml:space="preserve">Cypermethrin+Tebupirimfos</t>
  </si>
  <si>
    <t xml:space="preserve">3a+1b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</si>
  <si>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Organophosphates(</t>
    </r>
    <r>
      <rPr>
        <sz val="10"/>
        <rFont val="WenQuanYi Zen Hei"/>
        <family val="2"/>
      </rPr>
      <t xml:space="preserve">유기인계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</si>
  <si>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농협케미컬</t>
    </r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</si>
  <si>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-435</t>
    </r>
  </si>
  <si>
    <r>
      <rPr>
        <sz val="10"/>
        <rFont val="WenQuanYi Zen Hei"/>
        <family val="2"/>
      </rPr>
      <t xml:space="preserve">싸이포스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입제</t>
    </r>
    <r>
      <rPr>
        <sz val="10"/>
        <rFont val="맑은 고딕"/>
        <family val="0"/>
        <charset val="1"/>
      </rPr>
      <t xml:space="preserve">)</t>
    </r>
  </si>
  <si>
    <t xml:space="preserve">과실파리류</t>
  </si>
  <si>
    <t xml:space="preserve">모스피란</t>
  </si>
  <si>
    <r>
      <rPr>
        <sz val="10"/>
        <rFont val="WenQuanYi Zen Hei"/>
        <family val="2"/>
      </rPr>
      <t xml:space="preserve">참고자료 등록정보에 희석배수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사용적기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안전사용기준 미기재</t>
    </r>
  </si>
  <si>
    <r>
      <rPr>
        <sz val="10"/>
        <rFont val="WenQuanYi Zen Hei"/>
        <family val="2"/>
      </rPr>
      <t xml:space="preserve">혼용 가능 살균제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경농 조회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탄쟈비상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벨리스플러스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다놀라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벨쿠트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가스란</t>
    </r>
  </si>
  <si>
    <r>
      <rPr>
        <sz val="10"/>
        <rFont val="WenQuanYi Zen Hei"/>
        <family val="2"/>
      </rPr>
      <t xml:space="preserve">아세타미프리드 </t>
    </r>
    <r>
      <rPr>
        <sz val="10"/>
        <rFont val="맑은 고딕"/>
        <family val="0"/>
        <charset val="1"/>
      </rPr>
      <t xml:space="preserve">(Acetamiprid)</t>
    </r>
  </si>
  <si>
    <t xml:space="preserve">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</si>
  <si>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</si>
  <si>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과실파리류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담배가루이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목화진딧물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</si>
  <si>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모스피란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아세타미프리드 </t>
    </r>
    <r>
      <rPr>
        <sz val="10"/>
        <rFont val="맑은 고딕"/>
        <family val="0"/>
        <charset val="1"/>
      </rPr>
      <t xml:space="preserve">(Acetamiprid)) [</t>
    </r>
    <r>
      <rPr>
        <sz val="10"/>
        <rFont val="WenQuanYi Zen Hei"/>
        <family val="2"/>
      </rPr>
      <t xml:space="preserve">학교 보유 중</t>
    </r>
    <r>
      <rPr>
        <sz val="10"/>
        <rFont val="맑은 고딕"/>
        <family val="0"/>
        <charset val="1"/>
      </rPr>
      <t xml:space="preserve">] 2000</t>
    </r>
    <r>
      <rPr>
        <sz val="10"/>
        <rFont val="WenQuanYi Zen Hei"/>
        <family val="2"/>
      </rPr>
      <t xml:space="preserve">배 희석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경엽처리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</si>
  <si>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모스피란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</si>
  <si>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</si>
  <si>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r>
      <rPr>
        <sz val="10"/>
        <rFont val="맑은 고딕"/>
        <family val="0"/>
        <charset val="1"/>
      </rPr>
      <t xml:space="preserve">PART 2. </t>
    </r>
    <r>
      <rPr>
        <sz val="10"/>
        <rFont val="WenQuanYi Zen Hei"/>
        <family val="2"/>
      </rPr>
      <t xml:space="preserve">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과실파리류 로테이션표</t>
    </r>
  </si>
  <si>
    <t xml:space="preserve">동작그만</t>
  </si>
  <si>
    <t xml:space="preserve">유제</t>
  </si>
  <si>
    <r>
      <rPr>
        <sz val="10"/>
        <rFont val="WenQuanYi Zen Hei"/>
        <family val="2"/>
      </rPr>
      <t xml:space="preserve">에마멕틴벤조에이트 </t>
    </r>
    <r>
      <rPr>
        <sz val="10"/>
        <rFont val="맑은 고딕"/>
        <family val="0"/>
        <charset val="1"/>
      </rPr>
      <t xml:space="preserve">(Emamectin benzoate)</t>
    </r>
  </si>
  <si>
    <t xml:space="preserve">6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</si>
  <si>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</si>
  <si>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과실파리류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담배가루이</t>
    </r>
  </si>
  <si>
    <r>
      <rPr>
        <sz val="10"/>
        <rFont val="WenQuanYi Zen Hei"/>
        <family val="2"/>
      </rPr>
      <t xml:space="preserve">동작그만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유제</t>
    </r>
    <r>
      <rPr>
        <sz val="10"/>
        <rFont val="맑은 고딕"/>
        <family val="0"/>
        <charset val="1"/>
      </rPr>
      <t xml:space="preserve">)</t>
    </r>
  </si>
  <si>
    <t xml:space="preserve">델리게이트</t>
  </si>
  <si>
    <r>
      <rPr>
        <sz val="10"/>
        <rFont val="WenQuanYi Zen Hei"/>
        <family val="2"/>
      </rPr>
      <t xml:space="preserve">스피네토람 </t>
    </r>
    <r>
      <rPr>
        <sz val="10"/>
        <rFont val="맑은 고딕"/>
        <family val="0"/>
        <charset val="1"/>
      </rPr>
      <t xml:space="preserve">(Spinetoram)</t>
    </r>
  </si>
  <si>
    <t xml:space="preserve">5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</si>
  <si>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5 nAChR </t>
    </r>
    <r>
      <rPr>
        <sz val="10"/>
        <rFont val="WenQuanYi Zen Hei"/>
        <family val="2"/>
      </rPr>
      <t xml:space="preserve">알로스테릭 조절제</t>
    </r>
    <r>
      <rPr>
        <sz val="10"/>
        <rFont val="맑은 고딕"/>
        <family val="0"/>
        <charset val="1"/>
      </rPr>
      <t xml:space="preserve">(Site I) - Spinosyns(</t>
    </r>
    <r>
      <rPr>
        <sz val="10"/>
        <rFont val="WenQuanYi Zen Hei"/>
        <family val="2"/>
      </rPr>
      <t xml:space="preserve">스피노신계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</si>
  <si>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과실파리류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꽃노랑총채벌레</t>
    </r>
  </si>
  <si>
    <r>
      <rPr>
        <sz val="10"/>
        <rFont val="WenQuanYi Zen Hei"/>
        <family val="2"/>
      </rPr>
      <t xml:space="preserve">델리게이트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입상수화제</t>
    </r>
    <r>
      <rPr>
        <sz val="10"/>
        <rFont val="맑은 고딕"/>
        <family val="0"/>
        <charset val="1"/>
      </rPr>
      <t xml:space="preserve">)</t>
    </r>
  </si>
  <si>
    <t xml:space="preserve">뉴증원군</t>
  </si>
  <si>
    <r>
      <rPr>
        <sz val="10"/>
        <rFont val="WenQuanYi Zen Hei"/>
        <family val="2"/>
      </rPr>
      <t xml:space="preserve">원본에 희석배수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사용방법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안전사용기준 미기재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참고자료 등록정보에 희석배수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사용적기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안전사용기준 미기재</t>
    </r>
  </si>
  <si>
    <r>
      <rPr>
        <sz val="10"/>
        <rFont val="WenQuanYi Zen Hei"/>
        <family val="2"/>
      </rPr>
      <t xml:space="preserve">비펜트린 </t>
    </r>
    <r>
      <rPr>
        <sz val="10"/>
        <rFont val="맑은 고딕"/>
        <family val="0"/>
        <charset val="1"/>
      </rPr>
      <t xml:space="preserve">(Bifenthrin)</t>
    </r>
  </si>
  <si>
    <t xml:space="preserve">3a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</si>
  <si>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</si>
  <si>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뉴증원군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유제</t>
    </r>
    <r>
      <rPr>
        <sz val="10"/>
        <rFont val="맑은 고딕"/>
        <family val="0"/>
        <charset val="1"/>
      </rPr>
      <t xml:space="preserve">)</t>
    </r>
  </si>
  <si>
    <t xml:space="preserve">꽃노랑총채벌레</t>
  </si>
  <si>
    <t xml:space="preserve">발생 초부터</t>
  </si>
  <si>
    <r>
      <rPr>
        <sz val="10"/>
        <rFont val="WenQuanYi Zen Hei"/>
        <family val="2"/>
      </rPr>
      <t xml:space="preserve">과실파리류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담배가루이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</si>
  <si>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경농</t>
    </r>
  </si>
  <si>
    <r>
      <rPr>
        <sz val="10"/>
        <rFont val="WenQuanYi Zen Hei"/>
        <family val="2"/>
      </rPr>
      <t xml:space="preserve">고추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단고추류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</si>
  <si>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-240</t>
    </r>
  </si>
  <si>
    <r>
      <rPr>
        <sz val="10"/>
        <rFont val="맑은 고딕"/>
        <family val="0"/>
        <charset val="1"/>
      </rPr>
      <t xml:space="preserve">PART 2. </t>
    </r>
    <r>
      <rPr>
        <sz val="10"/>
        <rFont val="WenQuanYi Zen Hei"/>
        <family val="2"/>
      </rPr>
      <t xml:space="preserve">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꽃노랑총채벌레 로테이션표</t>
    </r>
  </si>
  <si>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살충제 등록정보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시트에서 병해충명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상표명으로 전체 확인</t>
    </r>
  </si>
  <si>
    <r>
      <rPr>
        <sz val="10"/>
        <rFont val="WenQuanYi Zen Hei"/>
        <family val="2"/>
      </rPr>
      <t xml:space="preserve">인바이오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</si>
  <si>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-167</t>
    </r>
  </si>
  <si>
    <t xml:space="preserve">디져스</t>
  </si>
  <si>
    <t xml:space="preserve">Fluxametamide+Pyrifluquinazon</t>
  </si>
  <si>
    <t xml:space="preserve">30+9b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</si>
  <si>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30 GABA</t>
    </r>
    <r>
      <rPr>
        <sz val="10"/>
        <rFont val="WenQuanYi Zen Hei"/>
        <family val="2"/>
      </rPr>
      <t xml:space="preserve">개폐 염소채널 알로스테릭 조절제 </t>
    </r>
    <r>
      <rPr>
        <sz val="10"/>
        <rFont val="맑은 고딕"/>
        <family val="0"/>
        <charset val="1"/>
      </rPr>
      <t xml:space="preserve">- Isoxazolines/Meta-diamides</t>
    </r>
    <r>
      <rPr>
        <sz val="10"/>
        <rFont val="WenQuanYi Zen Hei"/>
        <family val="2"/>
      </rPr>
      <t xml:space="preserve">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9 </t>
    </r>
    <r>
      <rPr>
        <sz val="10"/>
        <rFont val="WenQuanYi Zen Hei"/>
        <family val="2"/>
      </rPr>
      <t xml:space="preserve">현음기관 </t>
    </r>
    <r>
      <rPr>
        <sz val="10"/>
        <rFont val="맑은 고딕"/>
        <family val="0"/>
        <charset val="1"/>
      </rPr>
      <t xml:space="preserve">TRPV</t>
    </r>
    <r>
      <rPr>
        <sz val="10"/>
        <rFont val="WenQuanYi Zen Hei"/>
        <family val="2"/>
      </rPr>
      <t xml:space="preserve">채널 조절제 </t>
    </r>
    <r>
      <rPr>
        <sz val="10"/>
        <rFont val="맑은 고딕"/>
        <family val="0"/>
        <charset val="1"/>
      </rPr>
      <t xml:space="preserve">- Pyridine azomethine </t>
    </r>
    <r>
      <rPr>
        <sz val="10"/>
        <rFont val="WenQuanYi Zen Hei"/>
        <family val="2"/>
      </rPr>
      <t xml:space="preserve">유도체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피메트로진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피리플루퀴나존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</si>
  <si>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담배가루이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</si>
  <si>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-571</t>
    </r>
  </si>
  <si>
    <r>
      <rPr>
        <sz val="10"/>
        <rFont val="WenQuanYi Zen Hei"/>
        <family val="2"/>
      </rPr>
      <t xml:space="preserve">디져스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</si>
  <si>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회</t>
    </r>
  </si>
  <si>
    <t xml:space="preserve">강철비</t>
  </si>
  <si>
    <r>
      <rPr>
        <sz val="10"/>
        <rFont val="WenQuanYi Zen Hei"/>
        <family val="2"/>
      </rPr>
      <t xml:space="preserve">혼용정보 미확인 — 사용 전 제조사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인바이오 </t>
    </r>
    <r>
      <rPr>
        <sz val="10"/>
        <rFont val="맑은 고딕"/>
        <family val="0"/>
        <charset val="1"/>
      </rPr>
      <t xml:space="preserve">031-477-6011) </t>
    </r>
    <r>
      <rPr>
        <sz val="10"/>
        <rFont val="WenQuanYi Zen Hei"/>
        <family val="2"/>
      </rPr>
      <t xml:space="preserve">확인</t>
    </r>
  </si>
  <si>
    <t xml:space="preserve">Ⅰ급</t>
  </si>
  <si>
    <t xml:space="preserve">Chlorantraniliprole+Emamectin benzoate</t>
  </si>
  <si>
    <t xml:space="preserve">28+6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</si>
  <si>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28 </t>
    </r>
    <r>
      <rPr>
        <sz val="10"/>
        <rFont val="WenQuanYi Zen Hei"/>
        <family val="2"/>
      </rPr>
      <t xml:space="preserve">라이아노딘 수용체 조절제 </t>
    </r>
    <r>
      <rPr>
        <sz val="10"/>
        <rFont val="맑은 고딕"/>
        <family val="0"/>
        <charset val="1"/>
      </rPr>
      <t xml:space="preserve">- Diamides(</t>
    </r>
    <r>
      <rPr>
        <sz val="10"/>
        <rFont val="WenQuanYi Zen Hei"/>
        <family val="2"/>
      </rPr>
      <t xml:space="preserve">디아마이드계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클로란트라닐리프롤 등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</si>
  <si>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차먼지응애</t>
    </r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</si>
  <si>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-228</t>
    </r>
  </si>
  <si>
    <r>
      <rPr>
        <sz val="10"/>
        <rFont val="WenQuanYi Zen Hei"/>
        <family val="2"/>
      </rPr>
      <t xml:space="preserve">강철비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</si>
  <si>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t xml:space="preserve">담배가루이</t>
  </si>
  <si>
    <r>
      <rPr>
        <sz val="10"/>
        <rFont val="WenQuanYi Zen Hei"/>
        <family val="2"/>
      </rPr>
      <t xml:space="preserve">참고자료 등록정보와 상이 — 안전사용 시기 가이드 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수확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일전</t>
    </r>
  </si>
  <si>
    <r>
      <rPr>
        <sz val="10"/>
        <rFont val="맑은 고딕"/>
        <family val="0"/>
        <charset val="1"/>
      </rPr>
      <t xml:space="preserve">PART 2. </t>
    </r>
    <r>
      <rPr>
        <sz val="10"/>
        <rFont val="WenQuanYi Zen Hei"/>
        <family val="2"/>
      </rPr>
      <t xml:space="preserve">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담배가루이 로테이션표</t>
    </r>
  </si>
  <si>
    <r>
      <rPr>
        <sz val="10"/>
        <rFont val="WenQuanYi Zen Hei"/>
        <family val="2"/>
      </rPr>
      <t xml:space="preserve">참고자료 등록정보와 상이 — 희석배수 가이드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; </t>
    </r>
    <r>
      <rPr>
        <sz val="10"/>
        <rFont val="WenQuanYi Zen Hei"/>
        <family val="2"/>
      </rPr>
      <t xml:space="preserve">안전사용 시기 가이드 수확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수확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살충제 등록정보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시트에서 병해충명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상표명으로 전체 확인</t>
    </r>
  </si>
  <si>
    <t xml:space="preserve">산마루</t>
  </si>
  <si>
    <t xml:space="preserve">Pyridaben</t>
  </si>
  <si>
    <t xml:space="preserve">21a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</si>
  <si>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21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METI</t>
    </r>
    <r>
      <rPr>
        <sz val="10"/>
        <rFont val="WenQuanYi Zen Hei"/>
        <family val="2"/>
      </rPr>
      <t xml:space="preserve">계 살비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피리다벤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</si>
  <si>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담배가루이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차먼지응애</t>
    </r>
  </si>
  <si>
    <r>
      <rPr>
        <sz val="10"/>
        <rFont val="WenQuanYi Zen Hei"/>
        <family val="2"/>
      </rPr>
      <t xml:space="preserve">한국삼공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</si>
  <si>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-112</t>
    </r>
  </si>
  <si>
    <r>
      <rPr>
        <sz val="10"/>
        <rFont val="WenQuanYi Zen Hei"/>
        <family val="2"/>
      </rPr>
      <t xml:space="preserve">산마루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수화제</t>
    </r>
    <r>
      <rPr>
        <sz val="10"/>
        <rFont val="맑은 고딕"/>
        <family val="0"/>
        <charset val="1"/>
      </rPr>
      <t xml:space="preserve">)</t>
    </r>
  </si>
  <si>
    <t xml:space="preserve">복숭아혹진딧물</t>
  </si>
  <si>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살충제 등록정보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시트에서 병해충명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상표명으로 전체 확인</t>
    </r>
  </si>
  <si>
    <r>
      <rPr>
        <sz val="10"/>
        <rFont val="맑은 고딕"/>
        <family val="0"/>
        <charset val="1"/>
      </rPr>
      <t xml:space="preserve">PART 2. </t>
    </r>
    <r>
      <rPr>
        <sz val="10"/>
        <rFont val="WenQuanYi Zen Hei"/>
        <family val="2"/>
      </rPr>
      <t xml:space="preserve">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복숭아혹진딧물 로테이션표</t>
    </r>
  </si>
  <si>
    <t xml:space="preserve">기대찬</t>
  </si>
  <si>
    <t xml:space="preserve">Emamectin benzoate+Flonicamid</t>
  </si>
  <si>
    <t xml:space="preserve">6+29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</si>
  <si>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</si>
  <si>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</si>
  <si>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-417</t>
    </r>
  </si>
  <si>
    <r>
      <rPr>
        <sz val="10"/>
        <rFont val="WenQuanYi Zen Hei"/>
        <family val="2"/>
      </rPr>
      <t xml:space="preserve">기대찬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입상수화제</t>
    </r>
    <r>
      <rPr>
        <sz val="10"/>
        <rFont val="맑은 고딕"/>
        <family val="0"/>
        <charset val="1"/>
      </rPr>
      <t xml:space="preserve">)</t>
    </r>
  </si>
  <si>
    <t xml:space="preserve">세티스</t>
  </si>
  <si>
    <r>
      <rPr>
        <sz val="10"/>
        <rFont val="WenQuanYi Zen Hei"/>
        <family val="2"/>
      </rPr>
      <t xml:space="preserve">관주처리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양액재배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</si>
  <si>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간격</t>
    </r>
  </si>
  <si>
    <r>
      <rPr>
        <sz val="10"/>
        <rFont val="WenQuanYi Zen Hei"/>
        <family val="2"/>
      </rPr>
      <t xml:space="preserve">참고자료 등록정보와 상이 — 살포 방법 가이드 관주처리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양액재배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등록 경엽처리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발생 초부터</t>
    </r>
    <r>
      <rPr>
        <sz val="10"/>
        <rFont val="맑은 고딕"/>
        <family val="0"/>
        <charset val="1"/>
      </rPr>
      <t xml:space="preserve">); </t>
    </r>
    <r>
      <rPr>
        <sz val="10"/>
        <rFont val="WenQuanYi Zen Hei"/>
        <family val="2"/>
      </rPr>
      <t xml:space="preserve">희석배수 가이드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건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살충제 등록정보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시트에서 병해충명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상표명으로 전체 확인</t>
    </r>
  </si>
  <si>
    <t xml:space="preserve">Flonicamid</t>
  </si>
  <si>
    <t xml:space="preserve">29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</si>
  <si>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</si>
  <si>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담배가루이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</si>
  <si>
    <r>
      <rPr>
        <sz val="10"/>
        <rFont val="맑은 고딕"/>
        <family val="0"/>
        <charset val="1"/>
      </rPr>
      <t xml:space="preserve">ISK</t>
    </r>
    <r>
      <rPr>
        <sz val="10"/>
        <rFont val="WenQuanYi Zen Hei"/>
        <family val="2"/>
      </rPr>
      <t xml:space="preserve">바이오사이언스 코리아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</si>
  <si>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-12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</si>
  <si>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일간격으로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회</t>
    </r>
  </si>
  <si>
    <t xml:space="preserve">온실가루이</t>
  </si>
  <si>
    <t xml:space="preserve">코니도</t>
  </si>
  <si>
    <r>
      <rPr>
        <sz val="10"/>
        <rFont val="WenQuanYi Zen Hei"/>
        <family val="2"/>
      </rPr>
      <t xml:space="preserve">가이드 추천문에는 안전사용기준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표기 — 원본 내 표기 상이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필요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참고자료 등록정보와 상이 — 살포 방법 가이드 경엽처리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토양처리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㎏</t>
    </r>
    <r>
      <rPr>
        <sz val="10"/>
        <rFont val="맑은 고딕"/>
        <family val="0"/>
        <charset val="1"/>
      </rPr>
      <t xml:space="preserve">/10a, </t>
    </r>
    <r>
      <rPr>
        <sz val="10"/>
        <rFont val="WenQuanYi Zen Hei"/>
        <family val="2"/>
      </rPr>
      <t xml:space="preserve">정식 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</si>
  <si>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혼용 가능 살균제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팜한농 조회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벨쿠트</t>
    </r>
  </si>
  <si>
    <t xml:space="preserve">Imidacloprid</t>
  </si>
  <si>
    <r>
      <rPr>
        <sz val="10"/>
        <rFont val="WenQuanYi Zen Hei"/>
        <family val="2"/>
      </rPr>
      <t xml:space="preserve">목화진딧물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작은뿌리파리</t>
    </r>
  </si>
  <si>
    <r>
      <rPr>
        <sz val="10"/>
        <rFont val="WenQuanYi Zen Hei"/>
        <family val="2"/>
      </rPr>
      <t xml:space="preserve">바이엘크롭사이언스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</si>
  <si>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t xml:space="preserve">고추</t>
  </si>
  <si>
    <r>
      <rPr>
        <sz val="10"/>
        <rFont val="맑은 고딕"/>
        <family val="0"/>
        <charset val="1"/>
      </rPr>
      <t xml:space="preserve">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-140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</si>
  <si>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코니도 </t>
    </r>
    <r>
      <rPr>
        <sz val="10"/>
        <rFont val="맑은 고딕"/>
        <family val="0"/>
        <charset val="1"/>
      </rPr>
      <t xml:space="preserve">(Imidacloprid) [</t>
    </r>
    <r>
      <rPr>
        <sz val="10"/>
        <rFont val="WenQuanYi Zen Hei"/>
        <family val="2"/>
      </rPr>
      <t xml:space="preserve">학교 미보유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구매 필요</t>
    </r>
    <r>
      <rPr>
        <sz val="10"/>
        <rFont val="맑은 고딕"/>
        <family val="0"/>
        <charset val="1"/>
      </rPr>
      <t xml:space="preserve">] 2000</t>
    </r>
    <r>
      <rPr>
        <sz val="10"/>
        <rFont val="WenQuanYi Zen Hei"/>
        <family val="2"/>
      </rPr>
      <t xml:space="preserve">배 희석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경엽처리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</si>
  <si>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코니도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</si>
  <si>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PART 2. </t>
    </r>
    <r>
      <rPr>
        <sz val="10"/>
        <rFont val="WenQuanYi Zen Hei"/>
        <family val="2"/>
      </rPr>
      <t xml:space="preserve">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온실가루이 로테이션표</t>
    </r>
  </si>
  <si>
    <r>
      <rPr>
        <b val="true"/>
        <sz val="10"/>
        <rFont val="WenQuanYi Zen Hei"/>
        <family val="2"/>
      </rPr>
      <t xml:space="preserve">진딧물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목화진딧물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복숭아혹진딧물</t>
    </r>
    <r>
      <rPr>
        <b val="true"/>
        <sz val="10"/>
        <rFont val="맑은 고딕"/>
        <family val="0"/>
        <charset val="1"/>
      </rPr>
      <t xml:space="preserve">)</t>
    </r>
  </si>
  <si>
    <t xml:space="preserve">아라치</t>
  </si>
  <si>
    <r>
      <rPr>
        <sz val="10"/>
        <rFont val="WenQuanYi Zen Hei"/>
        <family val="2"/>
      </rPr>
      <t xml:space="preserve">가이드 추천문에는 사용방법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훈연처리</t>
    </r>
    <r>
      <rPr>
        <sz val="10"/>
        <rFont val="맑은 고딕"/>
        <family val="0"/>
        <charset val="1"/>
      </rPr>
      <t xml:space="preserve">', </t>
    </r>
    <r>
      <rPr>
        <sz val="10"/>
        <rFont val="WenQuanYi Zen Hei"/>
        <family val="2"/>
      </rPr>
      <t xml:space="preserve">안전사용기준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표기 — 원본 내 표기 상이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필요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참고자료 등록정보와 상이 — 희석배수 가이드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4,000</t>
    </r>
    <r>
      <rPr>
        <sz val="10"/>
        <rFont val="WenQuanYi Zen Hei"/>
        <family val="2"/>
      </rPr>
      <t xml:space="preserve">배</t>
    </r>
  </si>
  <si>
    <t xml:space="preserve">Thiamethoxam</t>
  </si>
  <si>
    <r>
      <rPr>
        <sz val="10"/>
        <rFont val="WenQuanYi Zen Hei"/>
        <family val="2"/>
      </rPr>
      <t xml:space="preserve">담배가루이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진딧물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목화진딧물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</si>
  <si>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태준아그로텍</t>
    </r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</si>
  <si>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</si>
  <si>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아라치 </t>
    </r>
    <r>
      <rPr>
        <sz val="10"/>
        <rFont val="맑은 고딕"/>
        <family val="0"/>
        <charset val="1"/>
      </rPr>
      <t xml:space="preserve">(Thiamethoxam) [</t>
    </r>
    <r>
      <rPr>
        <sz val="10"/>
        <rFont val="WenQuanYi Zen Hei"/>
        <family val="2"/>
      </rPr>
      <t xml:space="preserve">학교 미보유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구매 필요</t>
    </r>
    <r>
      <rPr>
        <sz val="10"/>
        <rFont val="맑은 고딕"/>
        <family val="0"/>
        <charset val="1"/>
      </rPr>
      <t xml:space="preserve">] </t>
    </r>
    <r>
      <rPr>
        <sz val="10"/>
        <rFont val="WenQuanYi Zen Hei"/>
        <family val="2"/>
      </rPr>
      <t xml:space="preserve">훈연처리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</si>
  <si>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아라치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입상수화제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</si>
  <si>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PART 2. </t>
    </r>
    <r>
      <rPr>
        <sz val="10"/>
        <rFont val="WenQuanYi Zen Hei"/>
        <family val="2"/>
      </rPr>
      <t xml:space="preserve">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진딧물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목화진딧물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로테이션표</t>
    </r>
  </si>
  <si>
    <t xml:space="preserve">주렁</t>
  </si>
  <si>
    <r>
      <rPr>
        <sz val="10"/>
        <rFont val="WenQuanYi Zen Hei"/>
        <family val="2"/>
      </rPr>
      <t xml:space="preserve">참고자료 등록정보와 상이 — 안전사용 시기 가이드 수확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수확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일전</t>
    </r>
  </si>
  <si>
    <t xml:space="preserve">Lambda-cyhalothrin</t>
  </si>
  <si>
    <r>
      <rPr>
        <sz val="10"/>
        <rFont val="WenQuanYi Zen Hei"/>
        <family val="2"/>
      </rPr>
      <t xml:space="preserve">담배나방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진딧물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목화진딧물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열대거세미나방</t>
    </r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</si>
  <si>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-73</t>
    </r>
  </si>
  <si>
    <r>
      <rPr>
        <sz val="10"/>
        <rFont val="WenQuanYi Zen Hei"/>
        <family val="2"/>
      </rPr>
      <t xml:space="preserve">주렁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유제</t>
    </r>
    <r>
      <rPr>
        <sz val="10"/>
        <rFont val="맑은 고딕"/>
        <family val="0"/>
        <charset val="1"/>
      </rPr>
      <t xml:space="preserve">)</t>
    </r>
  </si>
  <si>
    <t xml:space="preserve">차먼지응애</t>
  </si>
  <si>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차먼지응애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담배나방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</si>
  <si>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 추천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지금 바로 이거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강철비 </t>
    </r>
    <r>
      <rPr>
        <sz val="10"/>
        <rFont val="맑은 고딕"/>
        <family val="0"/>
        <charset val="1"/>
      </rPr>
      <t xml:space="preserve">(Chlorantraniliprole+Emamectin benzoate) [</t>
    </r>
    <r>
      <rPr>
        <sz val="10"/>
        <rFont val="WenQuanYi Zen Hei"/>
        <family val="2"/>
      </rPr>
      <t xml:space="preserve">학교 보유 중</t>
    </r>
    <r>
      <rPr>
        <sz val="10"/>
        <rFont val="맑은 고딕"/>
        <family val="0"/>
        <charset val="1"/>
      </rPr>
      <t xml:space="preserve">] 2000</t>
    </r>
    <r>
      <rPr>
        <sz val="10"/>
        <rFont val="WenQuanYi Zen Hei"/>
        <family val="2"/>
      </rPr>
      <t xml:space="preserve">배 희석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경엽처리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안전사용기준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일전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회</t>
    </r>
  </si>
  <si>
    <r>
      <rPr>
        <sz val="10"/>
        <rFont val="맑은 고딕"/>
        <family val="0"/>
        <charset val="1"/>
      </rPr>
      <t xml:space="preserve">PART 2. </t>
    </r>
    <r>
      <rPr>
        <sz val="10"/>
        <rFont val="WenQuanYi Zen Hei"/>
        <family val="2"/>
      </rPr>
      <t xml:space="preserve">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차먼지응애 로테이션표</t>
    </r>
  </si>
  <si>
    <r>
      <rPr>
        <sz val="10"/>
        <rFont val="WenQuanYi Zen Hei"/>
        <family val="2"/>
      </rPr>
      <t xml:space="preserve">참고자료 등록정보와 상이 — 희석배수 가이드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배</t>
    </r>
  </si>
  <si>
    <t xml:space="preserve">인도에마</t>
  </si>
  <si>
    <t xml:space="preserve">Emamectin benzoate+Indoxacarb</t>
  </si>
  <si>
    <t xml:space="preserve">6+22a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</si>
  <si>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전압의존 나트륨채널 차단제 </t>
    </r>
    <r>
      <rPr>
        <sz val="10"/>
        <rFont val="맑은 고딕"/>
        <family val="0"/>
        <charset val="1"/>
      </rPr>
      <t xml:space="preserve">- Oxadiazines(</t>
    </r>
    <r>
      <rPr>
        <sz val="10"/>
        <rFont val="WenQuanYi Zen Hei"/>
        <family val="2"/>
      </rPr>
      <t xml:space="preserve">인독사카브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</si>
  <si>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차먼지응애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담배나방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열대거세미나방</t>
    </r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</si>
  <si>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-156</t>
    </r>
  </si>
  <si>
    <r>
      <rPr>
        <sz val="10"/>
        <rFont val="WenQuanYi Zen Hei"/>
        <family val="2"/>
      </rPr>
      <t xml:space="preserve">인도에마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수화제</t>
    </r>
    <r>
      <rPr>
        <sz val="10"/>
        <rFont val="맑은 고딕"/>
        <family val="0"/>
        <charset val="1"/>
      </rPr>
      <t xml:space="preserve">)</t>
    </r>
  </si>
  <si>
    <t xml:space="preserve">인시피오</t>
  </si>
  <si>
    <r>
      <rPr>
        <sz val="10"/>
        <rFont val="WenQuanYi Zen Hei"/>
        <family val="2"/>
      </rPr>
      <t xml:space="preserve">참고자료 등록정보와 상이 — 희석배수 가이드 </t>
    </r>
    <r>
      <rPr>
        <sz val="10"/>
        <rFont val="맑은 고딕"/>
        <family val="0"/>
        <charset val="1"/>
      </rPr>
      <t xml:space="preserve">2,500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살충제 등록정보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시트에서 병해충명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상표명으로 전체 확인</t>
    </r>
  </si>
  <si>
    <t xml:space="preserve">Isocycloseram</t>
  </si>
  <si>
    <t xml:space="preserve">30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</si>
  <si>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30 GABA</t>
    </r>
    <r>
      <rPr>
        <sz val="10"/>
        <rFont val="WenQuanYi Zen Hei"/>
        <family val="2"/>
      </rPr>
      <t xml:space="preserve">개폐 염소채널 알로스테릭 조절제 </t>
    </r>
    <r>
      <rPr>
        <sz val="10"/>
        <rFont val="맑은 고딕"/>
        <family val="0"/>
        <charset val="1"/>
      </rPr>
      <t xml:space="preserve">- Isoxazolines/Meta-diamides</t>
    </r>
    <r>
      <rPr>
        <sz val="10"/>
        <rFont val="WenQuanYi Zen Hei"/>
        <family val="2"/>
      </rPr>
      <t xml:space="preserve">계</t>
    </r>
  </si>
  <si>
    <r>
      <rPr>
        <sz val="10"/>
        <rFont val="WenQuanYi Zen Hei"/>
        <family val="2"/>
      </rPr>
      <t xml:space="preserve">신젠타코리아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</si>
  <si>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-345</t>
    </r>
  </si>
  <si>
    <r>
      <rPr>
        <sz val="10"/>
        <rFont val="WenQuanYi Zen Hei"/>
        <family val="2"/>
      </rPr>
      <t xml:space="preserve">인시피오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액상수화제</t>
    </r>
    <r>
      <rPr>
        <sz val="10"/>
        <rFont val="맑은 고딕"/>
        <family val="0"/>
        <charset val="1"/>
      </rPr>
      <t xml:space="preserve">)</t>
    </r>
  </si>
  <si>
    <t xml:space="preserve">구매 필요 약제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</si>
  <si>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3,</t>
    </r>
    <r>
      <rPr>
        <sz val="10"/>
        <rFont val="WenQuanYi Zen Hei"/>
        <family val="2"/>
      </rPr>
      <t xml:space="preserve">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</si>
  <si>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세균점무늬병</t>
    </r>
  </si>
  <si>
    <t xml:space="preserve">가스란 수화제</t>
  </si>
  <si>
    <r>
      <rPr>
        <sz val="10"/>
        <rFont val="WenQuanYi Zen Hei"/>
        <family val="2"/>
      </rPr>
      <t xml:space="preserve">개요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구매 약제 전체 목록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추천표 중 학교 미보유분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</si>
  <si>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3, </t>
    </r>
    <r>
      <rPr>
        <sz val="10"/>
        <rFont val="WenQuanYi Zen Hei"/>
        <family val="2"/>
      </rPr>
      <t xml:space="preserve">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</si>
  <si>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갈색점무늬병</t>
    </r>
  </si>
  <si>
    <t xml:space="preserve">경탄 액상수화제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</si>
  <si>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1,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3, 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3+</t>
    </r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1</t>
    </r>
  </si>
  <si>
    <t xml:space="preserve">골든벨 액상수화제</t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</si>
  <si>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붉은썩음병</t>
    </r>
  </si>
  <si>
    <t xml:space="preserve">균디스 액상수화제</t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</si>
  <si>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거세미나방류</t>
    </r>
  </si>
  <si>
    <t xml:space="preserve">보라충 입제</t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</si>
  <si>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붉은썩음병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뿌리썩음병</t>
    </r>
  </si>
  <si>
    <t xml:space="preserve">스포르곤 수화제</t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</si>
  <si>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붉은썩음병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뿌리썩음병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탄저병</t>
    </r>
  </si>
  <si>
    <t xml:space="preserve">스포르곤 입제</t>
  </si>
  <si>
    <t xml:space="preserve">싸이포스 입제</t>
  </si>
  <si>
    <t xml:space="preserve">쏘버린 입제</t>
  </si>
  <si>
    <r>
      <rPr>
        <sz val="10"/>
        <rFont val="WenQuanYi Zen Hei"/>
        <family val="2"/>
      </rPr>
      <t xml:space="preserve">참고자료 등록정보와 상이 — 희석배수 가이드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</t>
    </r>
    <r>
      <rPr>
        <sz val="10"/>
        <rFont val="맑은 고딕"/>
        <family val="0"/>
        <charset val="1"/>
      </rPr>
      <t xml:space="preserve">4,000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</si>
  <si>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진딧물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목화진딧물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)</t>
    </r>
  </si>
  <si>
    <t xml:space="preserve">아라치 입상수화제</t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</si>
  <si>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갈색점무늬병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잿빛곰팡이병</t>
    </r>
  </si>
  <si>
    <t xml:space="preserve">오조아 수화제</t>
  </si>
  <si>
    <t xml:space="preserve">주렁 유제</t>
  </si>
  <si>
    <r>
      <rPr>
        <sz val="10"/>
        <rFont val="WenQuanYi Zen Hei"/>
        <family val="2"/>
      </rPr>
      <t xml:space="preserve">참고자료 등록정보와 상이 — 살포 방법 가이드 경엽처리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등록 토양처리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㎏</t>
    </r>
    <r>
      <rPr>
        <sz val="10"/>
        <rFont val="맑은 고딕"/>
        <family val="0"/>
        <charset val="1"/>
      </rPr>
      <t xml:space="preserve">/10a, </t>
    </r>
    <r>
      <rPr>
        <sz val="10"/>
        <rFont val="WenQuanYi Zen Hei"/>
        <family val="2"/>
      </rPr>
      <t xml:space="preserve">정식 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</si>
  <si>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온실가루이</t>
    </r>
  </si>
  <si>
    <t xml:space="preserve">코니도 수화제</t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</si>
  <si>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풋마름병</t>
    </r>
  </si>
  <si>
    <t xml:space="preserve">크린쏘일 입제</t>
  </si>
  <si>
    <r>
      <rPr>
        <sz val="10"/>
        <rFont val="WenQuanYi Zen Hei"/>
        <family val="2"/>
      </rPr>
      <t xml:space="preserve">해당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갈색무늬병</t>
    </r>
  </si>
  <si>
    <t xml:space="preserve">탄쟈비상 액상수화제</t>
  </si>
  <si>
    <t xml:space="preserve">유기농업자재</t>
  </si>
  <si>
    <t xml:space="preserve">한방싹충도사</t>
  </si>
  <si>
    <t xml:space="preserve">발생초기</t>
  </si>
  <si>
    <r>
      <rPr>
        <sz val="10"/>
        <rFont val="WenQuanYi Zen Hei"/>
        <family val="2"/>
      </rPr>
      <t xml:space="preserve">화학농약이 아닌 유기농업자재 — 등록 농약과 안전사용기준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법적 지위가 다름</t>
    </r>
  </si>
  <si>
    <r>
      <rPr>
        <sz val="10"/>
        <rFont val="WenQuanYi Zen Hei"/>
        <family val="2"/>
      </rPr>
      <t xml:space="preserve">오렌지추출물 </t>
    </r>
    <r>
      <rPr>
        <sz val="10"/>
        <rFont val="맑은 고딕"/>
        <family val="0"/>
        <charset val="1"/>
      </rPr>
      <t xml:space="preserve">15%+</t>
    </r>
    <r>
      <rPr>
        <sz val="10"/>
        <rFont val="WenQuanYi Zen Hei"/>
        <family val="2"/>
      </rPr>
      <t xml:space="preserve">파라핀오일 </t>
    </r>
    <r>
      <rPr>
        <sz val="10"/>
        <rFont val="맑은 고딕"/>
        <family val="0"/>
        <charset val="1"/>
      </rPr>
      <t xml:space="preserve">65%</t>
    </r>
  </si>
  <si>
    <t xml:space="preserve">61.7%</t>
  </si>
  <si>
    <r>
      <rPr>
        <sz val="10"/>
        <rFont val="WenQuanYi Zen Hei"/>
        <family val="2"/>
      </rPr>
      <t xml:space="preserve">농업회사법인 장수바이오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</si>
  <si>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t xml:space="preserve">063-351-4081</t>
  </si>
  <si>
    <r>
      <rPr>
        <sz val="10"/>
        <rFont val="WenQuanYi Zen Hei"/>
        <family val="2"/>
      </rPr>
      <t xml:space="preserve">관련 병해충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방제가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고추</t>
    </r>
    <r>
      <rPr>
        <sz val="10"/>
        <rFont val="맑은 고딕"/>
        <family val="0"/>
        <charset val="1"/>
      </rPr>
      <t xml:space="preserve">, 61.7%)</t>
    </r>
    <r>
      <rPr>
        <sz val="10"/>
        <rFont val="WenQuanYi Zen Hei"/>
        <family val="2"/>
      </rPr>
      <t xml:space="preserve">온실가루이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오이 시험</t>
    </r>
    <r>
      <rPr>
        <sz val="10"/>
        <rFont val="맑은 고딕"/>
        <family val="0"/>
        <charset val="1"/>
      </rPr>
      <t xml:space="preserve">, 60%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희석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처리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1,000</t>
    </r>
    <r>
      <rPr>
        <sz val="10"/>
        <rFont val="WenQuanYi Zen Hei"/>
        <family val="2"/>
      </rPr>
      <t xml:space="preserve">배 희석경엽처리</t>
    </r>
  </si>
  <si>
    <r>
      <rPr>
        <sz val="10"/>
        <rFont val="WenQuanYi Zen Hei"/>
        <family val="2"/>
      </rPr>
      <t xml:space="preserve">공시</t>
    </r>
    <r>
      <rPr>
        <sz val="10"/>
        <rFont val="맑은 고딕"/>
        <family val="0"/>
        <charset val="1"/>
      </rPr>
      <t xml:space="preserve">-3-6-054(</t>
    </r>
    <r>
      <rPr>
        <sz val="10"/>
        <rFont val="WenQuanYi Zen Hei"/>
        <family val="2"/>
      </rPr>
      <t xml:space="preserve">공시</t>
    </r>
    <r>
      <rPr>
        <sz val="10"/>
        <rFont val="맑은 고딕"/>
        <family val="0"/>
        <charset val="1"/>
      </rPr>
      <t xml:space="preserve">-1-6-036)</t>
    </r>
  </si>
  <si>
    <t xml:space="preserve">병해충관리용</t>
  </si>
  <si>
    <r>
      <rPr>
        <sz val="10"/>
        <rFont val="WenQuanYi Zen Hei"/>
        <family val="2"/>
      </rPr>
      <t xml:space="preserve">식물추출물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파라핀오일</t>
    </r>
  </si>
  <si>
    <t xml:space="preserve">330-87-00896</t>
  </si>
  <si>
    <r>
      <rPr>
        <sz val="10"/>
        <rFont val="맑은 고딕"/>
        <family val="0"/>
        <charset val="1"/>
      </rPr>
      <t xml:space="preserve">- (</t>
    </r>
    <r>
      <rPr>
        <sz val="10"/>
        <rFont val="WenQuanYi Zen Hei"/>
        <family val="2"/>
      </rPr>
      <t xml:space="preserve">미기재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</si>
  <si>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전북특별자치도 장수군 장수읍 논개로 </t>
    </r>
    <r>
      <rPr>
        <sz val="10"/>
        <rFont val="맑은 고딕"/>
        <family val="0"/>
        <charset val="1"/>
      </rPr>
      <t xml:space="preserve">242-10</t>
    </r>
  </si>
  <si>
    <t xml:space="preserve">없음</t>
  </si>
  <si>
    <r>
      <rPr>
        <sz val="10"/>
        <rFont val="WenQuanYi Zen Hei"/>
        <family val="2"/>
      </rPr>
      <t xml:space="preserve">문서 앞부분 요약표 </t>
    </r>
    <r>
      <rPr>
        <sz val="10"/>
        <rFont val="맑은 고딕"/>
        <family val="0"/>
        <charset val="1"/>
      </rPr>
      <t xml:space="preserve">· PART 3. </t>
    </r>
    <r>
      <rPr>
        <sz val="10"/>
        <rFont val="WenQuanYi Zen Hei"/>
        <family val="2"/>
      </rPr>
      <t xml:space="preserve">유기농업자재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요약 비교표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동일 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수록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</si>
  <si>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국립농산물품질관리원 유기농업자재 공시현황</t>
    </r>
    <r>
      <rPr>
        <sz val="10"/>
        <rFont val="맑은 고딕"/>
        <family val="0"/>
        <charset val="1"/>
      </rPr>
      <t xml:space="preserve">(naqs.go.kr)</t>
    </r>
  </si>
  <si>
    <r>
      <rPr>
        <sz val="10"/>
        <rFont val="WenQuanYi Zen Hei"/>
        <family val="2"/>
      </rPr>
      <t xml:space="preserve">오이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</si>
  <si>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고추가 아닌 오이 시험 결과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화학농약이 아닌 유기농업자재 — 등록 농약과 안전사용기준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법적 지위가 다름</t>
    </r>
  </si>
  <si>
    <r>
      <rPr>
        <sz val="10"/>
        <rFont val="맑은 고딕"/>
        <family val="0"/>
        <charset val="1"/>
      </rPr>
      <t xml:space="preserve">60% </t>
    </r>
    <r>
      <rPr>
        <sz val="10"/>
        <rFont val="WenQuanYi Zen Hei"/>
        <family val="2"/>
      </rPr>
      <t xml:space="preserve">이상</t>
    </r>
  </si>
  <si>
    <t xml:space="preserve">뉴응칠이</t>
  </si>
  <si>
    <t xml:space="preserve">생육기</t>
  </si>
  <si>
    <r>
      <rPr>
        <sz val="10"/>
        <rFont val="WenQuanYi Zen Hei"/>
        <family val="2"/>
      </rPr>
      <t xml:space="preserve">화학농약이 아닌 유기농업자재 — 등록 농약과 안전사용기준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법적 지위가 다름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접촉성 제제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잎 뒷면까지 흠뻑 살포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강알칼리성 제제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석회보르도액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유황합제 혼용 금지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꿀벌 활동에 영향 가능</t>
    </r>
  </si>
  <si>
    <r>
      <rPr>
        <sz val="10"/>
        <rFont val="WenQuanYi Zen Hei"/>
        <family val="2"/>
      </rPr>
      <t xml:space="preserve">유칼립투스오일 </t>
    </r>
    <r>
      <rPr>
        <sz val="10"/>
        <rFont val="맑은 고딕"/>
        <family val="0"/>
        <charset val="1"/>
      </rPr>
      <t xml:space="preserve">30%+</t>
    </r>
    <r>
      <rPr>
        <sz val="10"/>
        <rFont val="WenQuanYi Zen Hei"/>
        <family val="2"/>
      </rPr>
      <t xml:space="preserve">고삼추출물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</si>
  <si>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</t>
    </r>
  </si>
  <si>
    <t xml:space="preserve">고려바이오㈜</t>
  </si>
  <si>
    <t xml:space="preserve">031-354-8183</t>
  </si>
  <si>
    <r>
      <rPr>
        <sz val="10"/>
        <rFont val="WenQuanYi Zen Hei"/>
        <family val="2"/>
      </rPr>
      <t xml:space="preserve">관련 병해충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방제가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고추</t>
    </r>
    <r>
      <rPr>
        <sz val="10"/>
        <rFont val="맑은 고딕"/>
        <family val="0"/>
        <charset val="1"/>
      </rPr>
      <t xml:space="preserve">, 50%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온실가루이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오이 시험</t>
    </r>
    <r>
      <rPr>
        <sz val="10"/>
        <rFont val="맑은 고딕"/>
        <family val="0"/>
        <charset val="1"/>
      </rPr>
      <t xml:space="preserve">, 50%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희석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처리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): 1,000</t>
    </r>
    <r>
      <rPr>
        <sz val="10"/>
        <rFont val="WenQuanYi Zen Hei"/>
        <family val="2"/>
      </rPr>
      <t xml:space="preserve">배 희석경엽처리</t>
    </r>
  </si>
  <si>
    <r>
      <rPr>
        <sz val="10"/>
        <rFont val="WenQuanYi Zen Hei"/>
        <family val="2"/>
      </rPr>
      <t xml:space="preserve">공시</t>
    </r>
    <r>
      <rPr>
        <sz val="10"/>
        <rFont val="맑은 고딕"/>
        <family val="0"/>
        <charset val="1"/>
      </rPr>
      <t xml:space="preserve">-2-6-061</t>
    </r>
  </si>
  <si>
    <r>
      <rPr>
        <sz val="10"/>
        <rFont val="WenQuanYi Zen Hei"/>
        <family val="2"/>
      </rPr>
      <t xml:space="preserve">식물성오일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식물추출물</t>
    </r>
  </si>
  <si>
    <t xml:space="preserve">124-86-37020</t>
  </si>
  <si>
    <t xml:space="preserve">있음</t>
  </si>
  <si>
    <r>
      <rPr>
        <sz val="10"/>
        <rFont val="WenQuanYi Zen Hei"/>
        <family val="2"/>
      </rPr>
      <t xml:space="preserve">경기도 화성시 효행구 정남면 정남동로 </t>
    </r>
    <r>
      <rPr>
        <sz val="10"/>
        <rFont val="맑은 고딕"/>
        <family val="0"/>
        <charset val="1"/>
      </rPr>
      <t xml:space="preserve">346</t>
    </r>
  </si>
  <si>
    <r>
      <rPr>
        <sz val="10"/>
        <rFont val="WenQuanYi Zen Hei"/>
        <family val="2"/>
      </rPr>
      <t xml:space="preserve">고추가 아닌 오이 시험 결과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화학농약이 아닌 유기농업자재 — 등록 농약과 안전사용기준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법적 지위가 다름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접촉성 제제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잎 뒷면까지 흠뻑 살포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강알칼리성 제제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석회보르도액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유황합제 혼용 금지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꿀벌 활동에 영향 가능</t>
    </r>
  </si>
  <si>
    <r>
      <rPr>
        <sz val="10"/>
        <rFont val="WenQuanYi Zen Hei"/>
        <family val="2"/>
      </rPr>
      <t xml:space="preserve">유기농업자재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기타 방제효과</t>
    </r>
    <r>
      <rPr>
        <sz val="10"/>
        <rFont val="맑은 고딕"/>
        <family val="0"/>
        <charset val="1"/>
      </rPr>
      <t xml:space="preserve">)</t>
    </r>
  </si>
  <si>
    <t xml:space="preserve">딸기</t>
  </si>
  <si>
    <t xml:space="preserve">점박이응애</t>
  </si>
  <si>
    <r>
      <rPr>
        <sz val="10"/>
        <rFont val="WenQuanYi Zen Hei"/>
        <family val="2"/>
      </rPr>
      <t xml:space="preserve">오렌지추출물 </t>
    </r>
    <r>
      <rPr>
        <sz val="10"/>
        <rFont val="맑은 고딕"/>
        <family val="0"/>
        <charset val="1"/>
      </rPr>
      <t xml:space="preserve">15%, </t>
    </r>
    <r>
      <rPr>
        <sz val="10"/>
        <rFont val="WenQuanYi Zen Hei"/>
        <family val="2"/>
      </rPr>
      <t xml:space="preserve">파라핀오일 </t>
    </r>
    <r>
      <rPr>
        <sz val="10"/>
        <rFont val="맑은 고딕"/>
        <family val="0"/>
        <charset val="1"/>
      </rPr>
      <t xml:space="preserve">65%</t>
    </r>
  </si>
  <si>
    <t xml:space="preserve">67.5%</t>
  </si>
  <si>
    <r>
      <rPr>
        <sz val="10"/>
        <rFont val="맑은 고딕"/>
        <family val="0"/>
        <charset val="1"/>
      </rPr>
      <t xml:space="preserve">PART 3. </t>
    </r>
    <r>
      <rPr>
        <sz val="10"/>
        <rFont val="WenQuanYi Zen Hei"/>
        <family val="2"/>
      </rPr>
      <t xml:space="preserve">유기농업자재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한방싹충도사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병해충관리용</t>
    </r>
    <r>
      <rPr>
        <sz val="10"/>
        <rFont val="맑은 고딕"/>
        <family val="0"/>
        <charset val="1"/>
      </rPr>
      <t xml:space="preserve">)</t>
    </r>
  </si>
  <si>
    <t xml:space="preserve">배</t>
  </si>
  <si>
    <t xml:space="preserve">조팝나무진딧물</t>
  </si>
  <si>
    <t xml:space="preserve">77.4%</t>
  </si>
  <si>
    <t xml:space="preserve">양배추</t>
  </si>
  <si>
    <t xml:space="preserve">배추흰나비</t>
  </si>
  <si>
    <t xml:space="preserve">65.9%</t>
  </si>
  <si>
    <t xml:space="preserve">복숭아</t>
  </si>
  <si>
    <t xml:space="preserve">복숭아순나방</t>
  </si>
  <si>
    <t xml:space="preserve">60.0%</t>
  </si>
  <si>
    <t xml:space="preserve">포도</t>
  </si>
  <si>
    <t xml:space="preserve">꽃매미</t>
  </si>
  <si>
    <t xml:space="preserve">62.8%</t>
  </si>
  <si>
    <t xml:space="preserve">사과</t>
  </si>
  <si>
    <t xml:space="preserve">갈색날개매미충</t>
  </si>
  <si>
    <t xml:space="preserve">65.8%</t>
  </si>
  <si>
    <t xml:space="preserve">오이</t>
  </si>
  <si>
    <t xml:space="preserve">감귤</t>
  </si>
  <si>
    <t xml:space="preserve">이세리아깍지벌레</t>
  </si>
  <si>
    <r>
      <rPr>
        <sz val="10"/>
        <rFont val="WenQuanYi Zen Hei"/>
        <family val="2"/>
      </rPr>
      <t xml:space="preserve">유칼립투스오일 </t>
    </r>
    <r>
      <rPr>
        <sz val="10"/>
        <rFont val="맑은 고딕"/>
        <family val="0"/>
        <charset val="1"/>
      </rPr>
      <t xml:space="preserve">30%, </t>
    </r>
    <r>
      <rPr>
        <sz val="10"/>
        <rFont val="WenQuanYi Zen Hei"/>
        <family val="2"/>
      </rPr>
      <t xml:space="preserve">고삼추출물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</si>
  <si>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맑은 고딕"/>
        <family val="0"/>
        <charset val="1"/>
      </rPr>
      <t xml:space="preserve">PART 3. </t>
    </r>
    <r>
      <rPr>
        <sz val="10"/>
        <rFont val="WenQuanYi Zen Hei"/>
        <family val="2"/>
      </rPr>
      <t xml:space="preserve">유기농업자재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뉴응칠이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병해충관리용</t>
    </r>
    <r>
      <rPr>
        <sz val="10"/>
        <rFont val="맑은 고딕"/>
        <family val="0"/>
        <charset val="1"/>
      </rPr>
      <t xml:space="preserve">)</t>
    </r>
  </si>
  <si>
    <t xml:space="preserve">아메리카잎굴파리</t>
  </si>
  <si>
    <t xml:space="preserve">흰가루병</t>
  </si>
  <si>
    <t xml:space="preserve">블루베리</t>
  </si>
  <si>
    <t xml:space="preserve">미국선녀벌레</t>
  </si>
  <si>
    <t xml:space="preserve">혼용 가능 조합</t>
  </si>
  <si>
    <t xml:space="preserve">혼용정보</t>
  </si>
  <si>
    <t xml:space="preserve">가능</t>
  </si>
  <si>
    <r>
      <rPr>
        <sz val="10"/>
        <rFont val="WenQuanYi Zen Hei"/>
        <family val="2"/>
      </rPr>
      <t xml:space="preserve">가이드 내 위치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갈색무늬병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</t>
    </r>
  </si>
  <si>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탄쟈비상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학교 미보유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구매 필요</t>
    </r>
  </si>
  <si>
    <r>
      <rPr>
        <sz val="10"/>
        <rFont val="맑은 고딕"/>
        <family val="0"/>
        <charset val="1"/>
      </rPr>
      <t xml:space="preserve">PART 4. </t>
    </r>
    <r>
      <rPr>
        <sz val="10"/>
        <rFont val="WenQuanYi Zen Hei"/>
        <family val="2"/>
      </rPr>
      <t xml:space="preserve">혼용 가능 조합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확인된 조합</t>
    </r>
  </si>
  <si>
    <r>
      <rPr>
        <sz val="10"/>
        <rFont val="맑은 고딕"/>
        <family val="0"/>
        <charset val="1"/>
      </rPr>
      <t xml:space="preserve">knco.co.kr/product/product_09 (</t>
    </r>
    <r>
      <rPr>
        <sz val="10"/>
        <rFont val="WenQuanYi Zen Hei"/>
        <family val="2"/>
      </rPr>
      <t xml:space="preserve">경농 혼용안내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고추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</si>
  <si>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가이드 내 위치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탄저병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</t>
    </r>
  </si>
  <si>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벨리스플러스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학교 보유 중</t>
    </r>
  </si>
  <si>
    <r>
      <rPr>
        <sz val="10"/>
        <rFont val="WenQuanYi Zen Hei"/>
        <family val="2"/>
      </rPr>
      <t xml:space="preserve">가이드 내 위치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탄저병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순위</t>
    </r>
  </si>
  <si>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다놀라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학교 보유 중</t>
    </r>
  </si>
  <si>
    <r>
      <rPr>
        <sz val="10"/>
        <rFont val="WenQuanYi Zen Hei"/>
        <family val="2"/>
      </rPr>
      <t xml:space="preserve">가이드 내 위치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탄저병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순위</t>
    </r>
  </si>
  <si>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벨쿠트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학교 보유 중</t>
    </r>
  </si>
  <si>
    <r>
      <rPr>
        <sz val="10"/>
        <rFont val="WenQuanYi Zen Hei"/>
        <family val="2"/>
      </rPr>
      <t xml:space="preserve">가이드 내 위치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세균점무늬병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순위</t>
    </r>
  </si>
  <si>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가스란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학교 미보유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구매 필요</t>
    </r>
  </si>
  <si>
    <r>
      <rPr>
        <sz val="10"/>
        <rFont val="맑은 고딕"/>
        <family val="0"/>
        <charset val="1"/>
      </rPr>
      <t xml:space="preserve">PART 4. </t>
    </r>
    <r>
      <rPr>
        <sz val="10"/>
        <rFont val="WenQuanYi Zen Hei"/>
        <family val="2"/>
      </rPr>
      <t xml:space="preserve">혼용 가능 조합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바이엘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코니도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타스타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공식 혼용정보</t>
    </r>
  </si>
  <si>
    <r>
      <rPr>
        <sz val="10"/>
        <rFont val="맑은 고딕"/>
        <family val="0"/>
        <charset val="1"/>
      </rPr>
      <t xml:space="preserve">farmhannong.com/kor/product/mix-info (</t>
    </r>
    <r>
      <rPr>
        <sz val="10"/>
        <rFont val="WenQuanYi Zen Hei"/>
        <family val="2"/>
      </rPr>
      <t xml:space="preserve">바이엘 혼용기술정보 </t>
    </r>
    <r>
      <rPr>
        <sz val="10"/>
        <rFont val="맑은 고딕"/>
        <family val="0"/>
        <charset val="1"/>
      </rPr>
      <t xml:space="preserve">2025)</t>
    </r>
  </si>
  <si>
    <t xml:space="preserve">타스타</t>
  </si>
  <si>
    <r>
      <rPr>
        <sz val="10"/>
        <rFont val="WenQuanYi Zen Hei"/>
        <family val="2"/>
      </rPr>
      <t xml:space="preserve">살균제 조합 자체가 공식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살균제와 섞지 말 것</t>
    </r>
  </si>
  <si>
    <r>
      <rPr>
        <sz val="10"/>
        <rFont val="WenQuanYi Zen Hei"/>
        <family val="2"/>
      </rPr>
      <t xml:space="preserve">조합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섞지 말 것</t>
    </r>
    <r>
      <rPr>
        <sz val="10"/>
        <rFont val="맑은 고딕"/>
        <family val="0"/>
        <charset val="1"/>
      </rPr>
      <t xml:space="preserve">)</t>
    </r>
  </si>
  <si>
    <t xml:space="preserve">혼용정보 확인결과</t>
  </si>
  <si>
    <t xml:space="preserve">미확인</t>
  </si>
  <si>
    <t xml:space="preserve">동방아그로</t>
  </si>
  <si>
    <t xml:space="preserve">1644-7337</t>
  </si>
  <si>
    <r>
      <rPr>
        <sz val="10"/>
        <rFont val="WenQuanYi Zen Hei"/>
        <family val="2"/>
      </rPr>
      <t xml:space="preserve">자사 제품혼용표 도구에서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버픽스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검색 → 전체 작물 통틀어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아직 표에 등록이 안 된 신제품으로 보임</t>
    </r>
  </si>
  <si>
    <r>
      <rPr>
        <sz val="10"/>
        <rFont val="맑은 고딕"/>
        <family val="0"/>
        <charset val="1"/>
      </rPr>
      <t xml:space="preserve">PART 4. </t>
    </r>
    <r>
      <rPr>
        <sz val="10"/>
        <rFont val="WenQuanYi Zen Hei"/>
        <family val="2"/>
      </rPr>
      <t xml:space="preserve">혼용 가능 조합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버픽스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무름반점뚝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강철비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끝까지 확인한 결과</t>
    </r>
  </si>
  <si>
    <t xml:space="preserve">dongbangagro.co.kr/product_combined.php · dae-yu.co.kr · enbio.co.kr</t>
  </si>
  <si>
    <t xml:space="preserve">대유</t>
  </si>
  <si>
    <r>
      <rPr>
        <sz val="10"/>
        <rFont val="WenQuanYi Zen Hei"/>
        <family val="2"/>
      </rPr>
      <t xml:space="preserve">회사 사이트에 혼용정보 코너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제품 상세페이지에도 혼용 관련 내용 없음</t>
    </r>
  </si>
  <si>
    <t xml:space="preserve">인바이오</t>
  </si>
  <si>
    <t xml:space="preserve">031-477-6011</t>
  </si>
  <si>
    <r>
      <rPr>
        <sz val="10"/>
        <rFont val="WenQuanYi Zen Hei"/>
        <family val="2"/>
      </rPr>
      <t xml:space="preserve">자사 혼용가부표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살충제용 두 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도합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개 이상 조합 수록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처음부터 끝까지 다 읽었으나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강철비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어디에도 없음</t>
    </r>
  </si>
  <si>
    <t xml:space="preserve">상표명</t>
  </si>
  <si>
    <t xml:space="preserve">품목명</t>
  </si>
  <si>
    <r>
      <rPr>
        <b val="true"/>
        <sz val="10"/>
        <color rgb="FFFFFFFF"/>
        <rFont val="WenQuanYi Zen Hei"/>
        <family val="2"/>
      </rPr>
      <t xml:space="preserve">일반명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유효성분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</si>
  <si>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유효성분 함유량</t>
  </si>
  <si>
    <t xml:space="preserve">연암대 보유여부</t>
  </si>
  <si>
    <t xml:space="preserve">선발 표시</t>
  </si>
  <si>
    <t xml:space="preserve">가이드 추천 순위</t>
  </si>
  <si>
    <t xml:space="preserve">용도</t>
  </si>
  <si>
    <t xml:space="preserve">사용적기</t>
  </si>
  <si>
    <t xml:space="preserve">사용방법</t>
  </si>
  <si>
    <r>
      <rPr>
        <b val="true"/>
        <sz val="10"/>
        <color rgb="FFFFFFFF"/>
        <rFont val="WenQuanYi Zen Hei"/>
        <family val="2"/>
      </rPr>
      <t xml:space="preserve">안전사용기준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</si>
  <si>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안전사용기준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횟수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</si>
  <si>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</si>
  <si>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법인명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상호명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</si>
  <si>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등록일</t>
  </si>
  <si>
    <t xml:space="preserve">참고자료 시트</t>
  </si>
  <si>
    <t xml:space="preserve">마샬</t>
  </si>
  <si>
    <t xml:space="preserve">카보설판 입제</t>
  </si>
  <si>
    <t xml:space="preserve">3%</t>
  </si>
  <si>
    <t xml:space="preserve">살충</t>
  </si>
  <si>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㎏</t>
    </r>
    <r>
      <rPr>
        <sz val="10"/>
        <rFont val="맑은 고딕"/>
        <family val="0"/>
        <charset val="1"/>
      </rPr>
      <t xml:space="preserve">/10a</t>
    </r>
  </si>
  <si>
    <t xml:space="preserve">정식 전</t>
  </si>
  <si>
    <t xml:space="preserve">제조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</si>
  <si>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-206</t>
    </r>
  </si>
  <si>
    <r>
      <rPr>
        <sz val="10"/>
        <rFont val="WenQuanYi Zen Hei"/>
        <family val="2"/>
      </rPr>
      <t xml:space="preserve">작용기작별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전체목록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</si>
  <si>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</t>
    </r>
  </si>
  <si>
    <t xml:space="preserve">폭심 입제</t>
  </si>
  <si>
    <t xml:space="preserve">2%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</si>
  <si>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순위</t>
    </r>
  </si>
  <si>
    <t xml:space="preserve">1b+1b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</si>
  <si>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Organophosphates(</t>
    </r>
    <r>
      <rPr>
        <sz val="10"/>
        <rFont val="WenQuanYi Zen Hei"/>
        <family val="2"/>
      </rPr>
      <t xml:space="preserve">유기인계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Organophosphates(</t>
    </r>
    <r>
      <rPr>
        <sz val="10"/>
        <rFont val="WenQuanYi Zen Hei"/>
        <family val="2"/>
      </rPr>
      <t xml:space="preserve">유기인계</t>
    </r>
    <r>
      <rPr>
        <sz val="10"/>
        <rFont val="맑은 고딕"/>
        <family val="0"/>
        <charset val="1"/>
      </rPr>
      <t xml:space="preserve">)</t>
    </r>
  </si>
  <si>
    <t xml:space="preserve">토지탄</t>
  </si>
  <si>
    <r>
      <rPr>
        <sz val="10"/>
        <rFont val="WenQuanYi Zen Hei"/>
        <family val="2"/>
      </rPr>
      <t xml:space="preserve">포레이트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터부포스 입제</t>
    </r>
  </si>
  <si>
    <t xml:space="preserve">Phorate+Terbufos</t>
  </si>
  <si>
    <t xml:space="preserve">4.5(2+2.5)%</t>
  </si>
  <si>
    <r>
      <rPr>
        <sz val="10"/>
        <rFont val="WenQuanYi Zen Hei"/>
        <family val="2"/>
      </rPr>
      <t xml:space="preserve">Ⅲ급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보통독성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</si>
  <si>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-285</t>
    </r>
  </si>
  <si>
    <r>
      <rPr>
        <sz val="10"/>
        <rFont val="WenQuanYi Zen Hei"/>
        <family val="2"/>
      </rPr>
      <t xml:space="preserve">사이퍼메트린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테부피림포스 입제</t>
    </r>
  </si>
  <si>
    <t xml:space="preserve">2.2(0.2+2)%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</si>
  <si>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순위</t>
    </r>
  </si>
  <si>
    <t xml:space="preserve">충근이</t>
  </si>
  <si>
    <r>
      <rPr>
        <sz val="10"/>
        <rFont val="WenQuanYi Zen Hei"/>
        <family val="2"/>
      </rPr>
      <t xml:space="preserve">비펜트린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폭심 입제</t>
    </r>
  </si>
  <si>
    <t xml:space="preserve">Bifenthrin.Phoxim</t>
  </si>
  <si>
    <t xml:space="preserve">1.6(0.1+1.5)%</t>
  </si>
  <si>
    <t xml:space="preserve">정식전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</si>
  <si>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하나바이오</t>
    </r>
  </si>
  <si>
    <r>
      <rPr>
        <sz val="10"/>
        <rFont val="맑은 고딕"/>
        <family val="0"/>
        <charset val="1"/>
      </rPr>
      <t xml:space="preserve">60-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</t>
    </r>
  </si>
  <si>
    <t xml:space="preserve">포트리스</t>
  </si>
  <si>
    <r>
      <rPr>
        <sz val="10"/>
        <rFont val="WenQuanYi Zen Hei"/>
        <family val="2"/>
      </rPr>
      <t xml:space="preserve">람다사이할로트린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테부피림포스 입제</t>
    </r>
  </si>
  <si>
    <t xml:space="preserve">Lambda-cyhalothrin+Tebupirimfos</t>
  </si>
  <si>
    <t xml:space="preserve">2.1(0.1+2)%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</si>
  <si>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동방아그로</t>
    </r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</si>
  <si>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-410</t>
    </r>
  </si>
  <si>
    <r>
      <rPr>
        <sz val="10"/>
        <rFont val="WenQuanYi Zen Hei"/>
        <family val="2"/>
      </rPr>
      <t xml:space="preserve">사</t>
    </r>
    <r>
      <rPr>
        <sz val="10"/>
        <rFont val="맑은 고딕"/>
        <family val="0"/>
        <charset val="1"/>
      </rPr>
      <t xml:space="preserve">1+1b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</si>
  <si>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살균 병용성분</t>
    </r>
    <r>
      <rPr>
        <sz val="10"/>
        <rFont val="맑은 고딕"/>
        <family val="0"/>
        <charset val="1"/>
      </rPr>
      <t xml:space="preserve">/IRAC </t>
    </r>
    <r>
      <rPr>
        <sz val="10"/>
        <rFont val="WenQuanYi Zen Hei"/>
        <family val="2"/>
      </rPr>
      <t xml:space="preserve">비대상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트리아졸계 </t>
    </r>
    <r>
      <rPr>
        <sz val="10"/>
        <rFont val="맑은 고딕"/>
        <family val="0"/>
        <charset val="1"/>
      </rPr>
      <t xml:space="preserve">DMI(</t>
    </r>
    <r>
      <rPr>
        <sz val="10"/>
        <rFont val="WenQuanYi Zen Hei"/>
        <family val="2"/>
      </rPr>
      <t xml:space="preserve">테부코나졸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디페노코나졸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Organophosphates(</t>
    </r>
    <r>
      <rPr>
        <sz val="10"/>
        <rFont val="WenQuanYi Zen Hei"/>
        <family val="2"/>
      </rPr>
      <t xml:space="preserve">유기인계</t>
    </r>
    <r>
      <rPr>
        <sz val="10"/>
        <rFont val="맑은 고딕"/>
        <family val="0"/>
        <charset val="1"/>
      </rPr>
      <t xml:space="preserve">)</t>
    </r>
  </si>
  <si>
    <t xml:space="preserve">통타</t>
  </si>
  <si>
    <r>
      <rPr>
        <sz val="10"/>
        <rFont val="WenQuanYi Zen Hei"/>
        <family val="2"/>
      </rPr>
      <t xml:space="preserve">테부코나졸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터부포스 입제</t>
    </r>
  </si>
  <si>
    <t xml:space="preserve">Tebuconazole+Terbufos</t>
  </si>
  <si>
    <t xml:space="preserve">4(1+3)%</t>
  </si>
  <si>
    <t xml:space="preserve">균충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</si>
  <si>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균충</t>
    </r>
    <r>
      <rPr>
        <sz val="10"/>
        <rFont val="맑은 고딕"/>
        <family val="0"/>
        <charset val="1"/>
      </rPr>
      <t xml:space="preserve">-419</t>
    </r>
  </si>
  <si>
    <r>
      <rPr>
        <sz val="10"/>
        <rFont val="WenQuanYi Zen Hei"/>
        <family val="2"/>
      </rPr>
      <t xml:space="preserve">사</t>
    </r>
    <r>
      <rPr>
        <sz val="10"/>
        <rFont val="맑은 고딕"/>
        <family val="0"/>
        <charset val="1"/>
      </rPr>
      <t xml:space="preserve">1+3a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</si>
  <si>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살균 병용성분</t>
    </r>
    <r>
      <rPr>
        <sz val="10"/>
        <rFont val="맑은 고딕"/>
        <family val="0"/>
        <charset val="1"/>
      </rPr>
      <t xml:space="preserve">/IRAC </t>
    </r>
    <r>
      <rPr>
        <sz val="10"/>
        <rFont val="WenQuanYi Zen Hei"/>
        <family val="2"/>
      </rPr>
      <t xml:space="preserve">비대상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트리아졸계 </t>
    </r>
    <r>
      <rPr>
        <sz val="10"/>
        <rFont val="맑은 고딕"/>
        <family val="0"/>
        <charset val="1"/>
      </rPr>
      <t xml:space="preserve">DMI(</t>
    </r>
    <r>
      <rPr>
        <sz val="10"/>
        <rFont val="WenQuanYi Zen Hei"/>
        <family val="2"/>
      </rPr>
      <t xml:space="preserve">테부코나졸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디페노코나졸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</t>
    </r>
  </si>
  <si>
    <t xml:space="preserve">토마호크</t>
  </si>
  <si>
    <r>
      <rPr>
        <sz val="10"/>
        <rFont val="WenQuanYi Zen Hei"/>
        <family val="2"/>
      </rPr>
      <t xml:space="preserve">테부코나졸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람다사이할로트린 입제</t>
    </r>
  </si>
  <si>
    <t xml:space="preserve">Tebuconazole+Lambda-cyhalothrin</t>
  </si>
  <si>
    <t xml:space="preserve">1.8(1.5+0.3)%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</si>
  <si>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㎏</t>
    </r>
    <r>
      <rPr>
        <sz val="10"/>
        <rFont val="맑은 고딕"/>
        <family val="0"/>
        <charset val="1"/>
      </rPr>
      <t xml:space="preserve">/10a</t>
    </r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</si>
  <si>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균충</t>
    </r>
    <r>
      <rPr>
        <sz val="10"/>
        <rFont val="맑은 고딕"/>
        <family val="0"/>
        <charset val="1"/>
      </rPr>
      <t xml:space="preserve">-33</t>
    </r>
  </si>
  <si>
    <t xml:space="preserve">15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</si>
  <si>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15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(CHS1) - Benzoylureas(</t>
    </r>
    <r>
      <rPr>
        <sz val="10"/>
        <rFont val="WenQuanYi Zen Hei"/>
        <family val="2"/>
      </rPr>
      <t xml:space="preserve">벤조일우레아계</t>
    </r>
    <r>
      <rPr>
        <sz val="10"/>
        <rFont val="맑은 고딕"/>
        <family val="0"/>
        <charset val="1"/>
      </rPr>
      <t xml:space="preserve">)</t>
    </r>
  </si>
  <si>
    <t xml:space="preserve">라이몬</t>
  </si>
  <si>
    <r>
      <rPr>
        <sz val="10"/>
        <rFont val="WenQuanYi Zen Hei"/>
        <family val="2"/>
      </rPr>
      <t xml:space="preserve">노발루론 액상수화제 </t>
    </r>
    <r>
      <rPr>
        <sz val="10"/>
        <rFont val="맑은 고딕"/>
        <family val="0"/>
        <charset val="1"/>
      </rPr>
      <t xml:space="preserve">10 %</t>
    </r>
  </si>
  <si>
    <r>
      <rPr>
        <sz val="10"/>
        <rFont val="WenQuanYi Zen Hei"/>
        <family val="2"/>
      </rPr>
      <t xml:space="preserve">노발루론 </t>
    </r>
    <r>
      <rPr>
        <sz val="10"/>
        <rFont val="맑은 고딕"/>
        <family val="0"/>
        <charset val="1"/>
      </rPr>
      <t xml:space="preserve">(Novaluron)</t>
    </r>
  </si>
  <si>
    <t xml:space="preserve">10%</t>
  </si>
  <si>
    <t xml:space="preserve">선발</t>
  </si>
  <si>
    <r>
      <rPr>
        <sz val="10"/>
        <rFont val="WenQuanYi Zen Hei"/>
        <family val="2"/>
      </rPr>
      <t xml:space="preserve">작용기작별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전체목록 </t>
    </r>
    <r>
      <rPr>
        <sz val="10"/>
        <rFont val="맑은 고딕"/>
        <family val="0"/>
        <charset val="1"/>
      </rPr>
      <t xml:space="preserve">· Sheet1</t>
    </r>
  </si>
  <si>
    <t xml:space="preserve">22a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</si>
  <si>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전압의존 나트륨채널 차단제 </t>
    </r>
    <r>
      <rPr>
        <sz val="10"/>
        <rFont val="맑은 고딕"/>
        <family val="0"/>
        <charset val="1"/>
      </rPr>
      <t xml:space="preserve">- Oxadiazines(</t>
    </r>
    <r>
      <rPr>
        <sz val="10"/>
        <rFont val="WenQuanYi Zen Hei"/>
        <family val="2"/>
      </rPr>
      <t xml:space="preserve">인독사카브</t>
    </r>
    <r>
      <rPr>
        <sz val="10"/>
        <rFont val="맑은 고딕"/>
        <family val="0"/>
        <charset val="1"/>
      </rPr>
      <t xml:space="preserve">)</t>
    </r>
  </si>
  <si>
    <t xml:space="preserve">광충탄</t>
  </si>
  <si>
    <r>
      <rPr>
        <sz val="10"/>
        <rFont val="WenQuanYi Zen Hei"/>
        <family val="2"/>
      </rPr>
      <t xml:space="preserve">인독사카브 액상수화제 </t>
    </r>
    <r>
      <rPr>
        <sz val="10"/>
        <rFont val="맑은 고딕"/>
        <family val="0"/>
        <charset val="1"/>
      </rPr>
      <t xml:space="preserve">5 %</t>
    </r>
  </si>
  <si>
    <r>
      <rPr>
        <sz val="10"/>
        <rFont val="WenQuanYi Zen Hei"/>
        <family val="2"/>
      </rPr>
      <t xml:space="preserve">인독사카브 </t>
    </r>
    <r>
      <rPr>
        <sz val="10"/>
        <rFont val="맑은 고딕"/>
        <family val="0"/>
        <charset val="1"/>
      </rPr>
      <t xml:space="preserve">(Indoxacarb)</t>
    </r>
  </si>
  <si>
    <t xml:space="preserve">5%</t>
  </si>
  <si>
    <r>
      <rPr>
        <sz val="10"/>
        <rFont val="WenQuanYi Zen Hei"/>
        <family val="2"/>
      </rPr>
      <t xml:space="preserve">인독사카브 입상수화제 </t>
    </r>
    <r>
      <rPr>
        <sz val="10"/>
        <rFont val="맑은 고딕"/>
        <family val="0"/>
        <charset val="1"/>
      </rPr>
      <t xml:space="preserve">30 %</t>
    </r>
  </si>
  <si>
    <t xml:space="preserve">30%</t>
  </si>
  <si>
    <t xml:space="preserve">그랜져</t>
  </si>
  <si>
    <t xml:space="preserve">나방카트</t>
  </si>
  <si>
    <t xml:space="preserve">노모스</t>
  </si>
  <si>
    <t xml:space="preserve">더블졸</t>
  </si>
  <si>
    <t xml:space="preserve">더블첵크</t>
  </si>
  <si>
    <t xml:space="preserve">더슬램</t>
  </si>
  <si>
    <t xml:space="preserve">데스킬</t>
  </si>
  <si>
    <t xml:space="preserve">독사이진</t>
  </si>
  <si>
    <t xml:space="preserve">라이트온</t>
  </si>
  <si>
    <t xml:space="preserve">맥스오미드</t>
  </si>
  <si>
    <t xml:space="preserve">맥크리</t>
  </si>
  <si>
    <t xml:space="preserve">베네스트</t>
  </si>
  <si>
    <t xml:space="preserve">블랙폭스</t>
  </si>
  <si>
    <t xml:space="preserve">서머리</t>
  </si>
  <si>
    <t xml:space="preserve">셀파</t>
  </si>
  <si>
    <t xml:space="preserve">스튜어드울트라</t>
  </si>
  <si>
    <t xml:space="preserve">스파링</t>
  </si>
  <si>
    <r>
      <rPr>
        <sz val="10"/>
        <rFont val="WenQuanYi Zen Hei"/>
        <family val="2"/>
      </rPr>
      <t xml:space="preserve">인독사카브 수화제 </t>
    </r>
    <r>
      <rPr>
        <sz val="10"/>
        <rFont val="맑은 고딕"/>
        <family val="0"/>
        <charset val="1"/>
      </rPr>
      <t xml:space="preserve">10 %</t>
    </r>
  </si>
  <si>
    <t xml:space="preserve">아바타</t>
  </si>
  <si>
    <t xml:space="preserve">아크모스</t>
  </si>
  <si>
    <t xml:space="preserve">암메이트</t>
  </si>
  <si>
    <t xml:space="preserve">어바운트</t>
  </si>
  <si>
    <r>
      <rPr>
        <sz val="10"/>
        <rFont val="WenQuanYi Zen Hei"/>
        <family val="2"/>
      </rPr>
      <t xml:space="preserve">인독사카브 분산성액제 </t>
    </r>
    <r>
      <rPr>
        <sz val="10"/>
        <rFont val="맑은 고딕"/>
        <family val="0"/>
        <charset val="1"/>
      </rPr>
      <t xml:space="preserve">5 %</t>
    </r>
  </si>
  <si>
    <t xml:space="preserve">분산성액제</t>
  </si>
  <si>
    <t xml:space="preserve">이투킬</t>
  </si>
  <si>
    <t xml:space="preserve">일렉트라</t>
  </si>
  <si>
    <t xml:space="preserve">종결자</t>
  </si>
  <si>
    <t xml:space="preserve">충멸탄</t>
  </si>
  <si>
    <t xml:space="preserve">킬버튼</t>
  </si>
  <si>
    <t xml:space="preserve">토르</t>
  </si>
  <si>
    <t xml:space="preserve">투산</t>
  </si>
  <si>
    <t xml:space="preserve">트랩킹</t>
  </si>
  <si>
    <t xml:space="preserve">파라독스</t>
  </si>
  <si>
    <t xml:space="preserve">파이터</t>
  </si>
  <si>
    <t xml:space="preserve">헬프탑</t>
  </si>
  <si>
    <t xml:space="preserve">28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</si>
  <si>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28 </t>
    </r>
    <r>
      <rPr>
        <sz val="10"/>
        <rFont val="WenQuanYi Zen Hei"/>
        <family val="2"/>
      </rPr>
      <t xml:space="preserve">라이아노딘 수용체 조절제 </t>
    </r>
    <r>
      <rPr>
        <sz val="10"/>
        <rFont val="맑은 고딕"/>
        <family val="0"/>
        <charset val="1"/>
      </rPr>
      <t xml:space="preserve">- Diamides(</t>
    </r>
    <r>
      <rPr>
        <sz val="10"/>
        <rFont val="WenQuanYi Zen Hei"/>
        <family val="2"/>
      </rPr>
      <t xml:space="preserve">디아마이드계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클로란트라닐리프롤 등</t>
    </r>
    <r>
      <rPr>
        <sz val="10"/>
        <rFont val="맑은 고딕"/>
        <family val="0"/>
        <charset val="1"/>
      </rPr>
      <t xml:space="preserve">)</t>
    </r>
  </si>
  <si>
    <t xml:space="preserve">농테크</t>
  </si>
  <si>
    <r>
      <rPr>
        <sz val="10"/>
        <rFont val="WenQuanYi Zen Hei"/>
        <family val="2"/>
      </rPr>
      <t xml:space="preserve">클로란트라닐리프롤 입상수화제 </t>
    </r>
    <r>
      <rPr>
        <sz val="10"/>
        <rFont val="맑은 고딕"/>
        <family val="0"/>
        <charset val="1"/>
      </rPr>
      <t xml:space="preserve">5 %</t>
    </r>
  </si>
  <si>
    <r>
      <rPr>
        <sz val="10"/>
        <rFont val="WenQuanYi Zen Hei"/>
        <family val="2"/>
      </rPr>
      <t xml:space="preserve">클로란트라닐리프롤 </t>
    </r>
    <r>
      <rPr>
        <sz val="10"/>
        <rFont val="맑은 고딕"/>
        <family val="0"/>
        <charset val="1"/>
      </rPr>
      <t xml:space="preserve">(Chlorantraniliprole)</t>
    </r>
  </si>
  <si>
    <t xml:space="preserve">루크호크</t>
  </si>
  <si>
    <t xml:space="preserve">베네비아</t>
  </si>
  <si>
    <r>
      <rPr>
        <sz val="10"/>
        <rFont val="WenQuanYi Zen Hei"/>
        <family val="2"/>
      </rPr>
      <t xml:space="preserve">사이안트라닐리프롤 유상수화제 </t>
    </r>
    <r>
      <rPr>
        <sz val="10"/>
        <rFont val="맑은 고딕"/>
        <family val="0"/>
        <charset val="1"/>
      </rPr>
      <t xml:space="preserve">10.26 %</t>
    </r>
  </si>
  <si>
    <r>
      <rPr>
        <sz val="10"/>
        <rFont val="WenQuanYi Zen Hei"/>
        <family val="2"/>
      </rPr>
      <t xml:space="preserve">사이안트라닐리프롤 </t>
    </r>
    <r>
      <rPr>
        <sz val="10"/>
        <rFont val="맑은 고딕"/>
        <family val="0"/>
        <charset val="1"/>
      </rPr>
      <t xml:space="preserve">(Cyantraniliprole)</t>
    </r>
  </si>
  <si>
    <t xml:space="preserve">10.26%</t>
  </si>
  <si>
    <t xml:space="preserve">유상수화제</t>
  </si>
  <si>
    <t xml:space="preserve">비대위</t>
  </si>
  <si>
    <t xml:space="preserve">살라포</t>
  </si>
  <si>
    <t xml:space="preserve">싸이캅</t>
  </si>
  <si>
    <t xml:space="preserve">아셀레프린</t>
  </si>
  <si>
    <r>
      <rPr>
        <sz val="10"/>
        <rFont val="WenQuanYi Zen Hei"/>
        <family val="2"/>
      </rPr>
      <t xml:space="preserve">클로란트라닐리프롤 액상수화제 </t>
    </r>
    <r>
      <rPr>
        <sz val="10"/>
        <rFont val="맑은 고딕"/>
        <family val="0"/>
        <charset val="1"/>
      </rPr>
      <t xml:space="preserve">18.35 %</t>
    </r>
  </si>
  <si>
    <t xml:space="preserve">18.35%</t>
  </si>
  <si>
    <t xml:space="preserve">아이오닉</t>
  </si>
  <si>
    <t xml:space="preserve">알타코아</t>
  </si>
  <si>
    <t xml:space="preserve">어마무시</t>
  </si>
  <si>
    <t xml:space="preserve">엑시렐</t>
  </si>
  <si>
    <r>
      <rPr>
        <sz val="10"/>
        <rFont val="WenQuanYi Zen Hei"/>
        <family val="2"/>
      </rPr>
      <t xml:space="preserve">사이안트라닐리프롤 유현탁제 </t>
    </r>
    <r>
      <rPr>
        <sz val="10"/>
        <rFont val="맑은 고딕"/>
        <family val="0"/>
        <charset val="1"/>
      </rPr>
      <t xml:space="preserve">10 %</t>
    </r>
  </si>
  <si>
    <t xml:space="preserve">유현탁제</t>
  </si>
  <si>
    <t xml:space="preserve">원패스</t>
  </si>
  <si>
    <t xml:space="preserve">출격탄</t>
  </si>
  <si>
    <t xml:space="preserve">코세이어</t>
  </si>
  <si>
    <t xml:space="preserve">클로프린</t>
  </si>
  <si>
    <t xml:space="preserve">토리치</t>
  </si>
  <si>
    <r>
      <rPr>
        <sz val="10"/>
        <rFont val="WenQuanYi Zen Hei"/>
        <family val="2"/>
      </rPr>
      <t xml:space="preserve">사이안트라닐리프롤 분산성액제 </t>
    </r>
    <r>
      <rPr>
        <sz val="10"/>
        <rFont val="맑은 고딕"/>
        <family val="0"/>
        <charset val="1"/>
      </rPr>
      <t xml:space="preserve">5 %</t>
    </r>
  </si>
  <si>
    <t xml:space="preserve">프레바톤</t>
  </si>
  <si>
    <r>
      <rPr>
        <sz val="10"/>
        <rFont val="WenQuanYi Zen Hei"/>
        <family val="2"/>
      </rPr>
      <t xml:space="preserve">클로란트라닐리프롤 수화제 </t>
    </r>
    <r>
      <rPr>
        <sz val="10"/>
        <rFont val="맑은 고딕"/>
        <family val="0"/>
        <charset val="1"/>
      </rPr>
      <t xml:space="preserve">4 %</t>
    </r>
  </si>
  <si>
    <t xml:space="preserve">4%</t>
  </si>
  <si>
    <t xml:space="preserve">프레바톤골드</t>
  </si>
  <si>
    <r>
      <rPr>
        <sz val="10"/>
        <rFont val="WenQuanYi Zen Hei"/>
        <family val="2"/>
      </rPr>
      <t xml:space="preserve">클로란트라닐리프롤 액상수화제 </t>
    </r>
    <r>
      <rPr>
        <sz val="10"/>
        <rFont val="맑은 고딕"/>
        <family val="0"/>
        <charset val="1"/>
      </rPr>
      <t xml:space="preserve">5 %</t>
    </r>
  </si>
  <si>
    <t xml:space="preserve">프로큐어</t>
  </si>
  <si>
    <r>
      <rPr>
        <sz val="10"/>
        <rFont val="WenQuanYi Zen Hei"/>
        <family val="2"/>
      </rPr>
      <t xml:space="preserve">사이안트라닐리프롤 유제 </t>
    </r>
    <r>
      <rPr>
        <sz val="10"/>
        <rFont val="맑은 고딕"/>
        <family val="0"/>
        <charset val="1"/>
      </rPr>
      <t xml:space="preserve">5 %</t>
    </r>
  </si>
  <si>
    <t xml:space="preserve">하이필드</t>
  </si>
  <si>
    <t xml:space="preserve">강써브</t>
  </si>
  <si>
    <r>
      <rPr>
        <sz val="10"/>
        <rFont val="WenQuanYi Zen Hei"/>
        <family val="2"/>
      </rPr>
      <t xml:space="preserve">비펜트린 유제 </t>
    </r>
    <r>
      <rPr>
        <sz val="10"/>
        <rFont val="맑은 고딕"/>
        <family val="0"/>
        <charset val="1"/>
      </rPr>
      <t xml:space="preserve">1 %</t>
    </r>
  </si>
  <si>
    <t xml:space="preserve">1%</t>
  </si>
  <si>
    <t xml:space="preserve">공습</t>
  </si>
  <si>
    <r>
      <rPr>
        <sz val="10"/>
        <rFont val="WenQuanYi Zen Hei"/>
        <family val="2"/>
      </rPr>
      <t xml:space="preserve">에토펜프록스 유탁제 </t>
    </r>
    <r>
      <rPr>
        <sz val="10"/>
        <rFont val="맑은 고딕"/>
        <family val="0"/>
        <charset val="1"/>
      </rPr>
      <t xml:space="preserve">10 %</t>
    </r>
  </si>
  <si>
    <r>
      <rPr>
        <sz val="10"/>
        <rFont val="WenQuanYi Zen Hei"/>
        <family val="2"/>
      </rPr>
      <t xml:space="preserve">에토펜프록스 </t>
    </r>
    <r>
      <rPr>
        <sz val="10"/>
        <rFont val="맑은 고딕"/>
        <family val="0"/>
        <charset val="1"/>
      </rPr>
      <t xml:space="preserve">(Etofenprox)</t>
    </r>
  </si>
  <si>
    <t xml:space="preserve">유탁제</t>
  </si>
  <si>
    <t xml:space="preserve">눔너스충제거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</si>
  <si>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순위</t>
    </r>
  </si>
  <si>
    <t xml:space="preserve">다이다이</t>
  </si>
  <si>
    <t xml:space="preserve">단발탄</t>
  </si>
  <si>
    <r>
      <rPr>
        <sz val="10"/>
        <rFont val="WenQuanYi Zen Hei"/>
        <family val="2"/>
      </rPr>
      <t xml:space="preserve">델타메트린 유탁제 </t>
    </r>
    <r>
      <rPr>
        <sz val="10"/>
        <rFont val="맑은 고딕"/>
        <family val="0"/>
        <charset val="1"/>
      </rPr>
      <t xml:space="preserve">2.7 %</t>
    </r>
  </si>
  <si>
    <r>
      <rPr>
        <sz val="10"/>
        <rFont val="WenQuanYi Zen Hei"/>
        <family val="2"/>
      </rPr>
      <t xml:space="preserve">델타메트린 </t>
    </r>
    <r>
      <rPr>
        <sz val="10"/>
        <rFont val="맑은 고딕"/>
        <family val="0"/>
        <charset val="1"/>
      </rPr>
      <t xml:space="preserve">(Deltamethrin)</t>
    </r>
  </si>
  <si>
    <t xml:space="preserve">2.7%</t>
  </si>
  <si>
    <t xml:space="preserve">데스플러스</t>
  </si>
  <si>
    <r>
      <rPr>
        <sz val="10"/>
        <rFont val="WenQuanYi Zen Hei"/>
        <family val="2"/>
      </rPr>
      <t xml:space="preserve">델타메트린 유제 </t>
    </r>
    <r>
      <rPr>
        <sz val="10"/>
        <rFont val="맑은 고딕"/>
        <family val="0"/>
        <charset val="1"/>
      </rPr>
      <t xml:space="preserve">1 %</t>
    </r>
  </si>
  <si>
    <t xml:space="preserve">데시스</t>
  </si>
  <si>
    <t xml:space="preserve">델타시스</t>
  </si>
  <si>
    <t xml:space="preserve">델타포스</t>
  </si>
  <si>
    <r>
      <rPr>
        <sz val="10"/>
        <rFont val="WenQuanYi Zen Hei"/>
        <family val="2"/>
      </rPr>
      <t xml:space="preserve">에토펜프록스 유제 </t>
    </r>
    <r>
      <rPr>
        <sz val="10"/>
        <rFont val="맑은 고딕"/>
        <family val="0"/>
        <charset val="1"/>
      </rPr>
      <t xml:space="preserve">20 %</t>
    </r>
  </si>
  <si>
    <t xml:space="preserve">20%</t>
  </si>
  <si>
    <t xml:space="preserve">레인델타</t>
  </si>
  <si>
    <t xml:space="preserve">롱가드</t>
  </si>
  <si>
    <t xml:space="preserve">리모트</t>
  </si>
  <si>
    <r>
      <rPr>
        <sz val="10"/>
        <rFont val="WenQuanYi Zen Hei"/>
        <family val="2"/>
      </rPr>
      <t xml:space="preserve">비펜트린 액상수화제 </t>
    </r>
    <r>
      <rPr>
        <sz val="10"/>
        <rFont val="맑은 고딕"/>
        <family val="0"/>
        <charset val="1"/>
      </rPr>
      <t xml:space="preserve">2 %</t>
    </r>
  </si>
  <si>
    <t xml:space="preserve">메가스타</t>
  </si>
  <si>
    <r>
      <rPr>
        <sz val="10"/>
        <rFont val="WenQuanYi Zen Hei"/>
        <family val="2"/>
      </rPr>
      <t xml:space="preserve">비펜트린 유탁제 </t>
    </r>
    <r>
      <rPr>
        <sz val="10"/>
        <rFont val="맑은 고딕"/>
        <family val="0"/>
        <charset val="1"/>
      </rPr>
      <t xml:space="preserve">10 %</t>
    </r>
  </si>
  <si>
    <t xml:space="preserve">메가줄</t>
  </si>
  <si>
    <r>
      <rPr>
        <sz val="10"/>
        <rFont val="WenQuanYi Zen Hei"/>
        <family val="2"/>
      </rPr>
      <t xml:space="preserve">비펜트린 입상수화제 </t>
    </r>
    <r>
      <rPr>
        <sz val="10"/>
        <rFont val="맑은 고딕"/>
        <family val="0"/>
        <charset val="1"/>
      </rPr>
      <t xml:space="preserve">8 %</t>
    </r>
  </si>
  <si>
    <t xml:space="preserve">8%</t>
  </si>
  <si>
    <t xml:space="preserve">메트린</t>
  </si>
  <si>
    <t xml:space="preserve">명타자</t>
  </si>
  <si>
    <t xml:space="preserve">바이스타</t>
  </si>
  <si>
    <t xml:space="preserve">블라인드</t>
  </si>
  <si>
    <t xml:space="preserve">비펜스</t>
  </si>
  <si>
    <t xml:space="preserve">샷건</t>
  </si>
  <si>
    <t xml:space="preserve">샷스타</t>
  </si>
  <si>
    <t xml:space="preserve">선문델타린</t>
  </si>
  <si>
    <t xml:space="preserve">세베로</t>
  </si>
  <si>
    <t xml:space="preserve">승자</t>
  </si>
  <si>
    <t xml:space="preserve">신농팜델타린</t>
  </si>
  <si>
    <t xml:space="preserve">아리델타린</t>
  </si>
  <si>
    <t xml:space="preserve">업로드</t>
  </si>
  <si>
    <t xml:space="preserve">요절충</t>
  </si>
  <si>
    <t xml:space="preserve">유원델타린</t>
  </si>
  <si>
    <t xml:space="preserve">유일벌레자바</t>
  </si>
  <si>
    <t xml:space="preserve">장원</t>
  </si>
  <si>
    <t xml:space="preserve">적시타</t>
  </si>
  <si>
    <r>
      <rPr>
        <sz val="10"/>
        <rFont val="WenQuanYi Zen Hei"/>
        <family val="2"/>
      </rPr>
      <t xml:space="preserve">에스펜발러레이트 유제 </t>
    </r>
    <r>
      <rPr>
        <sz val="10"/>
        <rFont val="맑은 고딕"/>
        <family val="0"/>
        <charset val="1"/>
      </rPr>
      <t xml:space="preserve">1.5 %</t>
    </r>
  </si>
  <si>
    <r>
      <rPr>
        <sz val="10"/>
        <rFont val="WenQuanYi Zen Hei"/>
        <family val="2"/>
      </rPr>
      <t xml:space="preserve">에스펜발러레이트 </t>
    </r>
    <r>
      <rPr>
        <sz val="10"/>
        <rFont val="맑은 고딕"/>
        <family val="0"/>
        <charset val="1"/>
      </rPr>
      <t xml:space="preserve">(Esfenvalerate)</t>
    </r>
  </si>
  <si>
    <t xml:space="preserve">1.5%</t>
  </si>
  <si>
    <t xml:space="preserve">젠토메이저</t>
  </si>
  <si>
    <t xml:space="preserve">젠토충스탑</t>
  </si>
  <si>
    <r>
      <rPr>
        <sz val="10"/>
        <rFont val="WenQuanYi Zen Hei"/>
        <family val="2"/>
      </rPr>
      <t xml:space="preserve">에토펜프록스 수화제 </t>
    </r>
    <r>
      <rPr>
        <sz val="10"/>
        <rFont val="맑은 고딕"/>
        <family val="0"/>
        <charset val="1"/>
      </rPr>
      <t xml:space="preserve">10 %</t>
    </r>
  </si>
  <si>
    <t xml:space="preserve">젠토충케이오</t>
  </si>
  <si>
    <t xml:space="preserve">젠토충패스</t>
  </si>
  <si>
    <t xml:space="preserve">충가네</t>
  </si>
  <si>
    <t xml:space="preserve">충스타</t>
  </si>
  <si>
    <t xml:space="preserve">충장군</t>
  </si>
  <si>
    <t xml:space="preserve">충졸라</t>
  </si>
  <si>
    <t xml:space="preserve">충천왕</t>
  </si>
  <si>
    <t xml:space="preserve">캡처</t>
  </si>
  <si>
    <t xml:space="preserve">컨버터</t>
  </si>
  <si>
    <t xml:space="preserve">케오왕</t>
  </si>
  <si>
    <t xml:space="preserve">크로캅</t>
  </si>
  <si>
    <t xml:space="preserve">타키온</t>
  </si>
  <si>
    <t xml:space="preserve">트레본</t>
  </si>
  <si>
    <t xml:space="preserve">트롯트</t>
  </si>
  <si>
    <r>
      <rPr>
        <sz val="10"/>
        <rFont val="WenQuanYi Zen Hei"/>
        <family val="2"/>
      </rPr>
      <t xml:space="preserve">아세타미프리드 수화제 </t>
    </r>
    <r>
      <rPr>
        <sz val="10"/>
        <rFont val="맑은 고딕"/>
        <family val="0"/>
        <charset val="1"/>
      </rPr>
      <t xml:space="preserve">8 %</t>
    </r>
  </si>
  <si>
    <t xml:space="preserve">샤프킬</t>
  </si>
  <si>
    <t xml:space="preserve">어택트</t>
  </si>
  <si>
    <t xml:space="preserve">젠토스타</t>
  </si>
  <si>
    <t xml:space="preserve">진디팍</t>
  </si>
  <si>
    <t xml:space="preserve">충감독</t>
  </si>
  <si>
    <r>
      <rPr>
        <sz val="10"/>
        <rFont val="WenQuanYi Zen Hei"/>
        <family val="2"/>
      </rPr>
      <t xml:space="preserve">스피네토람 입상수화제 </t>
    </r>
    <r>
      <rPr>
        <sz val="10"/>
        <rFont val="맑은 고딕"/>
        <family val="0"/>
        <charset val="1"/>
      </rPr>
      <t xml:space="preserve">5 %</t>
    </r>
  </si>
  <si>
    <t xml:space="preserve">엑설트</t>
  </si>
  <si>
    <r>
      <rPr>
        <sz val="10"/>
        <rFont val="WenQuanYi Zen Hei"/>
        <family val="2"/>
      </rPr>
      <t xml:space="preserve">스피네토람 액상수화제 </t>
    </r>
    <r>
      <rPr>
        <sz val="10"/>
        <rFont val="맑은 고딕"/>
        <family val="0"/>
        <charset val="1"/>
      </rPr>
      <t xml:space="preserve">5 %</t>
    </r>
  </si>
  <si>
    <t xml:space="preserve">겔럭시</t>
  </si>
  <si>
    <r>
      <rPr>
        <sz val="10"/>
        <rFont val="WenQuanYi Zen Hei"/>
        <family val="2"/>
      </rPr>
      <t xml:space="preserve">아바멕틴 유제 </t>
    </r>
    <r>
      <rPr>
        <sz val="10"/>
        <rFont val="맑은 고딕"/>
        <family val="0"/>
        <charset val="1"/>
      </rPr>
      <t xml:space="preserve">1.8 %</t>
    </r>
  </si>
  <si>
    <r>
      <rPr>
        <sz val="10"/>
        <rFont val="WenQuanYi Zen Hei"/>
        <family val="2"/>
      </rPr>
      <t xml:space="preserve">아바멕틴 </t>
    </r>
    <r>
      <rPr>
        <sz val="10"/>
        <rFont val="맑은 고딕"/>
        <family val="0"/>
        <charset val="1"/>
      </rPr>
      <t xml:space="preserve">(Abamectin)</t>
    </r>
  </si>
  <si>
    <t xml:space="preserve">1.8%</t>
  </si>
  <si>
    <t xml:space="preserve">네마캡스</t>
  </si>
  <si>
    <t xml:space="preserve">네이팜</t>
  </si>
  <si>
    <r>
      <rPr>
        <sz val="10"/>
        <rFont val="WenQuanYi Zen Hei"/>
        <family val="2"/>
      </rPr>
      <t xml:space="preserve">에마멕틴벤조에이트 유제 </t>
    </r>
    <r>
      <rPr>
        <sz val="10"/>
        <rFont val="맑은 고딕"/>
        <family val="0"/>
        <charset val="1"/>
      </rPr>
      <t xml:space="preserve">2.15 %</t>
    </r>
  </si>
  <si>
    <t xml:space="preserve">2.15%</t>
  </si>
  <si>
    <t xml:space="preserve">노바맥스</t>
  </si>
  <si>
    <t xml:space="preserve">늘찬</t>
  </si>
  <si>
    <t xml:space="preserve">더블팜</t>
  </si>
  <si>
    <t xml:space="preserve">도니온</t>
  </si>
  <si>
    <t xml:space="preserve">돌보미</t>
  </si>
  <si>
    <t xml:space="preserve">레딧고</t>
  </si>
  <si>
    <t xml:space="preserve">로멕틴</t>
  </si>
  <si>
    <t xml:space="preserve">마니팜</t>
  </si>
  <si>
    <t xml:space="preserve">말라타</t>
  </si>
  <si>
    <t xml:space="preserve">맥스팜</t>
  </si>
  <si>
    <t xml:space="preserve">메가히트</t>
  </si>
  <si>
    <t xml:space="preserve">메카</t>
  </si>
  <si>
    <t xml:space="preserve">모스파워</t>
  </si>
  <si>
    <t xml:space="preserve">박력</t>
  </si>
  <si>
    <t xml:space="preserve">백전노장</t>
  </si>
  <si>
    <t xml:space="preserve">버클리</t>
  </si>
  <si>
    <t xml:space="preserve">버티맥</t>
  </si>
  <si>
    <t xml:space="preserve">불카누스</t>
  </si>
  <si>
    <t xml:space="preserve">브리핑</t>
  </si>
  <si>
    <t xml:space="preserve">빅캐넌</t>
  </si>
  <si>
    <t xml:space="preserve">빅토리</t>
  </si>
  <si>
    <t xml:space="preserve">새벽종</t>
  </si>
  <si>
    <t xml:space="preserve">선문이응애충</t>
  </si>
  <si>
    <t xml:space="preserve">슈퍼캐치</t>
  </si>
  <si>
    <t xml:space="preserve">신속타</t>
  </si>
  <si>
    <t xml:space="preserve">쏘렌토</t>
  </si>
  <si>
    <t xml:space="preserve">쓸이충</t>
  </si>
  <si>
    <t xml:space="preserve">아라베스크</t>
  </si>
  <si>
    <t xml:space="preserve">아리센텀</t>
  </si>
  <si>
    <t xml:space="preserve">아리팜</t>
  </si>
  <si>
    <t xml:space="preserve">아바멕킬</t>
  </si>
  <si>
    <t xml:space="preserve">아바킹</t>
  </si>
  <si>
    <t xml:space="preserve">아발론</t>
  </si>
  <si>
    <t xml:space="preserve">아스타렉</t>
  </si>
  <si>
    <r>
      <rPr>
        <sz val="10"/>
        <rFont val="WenQuanYi Zen Hei"/>
        <family val="2"/>
      </rPr>
      <t xml:space="preserve">아바멕틴 액제 </t>
    </r>
    <r>
      <rPr>
        <sz val="10"/>
        <rFont val="맑은 고딕"/>
        <family val="0"/>
        <charset val="1"/>
      </rPr>
      <t xml:space="preserve">1.7 %</t>
    </r>
  </si>
  <si>
    <t xml:space="preserve">1.7%</t>
  </si>
  <si>
    <t xml:space="preserve">액제</t>
  </si>
  <si>
    <t xml:space="preserve">안티멕</t>
  </si>
  <si>
    <t xml:space="preserve">안티충</t>
  </si>
  <si>
    <r>
      <rPr>
        <sz val="10"/>
        <rFont val="WenQuanYi Zen Hei"/>
        <family val="2"/>
      </rPr>
      <t xml:space="preserve">아바멕틴 미탁제 </t>
    </r>
    <r>
      <rPr>
        <sz val="10"/>
        <rFont val="맑은 고딕"/>
        <family val="0"/>
        <charset val="1"/>
      </rPr>
      <t xml:space="preserve">1.8 %</t>
    </r>
  </si>
  <si>
    <t xml:space="preserve">미탁제</t>
  </si>
  <si>
    <t xml:space="preserve">압사충</t>
  </si>
  <si>
    <t xml:space="preserve">에마킹</t>
  </si>
  <si>
    <t xml:space="preserve">에마팜</t>
  </si>
  <si>
    <t xml:space="preserve">에이팜</t>
  </si>
  <si>
    <t xml:space="preserve">에코골드</t>
  </si>
  <si>
    <t xml:space="preserve">에코멕틴</t>
  </si>
  <si>
    <t xml:space="preserve">엔카티스</t>
  </si>
  <si>
    <t xml:space="preserve">여물다</t>
  </si>
  <si>
    <t xml:space="preserve">영농스타</t>
  </si>
  <si>
    <t xml:space="preserve">온족족</t>
  </si>
  <si>
    <t xml:space="preserve">올스타</t>
  </si>
  <si>
    <t xml:space="preserve">올웨이즈</t>
  </si>
  <si>
    <t xml:space="preserve">올탑</t>
  </si>
  <si>
    <t xml:space="preserve">워록</t>
  </si>
  <si>
    <t xml:space="preserve">원스타</t>
  </si>
  <si>
    <t xml:space="preserve">응애특급</t>
  </si>
  <si>
    <t xml:space="preserve">이글원</t>
  </si>
  <si>
    <t xml:space="preserve">인덱스</t>
  </si>
  <si>
    <t xml:space="preserve">젠토킬</t>
  </si>
  <si>
    <t xml:space="preserve">충다이</t>
  </si>
  <si>
    <t xml:space="preserve">충업세</t>
  </si>
  <si>
    <t xml:space="preserve">충펀치</t>
  </si>
  <si>
    <t xml:space="preserve">카이노바</t>
  </si>
  <si>
    <t xml:space="preserve">코난</t>
  </si>
  <si>
    <t xml:space="preserve">큐멕틴</t>
  </si>
  <si>
    <t xml:space="preserve">킬링팡</t>
  </si>
  <si>
    <t xml:space="preserve">킹팜골드</t>
  </si>
  <si>
    <t xml:space="preserve">타마스</t>
  </si>
  <si>
    <t xml:space="preserve">트라제</t>
  </si>
  <si>
    <t xml:space="preserve">프라도</t>
  </si>
  <si>
    <t xml:space="preserve">현농솔루션</t>
  </si>
  <si>
    <t xml:space="preserve">7c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</si>
  <si>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7 </t>
    </r>
    <r>
      <rPr>
        <sz val="10"/>
        <rFont val="WenQuanYi Zen Hei"/>
        <family val="2"/>
      </rPr>
      <t xml:space="preserve">탈피호르몬 유사작용제 </t>
    </r>
    <r>
      <rPr>
        <sz val="10"/>
        <rFont val="맑은 고딕"/>
        <family val="0"/>
        <charset val="1"/>
      </rPr>
      <t xml:space="preserve">- Pyriproxyfen(</t>
    </r>
    <r>
      <rPr>
        <sz val="10"/>
        <rFont val="WenQuanYi Zen Hei"/>
        <family val="2"/>
      </rPr>
      <t xml:space="preserve">피리프록시펜</t>
    </r>
    <r>
      <rPr>
        <sz val="10"/>
        <rFont val="맑은 고딕"/>
        <family val="0"/>
        <charset val="1"/>
      </rPr>
      <t xml:space="preserve">)</t>
    </r>
  </si>
  <si>
    <t xml:space="preserve">신기루</t>
  </si>
  <si>
    <r>
      <rPr>
        <sz val="10"/>
        <rFont val="WenQuanYi Zen Hei"/>
        <family val="2"/>
      </rPr>
      <t xml:space="preserve">피리프록시펜 유제 </t>
    </r>
    <r>
      <rPr>
        <sz val="10"/>
        <rFont val="맑은 고딕"/>
        <family val="0"/>
        <charset val="1"/>
      </rPr>
      <t xml:space="preserve">10 %</t>
    </r>
  </si>
  <si>
    <r>
      <rPr>
        <sz val="10"/>
        <rFont val="WenQuanYi Zen Hei"/>
        <family val="2"/>
      </rPr>
      <t xml:space="preserve">피리프록시펜 </t>
    </r>
    <r>
      <rPr>
        <sz val="10"/>
        <rFont val="맑은 고딕"/>
        <family val="0"/>
        <charset val="1"/>
      </rPr>
      <t xml:space="preserve">(Pyriproxyfen)</t>
    </r>
  </si>
  <si>
    <t xml:space="preserve">13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</si>
  <si>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</t>
    </r>
  </si>
  <si>
    <t xml:space="preserve">공로자</t>
  </si>
  <si>
    <t xml:space="preserve">클로르페나피르 액상수화제</t>
  </si>
  <si>
    <t xml:space="preserve">Chlorfenapyr</t>
  </si>
  <si>
    <t xml:space="preserve">수입</t>
  </si>
  <si>
    <r>
      <rPr>
        <sz val="10"/>
        <rFont val="WenQuanYi Zen Hei"/>
        <family val="2"/>
      </rPr>
      <t xml:space="preserve">빅스타네이처사이언스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</si>
  <si>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64-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</t>
    </r>
  </si>
  <si>
    <t xml:space="preserve">나방앤드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</si>
  <si>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그린시티</t>
    </r>
  </si>
  <si>
    <r>
      <rPr>
        <sz val="10"/>
        <rFont val="맑은 고딕"/>
        <family val="0"/>
        <charset val="1"/>
      </rPr>
      <t xml:space="preserve">150-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</t>
    </r>
  </si>
  <si>
    <r>
      <rPr>
        <sz val="10"/>
        <rFont val="맑은 고딕"/>
        <family val="0"/>
        <charset val="1"/>
      </rPr>
      <t xml:space="preserve">75-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</t>
    </r>
  </si>
  <si>
    <t xml:space="preserve">나방총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</si>
  <si>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유일</t>
    </r>
  </si>
  <si>
    <r>
      <rPr>
        <sz val="10"/>
        <rFont val="맑은 고딕"/>
        <family val="0"/>
        <charset val="1"/>
      </rPr>
      <t xml:space="preserve">21-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</t>
    </r>
  </si>
  <si>
    <t xml:space="preserve">네마토드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</si>
  <si>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피에이치엘</t>
    </r>
  </si>
  <si>
    <r>
      <rPr>
        <sz val="10"/>
        <rFont val="맑은 고딕"/>
        <family val="0"/>
        <charset val="1"/>
      </rPr>
      <t xml:space="preserve">166-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</t>
    </r>
  </si>
  <si>
    <t xml:space="preserve">델타스타</t>
  </si>
  <si>
    <r>
      <rPr>
        <sz val="10"/>
        <rFont val="WenQuanYi Zen Hei"/>
        <family val="2"/>
      </rPr>
      <t xml:space="preserve">레인보우애그로사이언스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</si>
  <si>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153-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</t>
    </r>
  </si>
  <si>
    <t xml:space="preserve">렘페이지</t>
  </si>
  <si>
    <t xml:space="preserve">클로르페나피르 유제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</si>
  <si>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-153</t>
    </r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</si>
  <si>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-161</t>
    </r>
  </si>
  <si>
    <t xml:space="preserve">블랙원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</si>
  <si>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신농팜케미컬</t>
    </r>
  </si>
  <si>
    <r>
      <rPr>
        <sz val="10"/>
        <rFont val="맑은 고딕"/>
        <family val="0"/>
        <charset val="1"/>
      </rPr>
      <t xml:space="preserve">76-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-40</t>
    </r>
  </si>
  <si>
    <r>
      <rPr>
        <sz val="10"/>
        <rFont val="맑은 고딕"/>
        <family val="0"/>
        <charset val="1"/>
      </rPr>
      <t xml:space="preserve">78-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</t>
    </r>
  </si>
  <si>
    <t xml:space="preserve">섹큐어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</si>
  <si>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-156</t>
    </r>
  </si>
  <si>
    <t xml:space="preserve">써커데드</t>
  </si>
  <si>
    <r>
      <rPr>
        <sz val="10"/>
        <rFont val="WenQuanYi Zen Hei"/>
        <family val="2"/>
      </rPr>
      <t xml:space="preserve">아다마코리아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</si>
  <si>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-29</t>
    </r>
  </si>
  <si>
    <t xml:space="preserve">아리큐어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</si>
  <si>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케이씨생명과학</t>
    </r>
  </si>
  <si>
    <r>
      <rPr>
        <sz val="10"/>
        <rFont val="맑은 고딕"/>
        <family val="0"/>
        <charset val="1"/>
      </rPr>
      <t xml:space="preserve">85-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-60</t>
    </r>
  </si>
  <si>
    <t xml:space="preserve">아이언맨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</si>
  <si>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-47</t>
    </r>
  </si>
  <si>
    <t xml:space="preserve">엔젤팜</t>
  </si>
  <si>
    <r>
      <rPr>
        <sz val="10"/>
        <rFont val="WenQuanYi Zen Hei"/>
        <family val="2"/>
      </rPr>
      <t xml:space="preserve">아그리젠토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</si>
  <si>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-82</t>
    </r>
  </si>
  <si>
    <t xml:space="preserve">올래팜</t>
  </si>
  <si>
    <r>
      <rPr>
        <sz val="10"/>
        <rFont val="WenQuanYi Zen Hei"/>
        <family val="2"/>
      </rPr>
      <t xml:space="preserve">아진케미칼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</si>
  <si>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-23</t>
    </r>
  </si>
  <si>
    <t xml:space="preserve">와일더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</si>
  <si>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천지인바이오텍</t>
    </r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</si>
  <si>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-69</t>
    </r>
  </si>
  <si>
    <t xml:space="preserve">총채도사</t>
  </si>
  <si>
    <r>
      <rPr>
        <sz val="10"/>
        <rFont val="맑은 고딕"/>
        <family val="0"/>
        <charset val="1"/>
      </rPr>
      <t xml:space="preserve">60-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</t>
    </r>
  </si>
  <si>
    <t xml:space="preserve">충레스</t>
  </si>
  <si>
    <r>
      <rPr>
        <sz val="10"/>
        <rFont val="WenQuanYi Zen Hei"/>
        <family val="2"/>
      </rPr>
      <t xml:space="preserve">팜아그로텍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</si>
  <si>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</t>
    </r>
  </si>
  <si>
    <t xml:space="preserve">충방패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</si>
  <si>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대유</t>
    </r>
  </si>
  <si>
    <r>
      <rPr>
        <sz val="10"/>
        <rFont val="맑은 고딕"/>
        <family val="0"/>
        <charset val="1"/>
      </rPr>
      <t xml:space="preserve">26-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-57</t>
    </r>
  </si>
  <si>
    <t xml:space="preserve">충엔킬</t>
  </si>
  <si>
    <t xml:space="preserve">바이오캠주식회사</t>
  </si>
  <si>
    <r>
      <rPr>
        <sz val="10"/>
        <rFont val="맑은 고딕"/>
        <family val="0"/>
        <charset val="1"/>
      </rPr>
      <t xml:space="preserve">95-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</t>
    </r>
  </si>
  <si>
    <t xml:space="preserve">충킥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</si>
  <si>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장유산업</t>
    </r>
  </si>
  <si>
    <r>
      <rPr>
        <sz val="10"/>
        <rFont val="맑은 고딕"/>
        <family val="0"/>
        <charset val="1"/>
      </rPr>
      <t xml:space="preserve">30-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</t>
    </r>
  </si>
  <si>
    <t xml:space="preserve">클린메이커</t>
  </si>
  <si>
    <r>
      <rPr>
        <sz val="10"/>
        <rFont val="WenQuanYi Zen Hei"/>
        <family val="2"/>
      </rPr>
      <t xml:space="preserve">초록팜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</si>
  <si>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133-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</t>
    </r>
  </si>
  <si>
    <t xml:space="preserve">타누스</t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</si>
  <si>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-35</t>
    </r>
  </si>
  <si>
    <t xml:space="preserve">토네이도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</si>
  <si>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위즈팜</t>
    </r>
  </si>
  <si>
    <r>
      <rPr>
        <sz val="10"/>
        <rFont val="맑은 고딕"/>
        <family val="0"/>
        <charset val="1"/>
      </rPr>
      <t xml:space="preserve">183-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</t>
    </r>
  </si>
  <si>
    <t xml:space="preserve">티큐어</t>
  </si>
  <si>
    <t xml:space="preserve">티아그로</t>
  </si>
  <si>
    <r>
      <rPr>
        <sz val="10"/>
        <rFont val="맑은 고딕"/>
        <family val="0"/>
        <charset val="1"/>
      </rPr>
      <t xml:space="preserve">143-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</t>
    </r>
  </si>
  <si>
    <t xml:space="preserve">팍자바</t>
  </si>
  <si>
    <r>
      <rPr>
        <sz val="10"/>
        <rFont val="WenQuanYi Zen Hei"/>
        <family val="2"/>
      </rPr>
      <t xml:space="preserve">선문그린사이언스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</si>
  <si>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-92</t>
    </r>
  </si>
  <si>
    <t xml:space="preserve">팜큐어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</si>
  <si>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-171</t>
    </r>
  </si>
  <si>
    <t xml:space="preserve">패스트롱</t>
  </si>
  <si>
    <r>
      <rPr>
        <sz val="10"/>
        <rFont val="WenQuanYi Zen Hei"/>
        <family val="2"/>
      </rPr>
      <t xml:space="preserve">태평에이지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</si>
  <si>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</t>
    </r>
  </si>
  <si>
    <t xml:space="preserve">피에이파이터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</si>
  <si>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새한농</t>
    </r>
  </si>
  <si>
    <r>
      <rPr>
        <sz val="10"/>
        <rFont val="맑은 고딕"/>
        <family val="0"/>
        <charset val="1"/>
      </rPr>
      <t xml:space="preserve">71-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</t>
    </r>
  </si>
  <si>
    <t xml:space="preserve">하이충</t>
  </si>
  <si>
    <t xml:space="preserve">㈜이엑스아이디</t>
  </si>
  <si>
    <r>
      <rPr>
        <sz val="10"/>
        <rFont val="맑은 고딕"/>
        <family val="0"/>
        <charset val="1"/>
      </rPr>
      <t xml:space="preserve">69-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</t>
    </r>
  </si>
  <si>
    <t xml:space="preserve">헌티드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</si>
  <si>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-142</t>
    </r>
  </si>
  <si>
    <r>
      <rPr>
        <sz val="10"/>
        <rFont val="맑은 고딕"/>
        <family val="0"/>
        <charset val="1"/>
      </rPr>
      <t xml:space="preserve">70-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</t>
    </r>
  </si>
  <si>
    <t xml:space="preserve">화신</t>
  </si>
  <si>
    <t xml:space="preserve">에이치바이오텍</t>
  </si>
  <si>
    <r>
      <rPr>
        <sz val="10"/>
        <rFont val="맑은 고딕"/>
        <family val="0"/>
        <charset val="1"/>
      </rPr>
      <t xml:space="preserve">122-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</t>
    </r>
  </si>
  <si>
    <t xml:space="preserve">13+3a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</si>
  <si>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</t>
    </r>
  </si>
  <si>
    <t xml:space="preserve">달마지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</si>
  <si>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에토펜프록스 유현탁제</t>
    </r>
  </si>
  <si>
    <t xml:space="preserve">Chlorfenapyr+Etofenprox</t>
  </si>
  <si>
    <t xml:space="preserve">11(3+8)%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</si>
  <si>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-461</t>
    </r>
  </si>
  <si>
    <t xml:space="preserve">13+4a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</si>
  <si>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</si>
  <si>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발키리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</si>
  <si>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액상수화제</t>
    </r>
  </si>
  <si>
    <t xml:space="preserve">Chlorfenapyr+Imidacloprid</t>
  </si>
  <si>
    <t xml:space="preserve">12(8+4)%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</si>
  <si>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-91</t>
    </r>
  </si>
  <si>
    <t xml:space="preserve">섬광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</si>
  <si>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클로티아니딘 유제</t>
    </r>
  </si>
  <si>
    <t xml:space="preserve">Chlorfenapyr+Clothianidin</t>
  </si>
  <si>
    <t xml:space="preserve">5.5(2.5+3)%</t>
  </si>
  <si>
    <t xml:space="preserve">에스비성보주식회사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</si>
  <si>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-173</t>
    </r>
  </si>
  <si>
    <t xml:space="preserve">스트라이크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</si>
  <si>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클로티아니딘 액상수화제</t>
    </r>
  </si>
  <si>
    <t xml:space="preserve">12(6+6)%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</si>
  <si>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-189</t>
    </r>
  </si>
  <si>
    <t xml:space="preserve">포위망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</si>
  <si>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티아메톡삼 액상수화제</t>
    </r>
  </si>
  <si>
    <t xml:space="preserve">Chlorfenapyr+Thiamethoxam</t>
  </si>
  <si>
    <t xml:space="preserve">6(3+3)%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</si>
  <si>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-556</t>
    </r>
  </si>
  <si>
    <t xml:space="preserve">13+6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</si>
  <si>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</t>
    </r>
  </si>
  <si>
    <t xml:space="preserve">올충킬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</si>
  <si>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액상수화제</t>
    </r>
  </si>
  <si>
    <t xml:space="preserve">Chlorfenapyr+Emamectin benzoate</t>
  </si>
  <si>
    <t xml:space="preserve">12.15(10+2.15)%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</si>
  <si>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-184</t>
    </r>
  </si>
  <si>
    <t xml:space="preserve">컷세이퍼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</si>
  <si>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유제</t>
    </r>
  </si>
  <si>
    <t xml:space="preserve">8(6+2)%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</si>
  <si>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-291</t>
    </r>
  </si>
  <si>
    <t xml:space="preserve">14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</si>
  <si>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14 nAChR </t>
    </r>
    <r>
      <rPr>
        <sz val="10"/>
        <rFont val="WenQuanYi Zen Hei"/>
        <family val="2"/>
      </rPr>
      <t xml:space="preserve">채널 차단제 </t>
    </r>
    <r>
      <rPr>
        <sz val="10"/>
        <rFont val="맑은 고딕"/>
        <family val="0"/>
        <charset val="1"/>
      </rPr>
      <t xml:space="preserve">- Nereistoxin </t>
    </r>
    <r>
      <rPr>
        <sz val="10"/>
        <rFont val="WenQuanYi Zen Hei"/>
        <family val="2"/>
      </rPr>
      <t xml:space="preserve">유도체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벤설탑</t>
    </r>
    <r>
      <rPr>
        <sz val="10"/>
        <rFont val="맑은 고딕"/>
        <family val="0"/>
        <charset val="1"/>
      </rPr>
      <t xml:space="preserve">)</t>
    </r>
  </si>
  <si>
    <t xml:space="preserve">에비섹트</t>
  </si>
  <si>
    <t xml:space="preserve">티오사이클람하이드로젠옥살레이트 입상수화제</t>
  </si>
  <si>
    <t xml:space="preserve">Thiocyclam hydrogen oxalate</t>
  </si>
  <si>
    <t xml:space="preserve">75%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</si>
  <si>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유피엘리미티드코리아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</si>
  <si>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-58</t>
    </r>
  </si>
  <si>
    <t xml:space="preserve">주무기</t>
  </si>
  <si>
    <t xml:space="preserve">티오사이클람하이드로젠옥살레이트 수화제</t>
  </si>
  <si>
    <t xml:space="preserve">25%</t>
  </si>
  <si>
    <r>
      <rPr>
        <sz val="10"/>
        <rFont val="맑은 고딕"/>
        <family val="0"/>
        <charset val="1"/>
      </rPr>
      <t xml:space="preserve">29-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</t>
    </r>
  </si>
  <si>
    <t xml:space="preserve">아타브론</t>
  </si>
  <si>
    <t xml:space="preserve">클로르플루아주론 유제</t>
  </si>
  <si>
    <t xml:space="preserve">Chlorfluazuron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</si>
  <si>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-135</t>
    </r>
  </si>
  <si>
    <t xml:space="preserve">15+13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</si>
  <si>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15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(CHS1) - Benzoylureas(</t>
    </r>
    <r>
      <rPr>
        <sz val="10"/>
        <rFont val="WenQuanYi Zen Hei"/>
        <family val="2"/>
      </rPr>
      <t xml:space="preserve">벤조일우레아계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</t>
    </r>
  </si>
  <si>
    <t xml:space="preserve">레이서</t>
  </si>
  <si>
    <r>
      <rPr>
        <sz val="10"/>
        <rFont val="WenQuanYi Zen Hei"/>
        <family val="2"/>
      </rPr>
      <t xml:space="preserve">비스트리플루론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클로르페나피르 액상수화제</t>
    </r>
  </si>
  <si>
    <t xml:space="preserve">Bistrifluron+Chlorfenapyr</t>
  </si>
  <si>
    <t xml:space="preserve">13(5+8)%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</si>
  <si>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-523</t>
    </r>
  </si>
  <si>
    <t xml:space="preserve">15+30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</si>
  <si>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15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(CHS1) - Benzoylureas(</t>
    </r>
    <r>
      <rPr>
        <sz val="10"/>
        <rFont val="WenQuanYi Zen Hei"/>
        <family val="2"/>
      </rPr>
      <t xml:space="preserve">벤조일우레아계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30 GABA</t>
    </r>
    <r>
      <rPr>
        <sz val="10"/>
        <rFont val="WenQuanYi Zen Hei"/>
        <family val="2"/>
      </rPr>
      <t xml:space="preserve">개폐 염소채널 알로스테릭 조절제 </t>
    </r>
    <r>
      <rPr>
        <sz val="10"/>
        <rFont val="맑은 고딕"/>
        <family val="0"/>
        <charset val="1"/>
      </rPr>
      <t xml:space="preserve">- Isoxazolines/Meta-diamides</t>
    </r>
    <r>
      <rPr>
        <sz val="10"/>
        <rFont val="WenQuanYi Zen Hei"/>
        <family val="2"/>
      </rPr>
      <t xml:space="preserve">계</t>
    </r>
  </si>
  <si>
    <t xml:space="preserve">에스페로</t>
  </si>
  <si>
    <r>
      <rPr>
        <sz val="10"/>
        <rFont val="WenQuanYi Zen Hei"/>
        <family val="2"/>
      </rPr>
      <t xml:space="preserve">플루페녹수론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플룩사메타마이드 분산성액제</t>
    </r>
  </si>
  <si>
    <t xml:space="preserve">Flufenoxuron+Fluxametamide</t>
  </si>
  <si>
    <t xml:space="preserve">10(3+7)%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</si>
  <si>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-284</t>
    </r>
  </si>
  <si>
    <t xml:space="preserve">16+4a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</si>
  <si>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16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(type1) - Buprofezin(</t>
    </r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</si>
  <si>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검객</t>
  </si>
  <si>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디노테퓨란 수화제</t>
    </r>
  </si>
  <si>
    <t xml:space="preserve">Buprofezin+Dinotefuran</t>
  </si>
  <si>
    <t xml:space="preserve">35(20+15)%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</si>
  <si>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-288</t>
    </r>
  </si>
  <si>
    <t xml:space="preserve">16+4c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</si>
  <si>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16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(type1) - Buprofezin(</t>
    </r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Sulfoximines(</t>
    </r>
    <r>
      <rPr>
        <sz val="10"/>
        <rFont val="WenQuanYi Zen Hei"/>
        <family val="2"/>
      </rPr>
      <t xml:space="preserve">설폭시민계</t>
    </r>
    <r>
      <rPr>
        <sz val="10"/>
        <rFont val="맑은 고딕"/>
        <family val="0"/>
        <charset val="1"/>
      </rPr>
      <t xml:space="preserve">, Sulfoxaflor)</t>
    </r>
  </si>
  <si>
    <t xml:space="preserve">기사도</t>
  </si>
  <si>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설폭사플로르 액상수화제</t>
    </r>
  </si>
  <si>
    <t xml:space="preserve">Buprofezin+Sulfoxaflor</t>
  </si>
  <si>
    <t xml:space="preserve">15.1(12+3.1)%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</si>
  <si>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-426</t>
    </r>
  </si>
  <si>
    <t xml:space="preserve">16+5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</si>
  <si>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16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(type1) - Buprofezin(</t>
    </r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5 nAChR </t>
    </r>
    <r>
      <rPr>
        <sz val="10"/>
        <rFont val="WenQuanYi Zen Hei"/>
        <family val="2"/>
      </rPr>
      <t xml:space="preserve">알로스테릭 조절제</t>
    </r>
    <r>
      <rPr>
        <sz val="10"/>
        <rFont val="맑은 고딕"/>
        <family val="0"/>
        <charset val="1"/>
      </rPr>
      <t xml:space="preserve">(Site I) - Spinosyns(</t>
    </r>
    <r>
      <rPr>
        <sz val="10"/>
        <rFont val="WenQuanYi Zen Hei"/>
        <family val="2"/>
      </rPr>
      <t xml:space="preserve">스피노신계</t>
    </r>
    <r>
      <rPr>
        <sz val="10"/>
        <rFont val="맑은 고딕"/>
        <family val="0"/>
        <charset val="1"/>
      </rPr>
      <t xml:space="preserve">)</t>
    </r>
  </si>
  <si>
    <t xml:space="preserve">마에스트로</t>
  </si>
  <si>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스피네토람 액상수화제</t>
    </r>
  </si>
  <si>
    <t xml:space="preserve">Buprofezin+Spinetoram</t>
  </si>
  <si>
    <t xml:space="preserve">24(20+4)%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</si>
  <si>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-242</t>
    </r>
  </si>
  <si>
    <t xml:space="preserve">돌진</t>
  </si>
  <si>
    <t xml:space="preserve">벤퓨라카브 입제</t>
  </si>
  <si>
    <t xml:space="preserve">Benfuracarb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</si>
  <si>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-114</t>
    </r>
  </si>
  <si>
    <t xml:space="preserve">토양혼화</t>
  </si>
  <si>
    <t xml:space="preserve">1b+6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</si>
  <si>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Organophosphates(</t>
    </r>
    <r>
      <rPr>
        <sz val="10"/>
        <rFont val="WenQuanYi Zen Hei"/>
        <family val="2"/>
      </rPr>
      <t xml:space="preserve">유기인계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</t>
    </r>
  </si>
  <si>
    <t xml:space="preserve">동방아그로디아블로</t>
  </si>
  <si>
    <r>
      <rPr>
        <sz val="10"/>
        <rFont val="WenQuanYi Zen Hei"/>
        <family val="2"/>
      </rPr>
      <t xml:space="preserve">디클로르보스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유제</t>
    </r>
  </si>
  <si>
    <t xml:space="preserve">Dichlorvos+Emamectin benzoate</t>
  </si>
  <si>
    <t xml:space="preserve">21(20+1)%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</si>
  <si>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-386</t>
    </r>
  </si>
  <si>
    <t xml:space="preserve">22a+5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</si>
  <si>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전압의존 나트륨채널 차단제 </t>
    </r>
    <r>
      <rPr>
        <sz val="10"/>
        <rFont val="맑은 고딕"/>
        <family val="0"/>
        <charset val="1"/>
      </rPr>
      <t xml:space="preserve">- Oxadiazines(</t>
    </r>
    <r>
      <rPr>
        <sz val="10"/>
        <rFont val="WenQuanYi Zen Hei"/>
        <family val="2"/>
      </rPr>
      <t xml:space="preserve">인독사카브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5 nAChR </t>
    </r>
    <r>
      <rPr>
        <sz val="10"/>
        <rFont val="WenQuanYi Zen Hei"/>
        <family val="2"/>
      </rPr>
      <t xml:space="preserve">알로스테릭 조절제</t>
    </r>
    <r>
      <rPr>
        <sz val="10"/>
        <rFont val="맑은 고딕"/>
        <family val="0"/>
        <charset val="1"/>
      </rPr>
      <t xml:space="preserve">(Site I) - Spinosyns(</t>
    </r>
    <r>
      <rPr>
        <sz val="10"/>
        <rFont val="WenQuanYi Zen Hei"/>
        <family val="2"/>
      </rPr>
      <t xml:space="preserve">스피노신계</t>
    </r>
    <r>
      <rPr>
        <sz val="10"/>
        <rFont val="맑은 고딕"/>
        <family val="0"/>
        <charset val="1"/>
      </rPr>
      <t xml:space="preserve">)</t>
    </r>
  </si>
  <si>
    <t xml:space="preserve">원파워</t>
  </si>
  <si>
    <r>
      <rPr>
        <sz val="10"/>
        <rFont val="WenQuanYi Zen Hei"/>
        <family val="2"/>
      </rPr>
      <t xml:space="preserve">인독사카브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스피노사드 입상수화제</t>
    </r>
  </si>
  <si>
    <t xml:space="preserve">Indoxacarb+Spinosad</t>
  </si>
  <si>
    <t xml:space="preserve">14(7+7)%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</si>
  <si>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-382</t>
    </r>
  </si>
  <si>
    <t xml:space="preserve">라피탄</t>
  </si>
  <si>
    <t xml:space="preserve">사이클라닐리프롤 액제</t>
  </si>
  <si>
    <t xml:space="preserve">Cyclaniliprole</t>
  </si>
  <si>
    <t xml:space="preserve">4.5%</t>
  </si>
  <si>
    <r>
      <rPr>
        <sz val="10"/>
        <rFont val="맑은 고딕"/>
        <family val="0"/>
        <charset val="1"/>
      </rPr>
      <t xml:space="preserve">50-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</si>
  <si>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-595</t>
    </r>
  </si>
  <si>
    <t xml:space="preserve">버디프린스</t>
  </si>
  <si>
    <t xml:space="preserve">9%</t>
  </si>
  <si>
    <r>
      <rPr>
        <sz val="10"/>
        <rFont val="맑은 고딕"/>
        <family val="0"/>
        <charset val="1"/>
      </rPr>
      <t xml:space="preserve">50-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</t>
    </r>
  </si>
  <si>
    <t xml:space="preserve">사이탄</t>
  </si>
  <si>
    <r>
      <rPr>
        <sz val="10"/>
        <rFont val="맑은 고딕"/>
        <family val="0"/>
        <charset val="1"/>
      </rPr>
      <t xml:space="preserve">96-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-36</t>
    </r>
  </si>
  <si>
    <t xml:space="preserve">사이안트라닐리프롤 유상수화제</t>
  </si>
  <si>
    <t xml:space="preserve">Cyantraniliprole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</si>
  <si>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-592</t>
    </r>
  </si>
  <si>
    <t xml:space="preserve">사이안트라닐리프롤 유제</t>
  </si>
  <si>
    <t xml:space="preserve">꽃이 피기 전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</si>
  <si>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-429</t>
    </r>
  </si>
  <si>
    <t xml:space="preserve">28+13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</si>
  <si>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28 </t>
    </r>
    <r>
      <rPr>
        <sz val="10"/>
        <rFont val="WenQuanYi Zen Hei"/>
        <family val="2"/>
      </rPr>
      <t xml:space="preserve">라이아노딘 수용체 조절제 </t>
    </r>
    <r>
      <rPr>
        <sz val="10"/>
        <rFont val="맑은 고딕"/>
        <family val="0"/>
        <charset val="1"/>
      </rPr>
      <t xml:space="preserve">- Diamides(</t>
    </r>
    <r>
      <rPr>
        <sz val="10"/>
        <rFont val="WenQuanYi Zen Hei"/>
        <family val="2"/>
      </rPr>
      <t xml:space="preserve">디아마이드계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클로란트라닐리프롤 등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</t>
    </r>
  </si>
  <si>
    <t xml:space="preserve">진블</t>
  </si>
  <si>
    <r>
      <rPr>
        <sz val="10"/>
        <rFont val="WenQuanYi Zen Hei"/>
        <family val="2"/>
      </rPr>
      <t xml:space="preserve">클로란트라닐리프롤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클로르페나피르 액상수화제</t>
    </r>
  </si>
  <si>
    <t xml:space="preserve">Chlorantraniliprole.Chlorfenapyr</t>
  </si>
  <si>
    <t xml:space="preserve">12.2(3.2+9)%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</si>
  <si>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-57</t>
    </r>
  </si>
  <si>
    <t xml:space="preserve">28+4a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</si>
  <si>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28 </t>
    </r>
    <r>
      <rPr>
        <sz val="10"/>
        <rFont val="WenQuanYi Zen Hei"/>
        <family val="2"/>
      </rPr>
      <t xml:space="preserve">라이아노딘 수용체 조절제 </t>
    </r>
    <r>
      <rPr>
        <sz val="10"/>
        <rFont val="맑은 고딕"/>
        <family val="0"/>
        <charset val="1"/>
      </rPr>
      <t xml:space="preserve">- Diamides(</t>
    </r>
    <r>
      <rPr>
        <sz val="10"/>
        <rFont val="WenQuanYi Zen Hei"/>
        <family val="2"/>
      </rPr>
      <t xml:space="preserve">디아마이드계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클로란트라닐리프롤 등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</si>
  <si>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미네토듀오</t>
  </si>
  <si>
    <r>
      <rPr>
        <sz val="10"/>
        <rFont val="WenQuanYi Zen Hei"/>
        <family val="2"/>
      </rPr>
      <t xml:space="preserve">사이안트라닐리프롤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티아메톡삼 입상수화제</t>
    </r>
  </si>
  <si>
    <t xml:space="preserve">Cyantraniliprole+Thiamethoxam</t>
  </si>
  <si>
    <t xml:space="preserve">40(20+20)%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</si>
  <si>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-321</t>
    </r>
  </si>
  <si>
    <t xml:space="preserve">볼리암후레쉬</t>
  </si>
  <si>
    <r>
      <rPr>
        <sz val="10"/>
        <rFont val="WenQuanYi Zen Hei"/>
        <family val="2"/>
      </rPr>
      <t xml:space="preserve">클로란트라닐리프롤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티아메톡삼 액상수화제</t>
    </r>
  </si>
  <si>
    <t xml:space="preserve">Chlorantraniliprole+Thiamethoxam</t>
  </si>
  <si>
    <t xml:space="preserve">24.5(8+16.5)%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</si>
  <si>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-307</t>
    </r>
  </si>
  <si>
    <r>
      <rPr>
        <sz val="10"/>
        <rFont val="WenQuanYi Zen Hei"/>
        <family val="2"/>
      </rPr>
      <t xml:space="preserve">클로란트라닐리프롤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액상수화제</t>
    </r>
  </si>
  <si>
    <t xml:space="preserve">7.15(5+2.15)%</t>
  </si>
  <si>
    <t xml:space="preserve">다트롤</t>
  </si>
  <si>
    <t xml:space="preserve">플룩사메타마이드 유탁제</t>
  </si>
  <si>
    <t xml:space="preserve">Fluxametamide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</si>
  <si>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-394</t>
    </r>
  </si>
  <si>
    <t xml:space="preserve">아이소사이클로세람 액상수화제</t>
  </si>
  <si>
    <t xml:space="preserve">18.3%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</si>
  <si>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-62</t>
    </r>
  </si>
  <si>
    <t xml:space="preserve">제라진</t>
  </si>
  <si>
    <t xml:space="preserve">브로플라닐라이드 유제</t>
  </si>
  <si>
    <t xml:space="preserve">Broflanilide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</si>
  <si>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-373</t>
    </r>
  </si>
  <si>
    <t xml:space="preserve">캡틴</t>
  </si>
  <si>
    <t xml:space="preserve">플룩사메타마이드 유제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</si>
  <si>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-531</t>
    </r>
  </si>
  <si>
    <t xml:space="preserve">30+22b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</si>
  <si>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30 GABA</t>
    </r>
    <r>
      <rPr>
        <sz val="10"/>
        <rFont val="WenQuanYi Zen Hei"/>
        <family val="2"/>
      </rPr>
      <t xml:space="preserve">개폐 염소채널 알로스테릭 조절제 </t>
    </r>
    <r>
      <rPr>
        <sz val="10"/>
        <rFont val="맑은 고딕"/>
        <family val="0"/>
        <charset val="1"/>
      </rPr>
      <t xml:space="preserve">- Isoxazolines/Meta-diamides</t>
    </r>
    <r>
      <rPr>
        <sz val="10"/>
        <rFont val="WenQuanYi Zen Hei"/>
        <family val="2"/>
      </rPr>
      <t xml:space="preserve">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전압의존 나트륨채널 차단제 </t>
    </r>
    <r>
      <rPr>
        <sz val="10"/>
        <rFont val="맑은 고딕"/>
        <family val="0"/>
        <charset val="1"/>
      </rPr>
      <t xml:space="preserve">- Semicarbazones(</t>
    </r>
    <r>
      <rPr>
        <sz val="10"/>
        <rFont val="WenQuanYi Zen Hei"/>
        <family val="2"/>
      </rPr>
      <t xml:space="preserve">메타플루미존</t>
    </r>
    <r>
      <rPr>
        <sz val="10"/>
        <rFont val="맑은 고딕"/>
        <family val="0"/>
        <charset val="1"/>
      </rPr>
      <t xml:space="preserve">)</t>
    </r>
  </si>
  <si>
    <t xml:space="preserve">라이징</t>
  </si>
  <si>
    <r>
      <rPr>
        <sz val="10"/>
        <rFont val="WenQuanYi Zen Hei"/>
        <family val="2"/>
      </rPr>
      <t xml:space="preserve">플룩사메타마이드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메타플루미존 유제</t>
    </r>
  </si>
  <si>
    <t xml:space="preserve">Fluxametamide+Metaflumizone</t>
  </si>
  <si>
    <t xml:space="preserve">7(4+3)%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</si>
  <si>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-387</t>
    </r>
  </si>
  <si>
    <t xml:space="preserve">30+6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</si>
  <si>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30 GABA</t>
    </r>
    <r>
      <rPr>
        <sz val="10"/>
        <rFont val="WenQuanYi Zen Hei"/>
        <family val="2"/>
      </rPr>
      <t xml:space="preserve">개폐 염소채널 알로스테릭 조절제 </t>
    </r>
    <r>
      <rPr>
        <sz val="10"/>
        <rFont val="맑은 고딕"/>
        <family val="0"/>
        <charset val="1"/>
      </rPr>
      <t xml:space="preserve">- Isoxazolines/Meta-diamides</t>
    </r>
    <r>
      <rPr>
        <sz val="10"/>
        <rFont val="WenQuanYi Zen Hei"/>
        <family val="2"/>
      </rPr>
      <t xml:space="preserve">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</t>
    </r>
  </si>
  <si>
    <t xml:space="preserve">포르티스브이</t>
  </si>
  <si>
    <r>
      <rPr>
        <sz val="10"/>
        <rFont val="WenQuanYi Zen Hei"/>
        <family val="2"/>
      </rPr>
      <t xml:space="preserve">브로플라닐라이드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유제</t>
    </r>
  </si>
  <si>
    <t xml:space="preserve">Broflanilide+Emamectin benzoate</t>
  </si>
  <si>
    <t xml:space="preserve">6.65(4.5+2.15)%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</si>
  <si>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-599</t>
    </r>
  </si>
  <si>
    <r>
      <rPr>
        <sz val="10"/>
        <rFont val="WenQuanYi Zen Hei"/>
        <family val="2"/>
      </rPr>
      <t xml:space="preserve">플룩사메타마이드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피리플루퀴나존 유제</t>
    </r>
  </si>
  <si>
    <t xml:space="preserve">6(3.5+2.5)%</t>
  </si>
  <si>
    <t xml:space="preserve">34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</si>
  <si>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34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III </t>
    </r>
    <r>
      <rPr>
        <sz val="10"/>
        <rFont val="WenQuanYi Zen Hei"/>
        <family val="2"/>
      </rPr>
      <t xml:space="preserve">억제</t>
    </r>
    <r>
      <rPr>
        <sz val="10"/>
        <rFont val="맑은 고딕"/>
        <family val="0"/>
        <charset val="1"/>
      </rPr>
      <t xml:space="preserve">(Qi) - Flometoquin</t>
    </r>
  </si>
  <si>
    <t xml:space="preserve">총알탄</t>
  </si>
  <si>
    <t xml:space="preserve">플로메토퀸 액상수화제</t>
  </si>
  <si>
    <t xml:space="preserve">Flometoquin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</si>
  <si>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-552</t>
    </r>
  </si>
  <si>
    <t xml:space="preserve">총채탄</t>
  </si>
  <si>
    <t xml:space="preserve">아크리나트린 액상수화제</t>
  </si>
  <si>
    <t xml:space="preserve">Acrinathrin</t>
  </si>
  <si>
    <t xml:space="preserve">5.7%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</si>
  <si>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-495</t>
    </r>
  </si>
  <si>
    <t xml:space="preserve">3a+15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</si>
  <si>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15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(CHS1) - Benzoylureas(</t>
    </r>
    <r>
      <rPr>
        <sz val="10"/>
        <rFont val="WenQuanYi Zen Hei"/>
        <family val="2"/>
      </rPr>
      <t xml:space="preserve">벤조일우레아계</t>
    </r>
    <r>
      <rPr>
        <sz val="10"/>
        <rFont val="맑은 고딕"/>
        <family val="0"/>
        <charset val="1"/>
      </rPr>
      <t xml:space="preserve">)</t>
    </r>
  </si>
  <si>
    <t xml:space="preserve">다이몬파스트</t>
  </si>
  <si>
    <r>
      <rPr>
        <sz val="10"/>
        <rFont val="WenQuanYi Zen Hei"/>
        <family val="2"/>
      </rPr>
      <t xml:space="preserve">비펜트린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노발루론 액상수화제</t>
    </r>
  </si>
  <si>
    <t xml:space="preserve">Bifenthrin+Novaluron</t>
  </si>
  <si>
    <t xml:space="preserve">9.4(4.7+4.7)%</t>
  </si>
  <si>
    <r>
      <rPr>
        <sz val="10"/>
        <rFont val="맑은 고딕"/>
        <family val="0"/>
        <charset val="1"/>
      </rPr>
      <t xml:space="preserve">47-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-24</t>
    </r>
  </si>
  <si>
    <t xml:space="preserve">디펜트</t>
  </si>
  <si>
    <r>
      <rPr>
        <sz val="10"/>
        <rFont val="WenQuanYi Zen Hei"/>
        <family val="2"/>
      </rPr>
      <t xml:space="preserve">비펜트린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디클로르보스 유제</t>
    </r>
  </si>
  <si>
    <t xml:space="preserve">Bifenthrin+Dichlorvos</t>
  </si>
  <si>
    <t xml:space="preserve">20.5(0.5+20)%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</si>
  <si>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-364</t>
    </r>
  </si>
  <si>
    <t xml:space="preserve">3a+4a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</si>
  <si>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</si>
  <si>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천하무적</t>
  </si>
  <si>
    <r>
      <rPr>
        <sz val="10"/>
        <rFont val="WenQuanYi Zen Hei"/>
        <family val="2"/>
      </rPr>
      <t xml:space="preserve">비펜트린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수화제</t>
    </r>
  </si>
  <si>
    <t xml:space="preserve">Bifenthrin+Imidacloprid</t>
  </si>
  <si>
    <t xml:space="preserve">10(2+8)%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</si>
  <si>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-500</t>
    </r>
  </si>
  <si>
    <t xml:space="preserve">아세타미프리드 수화제</t>
  </si>
  <si>
    <t xml:space="preserve">Acetamiprid</t>
  </si>
  <si>
    <t xml:space="preserve">슐탄</t>
  </si>
  <si>
    <t xml:space="preserve">디노테퓨란 액제</t>
  </si>
  <si>
    <t xml:space="preserve">Dinotefuran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</si>
  <si>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-252</t>
    </r>
  </si>
  <si>
    <t xml:space="preserve">신엑스</t>
  </si>
  <si>
    <t xml:space="preserve">아세타미프리드 액제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</si>
  <si>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-332</t>
    </r>
  </si>
  <si>
    <t xml:space="preserve">코나돈</t>
  </si>
  <si>
    <t xml:space="preserve">이미다클로프리드 미탁제</t>
  </si>
  <si>
    <r>
      <rPr>
        <sz val="10"/>
        <rFont val="맑은 고딕"/>
        <family val="0"/>
        <charset val="1"/>
      </rPr>
      <t xml:space="preserve">78-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</t>
    </r>
  </si>
  <si>
    <t xml:space="preserve">크로스</t>
  </si>
  <si>
    <r>
      <rPr>
        <sz val="10"/>
        <rFont val="맑은 고딕"/>
        <family val="0"/>
        <charset val="1"/>
      </rPr>
      <t xml:space="preserve">85-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</t>
    </r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</si>
  <si>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-67</t>
    </r>
  </si>
  <si>
    <t xml:space="preserve">4a+15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</si>
  <si>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15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(CHS1) - Benzoylureas(</t>
    </r>
    <r>
      <rPr>
        <sz val="10"/>
        <rFont val="WenQuanYi Zen Hei"/>
        <family val="2"/>
      </rPr>
      <t xml:space="preserve">벤조일우레아계</t>
    </r>
    <r>
      <rPr>
        <sz val="10"/>
        <rFont val="맑은 고딕"/>
        <family val="0"/>
        <charset val="1"/>
      </rPr>
      <t xml:space="preserve">)</t>
    </r>
  </si>
  <si>
    <t xml:space="preserve">귀공자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</si>
  <si>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루페뉴론 수화제</t>
    </r>
  </si>
  <si>
    <t xml:space="preserve">Acetamiprid+Lufenuron</t>
  </si>
  <si>
    <t xml:space="preserve">13(8+5)%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</si>
  <si>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-525</t>
    </r>
  </si>
  <si>
    <t xml:space="preserve">젠토런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</si>
  <si>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루페뉴론 액상수화제</t>
    </r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</si>
  <si>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-46</t>
    </r>
  </si>
  <si>
    <t xml:space="preserve">코모란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</si>
  <si>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노발루론 유제</t>
    </r>
  </si>
  <si>
    <t xml:space="preserve">Acetamiprid.Novaluron</t>
  </si>
  <si>
    <t xml:space="preserve">16(7+9)%</t>
  </si>
  <si>
    <r>
      <rPr>
        <sz val="10"/>
        <rFont val="맑은 고딕"/>
        <family val="0"/>
        <charset val="1"/>
      </rPr>
      <t xml:space="preserve">44-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</t>
    </r>
  </si>
  <si>
    <t xml:space="preserve">Acetamiprid+Novaluron</t>
  </si>
  <si>
    <r>
      <rPr>
        <sz val="10"/>
        <rFont val="WenQuanYi Zen Hei"/>
        <family val="2"/>
      </rPr>
      <t xml:space="preserve">한국마간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</si>
  <si>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</t>
    </r>
  </si>
  <si>
    <r>
      <rPr>
        <sz val="10"/>
        <rFont val="맑은 고딕"/>
        <family val="0"/>
        <charset val="1"/>
      </rPr>
      <t xml:space="preserve">47-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</t>
    </r>
  </si>
  <si>
    <t xml:space="preserve">4a+22a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</si>
  <si>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전압의존 나트륨채널 차단제 </t>
    </r>
    <r>
      <rPr>
        <sz val="10"/>
        <rFont val="맑은 고딕"/>
        <family val="0"/>
        <charset val="1"/>
      </rPr>
      <t xml:space="preserve">- Oxadiazines(</t>
    </r>
    <r>
      <rPr>
        <sz val="10"/>
        <rFont val="WenQuanYi Zen Hei"/>
        <family val="2"/>
      </rPr>
      <t xml:space="preserve">인독사카브</t>
    </r>
    <r>
      <rPr>
        <sz val="10"/>
        <rFont val="맑은 고딕"/>
        <family val="0"/>
        <charset val="1"/>
      </rPr>
      <t xml:space="preserve">)</t>
    </r>
  </si>
  <si>
    <t xml:space="preserve">맹타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</si>
  <si>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인독사카브 수화제</t>
    </r>
  </si>
  <si>
    <t xml:space="preserve">Acetamiprid+Indoxacarb</t>
  </si>
  <si>
    <t xml:space="preserve">9(4+5)%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</si>
  <si>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-554</t>
    </r>
  </si>
  <si>
    <t xml:space="preserve">캐치온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</si>
  <si>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인독사카브 액상수화제</t>
    </r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</si>
  <si>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-89</t>
    </r>
  </si>
  <si>
    <t xml:space="preserve">Acetamiprid.Indoxacarb</t>
  </si>
  <si>
    <r>
      <rPr>
        <sz val="10"/>
        <rFont val="맑은 고딕"/>
        <family val="0"/>
        <charset val="1"/>
      </rPr>
      <t xml:space="preserve">60-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</t>
    </r>
  </si>
  <si>
    <t xml:space="preserve">4a+3a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</si>
  <si>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</t>
    </r>
  </si>
  <si>
    <t xml:space="preserve">만장일치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</si>
  <si>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에토펜프록스 수화제</t>
    </r>
  </si>
  <si>
    <t xml:space="preserve">Acetamiprid+Etofenprox</t>
  </si>
  <si>
    <t xml:space="preserve">10.5(2.5+8)%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</si>
  <si>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-252</t>
    </r>
  </si>
  <si>
    <t xml:space="preserve">피리처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</si>
  <si>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-123</t>
    </r>
  </si>
  <si>
    <t xml:space="preserve">4a+5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</si>
  <si>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5 nAChR </t>
    </r>
    <r>
      <rPr>
        <sz val="10"/>
        <rFont val="WenQuanYi Zen Hei"/>
        <family val="2"/>
      </rPr>
      <t xml:space="preserve">알로스테릭 조절제</t>
    </r>
    <r>
      <rPr>
        <sz val="10"/>
        <rFont val="맑은 고딕"/>
        <family val="0"/>
        <charset val="1"/>
      </rPr>
      <t xml:space="preserve">(Site I) - Spinosyns(</t>
    </r>
    <r>
      <rPr>
        <sz val="10"/>
        <rFont val="WenQuanYi Zen Hei"/>
        <family val="2"/>
      </rPr>
      <t xml:space="preserve">스피노신계</t>
    </r>
    <r>
      <rPr>
        <sz val="10"/>
        <rFont val="맑은 고딕"/>
        <family val="0"/>
        <charset val="1"/>
      </rPr>
      <t xml:space="preserve">)</t>
    </r>
  </si>
  <si>
    <t xml:space="preserve">격파</t>
  </si>
  <si>
    <r>
      <rPr>
        <sz val="10"/>
        <rFont val="WenQuanYi Zen Hei"/>
        <family val="2"/>
      </rPr>
      <t xml:space="preserve">디노테퓨란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스피네토람 입상수화제</t>
    </r>
  </si>
  <si>
    <t xml:space="preserve">Dinotefuran+Spinetoram</t>
  </si>
  <si>
    <t xml:space="preserve">20(16+4)%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</si>
  <si>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-405</t>
    </r>
  </si>
  <si>
    <t xml:space="preserve">금관총</t>
  </si>
  <si>
    <r>
      <rPr>
        <sz val="10"/>
        <rFont val="WenQuanYi Zen Hei"/>
        <family val="2"/>
      </rPr>
      <t xml:space="preserve">클로티아니딘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스피네토람 액상수화제</t>
    </r>
  </si>
  <si>
    <t xml:space="preserve">Clothianidin+Spinetoram</t>
  </si>
  <si>
    <t xml:space="preserve">10(6+4)%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</si>
  <si>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-309</t>
    </r>
  </si>
  <si>
    <t xml:space="preserve">당찬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</si>
  <si>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스피네토람 액상수화제</t>
    </r>
  </si>
  <si>
    <t xml:space="preserve">Acetamiprid+Spinetoram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</si>
  <si>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-376</t>
    </r>
  </si>
  <si>
    <t xml:space="preserve">4a+6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</si>
  <si>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</t>
    </r>
  </si>
  <si>
    <t xml:space="preserve">살무사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</si>
  <si>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액제</t>
    </r>
  </si>
  <si>
    <t xml:space="preserve">Acetamiprid+Emamectin benzoate</t>
  </si>
  <si>
    <t xml:space="preserve">10(8+2)%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</si>
  <si>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-31</t>
    </r>
  </si>
  <si>
    <t xml:space="preserve">스코프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</si>
  <si>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분산성액제</t>
    </r>
  </si>
  <si>
    <t xml:space="preserve">22.01(18.82+3.19)%</t>
  </si>
  <si>
    <r>
      <rPr>
        <sz val="10"/>
        <rFont val="맑은 고딕"/>
        <family val="0"/>
        <charset val="1"/>
      </rPr>
      <t xml:space="preserve">47-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-31</t>
    </r>
  </si>
  <si>
    <t xml:space="preserve">온천하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</si>
  <si>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입상수화제</t>
    </r>
  </si>
  <si>
    <t xml:space="preserve">10.5(8+2.5)%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</si>
  <si>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-525</t>
    </r>
  </si>
  <si>
    <t xml:space="preserve">크레모아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</si>
  <si>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-380</t>
    </r>
  </si>
  <si>
    <t xml:space="preserve">스피네토람 입상수화제</t>
  </si>
  <si>
    <t xml:space="preserve">Spinetoram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</si>
  <si>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-313</t>
    </r>
  </si>
  <si>
    <t xml:space="preserve">부메랑</t>
  </si>
  <si>
    <t xml:space="preserve">스피노사드 입상수화제</t>
  </si>
  <si>
    <t xml:space="preserve">Spinosad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</si>
  <si>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-139</t>
    </r>
  </si>
  <si>
    <t xml:space="preserve">스누피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</si>
  <si>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-50</t>
    </r>
  </si>
  <si>
    <t xml:space="preserve">스피네토람 액상수화제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</si>
  <si>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-250</t>
    </r>
  </si>
  <si>
    <t xml:space="preserve">엑셀트</t>
  </si>
  <si>
    <r>
      <rPr>
        <sz val="10"/>
        <rFont val="WenQuanYi Zen Hei"/>
        <family val="2"/>
      </rPr>
      <t xml:space="preserve">스피네토람 </t>
    </r>
    <r>
      <rPr>
        <sz val="10"/>
        <rFont val="맑은 고딕"/>
        <family val="0"/>
        <charset val="1"/>
      </rPr>
      <t xml:space="preserve">5%</t>
    </r>
  </si>
  <si>
    <t xml:space="preserve">구매 필요</t>
  </si>
  <si>
    <t xml:space="preserve">㈜동방아그로</t>
  </si>
  <si>
    <t xml:space="preserve">Sheet1</t>
  </si>
  <si>
    <t xml:space="preserve">칼라틴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</si>
  <si>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-185</t>
    </r>
  </si>
  <si>
    <t xml:space="preserve">검투사</t>
  </si>
  <si>
    <t xml:space="preserve">레피멕틴 유제</t>
  </si>
  <si>
    <t xml:space="preserve">Lepimectin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</si>
  <si>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-347</t>
    </r>
  </si>
  <si>
    <t xml:space="preserve">에마멕틴벤조에이트 유제</t>
  </si>
  <si>
    <t xml:space="preserve">Emamectin benzoate</t>
  </si>
  <si>
    <r>
      <rPr>
        <sz val="10"/>
        <rFont val="맑은 고딕"/>
        <family val="0"/>
        <charset val="1"/>
      </rPr>
      <t xml:space="preserve">127-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</t>
    </r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</si>
  <si>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</t>
    </r>
  </si>
  <si>
    <t xml:space="preserve">레인지</t>
  </si>
  <si>
    <t xml:space="preserve">에마멕틴벤조에이트 미탁제</t>
  </si>
  <si>
    <r>
      <rPr>
        <sz val="10"/>
        <rFont val="맑은 고딕"/>
        <family val="0"/>
        <charset val="1"/>
      </rPr>
      <t xml:space="preserve">74-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</t>
    </r>
  </si>
  <si>
    <r>
      <rPr>
        <sz val="10"/>
        <rFont val="맑은 고딕"/>
        <family val="0"/>
        <charset val="1"/>
      </rPr>
      <t xml:space="preserve">53-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</t>
    </r>
  </si>
  <si>
    <r>
      <rPr>
        <sz val="10"/>
        <rFont val="맑은 고딕"/>
        <family val="0"/>
        <charset val="1"/>
      </rPr>
      <t xml:space="preserve">128-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</t>
    </r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</si>
  <si>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-89</t>
    </r>
  </si>
  <si>
    <r>
      <rPr>
        <sz val="10"/>
        <rFont val="맑은 고딕"/>
        <family val="0"/>
        <charset val="1"/>
      </rPr>
      <t xml:space="preserve">21-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</t>
    </r>
  </si>
  <si>
    <r>
      <rPr>
        <sz val="10"/>
        <rFont val="맑은 고딕"/>
        <family val="0"/>
        <charset val="1"/>
      </rPr>
      <t xml:space="preserve">21-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-56</t>
    </r>
  </si>
  <si>
    <t xml:space="preserve">아그리젠토레전드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</si>
  <si>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-76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</si>
  <si>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-454</t>
    </r>
  </si>
  <si>
    <t xml:space="preserve">아바멕틴 미탁제</t>
  </si>
  <si>
    <t xml:space="preserve">Abamectin</t>
  </si>
  <si>
    <r>
      <rPr>
        <sz val="10"/>
        <rFont val="맑은 고딕"/>
        <family val="0"/>
        <charset val="1"/>
      </rPr>
      <t xml:space="preserve">74-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</t>
    </r>
  </si>
  <si>
    <r>
      <rPr>
        <sz val="10"/>
        <rFont val="맑은 고딕"/>
        <family val="0"/>
        <charset val="1"/>
      </rPr>
      <t xml:space="preserve">69-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</t>
    </r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</si>
  <si>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-333</t>
    </r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</si>
  <si>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</t>
    </r>
  </si>
  <si>
    <t xml:space="preserve">아바멕틴 유제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</si>
  <si>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</t>
    </r>
  </si>
  <si>
    <r>
      <rPr>
        <sz val="10"/>
        <rFont val="맑은 고딕"/>
        <family val="0"/>
        <charset val="1"/>
      </rPr>
      <t xml:space="preserve">44-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</t>
    </r>
  </si>
  <si>
    <r>
      <rPr>
        <sz val="10"/>
        <rFont val="맑은 고딕"/>
        <family val="0"/>
        <charset val="1"/>
      </rPr>
      <t xml:space="preserve">47-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</t>
    </r>
  </si>
  <si>
    <t xml:space="preserve">제트팜</t>
  </si>
  <si>
    <t xml:space="preserve">에마멕틴벤조에이트 유탁제</t>
  </si>
  <si>
    <t xml:space="preserve">2.2%</t>
  </si>
  <si>
    <r>
      <rPr>
        <sz val="10"/>
        <rFont val="맑은 고딕"/>
        <family val="0"/>
        <charset val="1"/>
      </rPr>
      <t xml:space="preserve">45-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-76</t>
    </r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</si>
  <si>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-75</t>
    </r>
  </si>
  <si>
    <r>
      <rPr>
        <sz val="10"/>
        <rFont val="맑은 고딕"/>
        <family val="0"/>
        <charset val="1"/>
      </rPr>
      <t xml:space="preserve">70-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-27</t>
    </r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</si>
  <si>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-137</t>
    </r>
  </si>
  <si>
    <r>
      <rPr>
        <sz val="10"/>
        <rFont val="맑은 고딕"/>
        <family val="0"/>
        <charset val="1"/>
      </rPr>
      <t xml:space="preserve">70-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</t>
    </r>
  </si>
  <si>
    <r>
      <rPr>
        <sz val="10"/>
        <rFont val="맑은 고딕"/>
        <family val="0"/>
        <charset val="1"/>
      </rPr>
      <t xml:space="preserve">95-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</t>
    </r>
  </si>
  <si>
    <t xml:space="preserve">6+10b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</si>
  <si>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10 </t>
    </r>
    <r>
      <rPr>
        <sz val="10"/>
        <rFont val="WenQuanYi Zen Hei"/>
        <family val="2"/>
      </rPr>
      <t xml:space="preserve">응애 성장억제</t>
    </r>
    <r>
      <rPr>
        <sz val="10"/>
        <rFont val="맑은 고딕"/>
        <family val="0"/>
        <charset val="1"/>
      </rPr>
      <t xml:space="preserve">(CHS1) - Etoxazole</t>
    </r>
  </si>
  <si>
    <t xml:space="preserve">응애스타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</si>
  <si>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에톡사졸 액상수화제</t>
    </r>
  </si>
  <si>
    <t xml:space="preserve">Abamectin+Etoxazole</t>
  </si>
  <si>
    <t xml:space="preserve">9.3(1.8+7.5)%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</si>
  <si>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-165</t>
    </r>
  </si>
  <si>
    <t xml:space="preserve">6+13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</si>
  <si>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</t>
    </r>
  </si>
  <si>
    <t xml:space="preserve">삼중살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</si>
  <si>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클로르페나피르 액상수화제</t>
    </r>
  </si>
  <si>
    <t xml:space="preserve">Abamectin+Chlorfenapyr</t>
  </si>
  <si>
    <t xml:space="preserve">11.7(1.7+10)%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</si>
  <si>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-179</t>
    </r>
  </si>
  <si>
    <t xml:space="preserve">총채스타</t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</si>
  <si>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-60</t>
    </r>
  </si>
  <si>
    <r>
      <rPr>
        <sz val="10"/>
        <rFont val="WenQuanYi Zen Hei"/>
        <family val="2"/>
      </rPr>
      <t xml:space="preserve">에마멕틴벤조에이트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인독사카브 수화제</t>
    </r>
  </si>
  <si>
    <t xml:space="preserve">9.7(1.7+8)%</t>
  </si>
  <si>
    <t xml:space="preserve">티렉스</t>
  </si>
  <si>
    <r>
      <rPr>
        <sz val="10"/>
        <rFont val="WenQuanYi Zen Hei"/>
        <family val="2"/>
      </rPr>
      <t xml:space="preserve">에마멕틴벤조에이트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인독사카브 액상수화제</t>
    </r>
  </si>
  <si>
    <t xml:space="preserve">12.15(2.15+10)%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</si>
  <si>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-193</t>
    </r>
  </si>
  <si>
    <t xml:space="preserve">6+23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</si>
  <si>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23 </t>
    </r>
    <r>
      <rPr>
        <sz val="10"/>
        <rFont val="WenQuanYi Zen Hei"/>
        <family val="2"/>
      </rPr>
      <t xml:space="preserve">아세틸</t>
    </r>
    <r>
      <rPr>
        <sz val="10"/>
        <rFont val="맑은 고딕"/>
        <family val="0"/>
        <charset val="1"/>
      </rPr>
      <t xml:space="preserve">-CoA</t>
    </r>
    <r>
      <rPr>
        <sz val="10"/>
        <rFont val="WenQuanYi Zen Hei"/>
        <family val="2"/>
      </rPr>
      <t xml:space="preserve">카르복실화효소 억제 </t>
    </r>
    <r>
      <rPr>
        <sz val="10"/>
        <rFont val="맑은 고딕"/>
        <family val="0"/>
        <charset val="1"/>
      </rPr>
      <t xml:space="preserve">- Tetronic/Tetramic acid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스피로계</t>
    </r>
    <r>
      <rPr>
        <sz val="10"/>
        <rFont val="맑은 고딕"/>
        <family val="0"/>
        <charset val="1"/>
      </rPr>
      <t xml:space="preserve">)</t>
    </r>
  </si>
  <si>
    <t xml:space="preserve">비수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</si>
  <si>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스피로디클로펜 액상수화제</t>
    </r>
  </si>
  <si>
    <t xml:space="preserve">Abamectin+Spirodiclofen</t>
  </si>
  <si>
    <t xml:space="preserve">29.2(1.2+28)%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</si>
  <si>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-73</t>
    </r>
  </si>
  <si>
    <t xml:space="preserve">엔비도스피드</t>
  </si>
  <si>
    <t xml:space="preserve">22.23(1.67+20.56)%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</si>
  <si>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-22</t>
    </r>
  </si>
  <si>
    <t xml:space="preserve">6+28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</si>
  <si>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28 </t>
    </r>
    <r>
      <rPr>
        <sz val="10"/>
        <rFont val="WenQuanYi Zen Hei"/>
        <family val="2"/>
      </rPr>
      <t xml:space="preserve">라이아노딘 수용체 조절제 </t>
    </r>
    <r>
      <rPr>
        <sz val="10"/>
        <rFont val="맑은 고딕"/>
        <family val="0"/>
        <charset val="1"/>
      </rPr>
      <t xml:space="preserve">- Diamides(</t>
    </r>
    <r>
      <rPr>
        <sz val="10"/>
        <rFont val="WenQuanYi Zen Hei"/>
        <family val="2"/>
      </rPr>
      <t xml:space="preserve">디아마이드계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클로란트라닐리프롤 등</t>
    </r>
    <r>
      <rPr>
        <sz val="10"/>
        <rFont val="맑은 고딕"/>
        <family val="0"/>
        <charset val="1"/>
      </rPr>
      <t xml:space="preserve">)</t>
    </r>
  </si>
  <si>
    <t xml:space="preserve">로보팜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</si>
  <si>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클로란트라닐리프롤 액상수화제</t>
    </r>
  </si>
  <si>
    <t xml:space="preserve">Abamectin.Chlorantraniliprole</t>
  </si>
  <si>
    <t xml:space="preserve">6(1.714+4.286)%</t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</si>
  <si>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-94</t>
    </r>
  </si>
  <si>
    <t xml:space="preserve">모스커트</t>
  </si>
  <si>
    <t xml:space="preserve">Abamectin+Chlorantraniliprole</t>
  </si>
  <si>
    <r>
      <rPr>
        <sz val="10"/>
        <rFont val="맑은 고딕"/>
        <family val="0"/>
        <charset val="1"/>
      </rPr>
      <t xml:space="preserve">70-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-39</t>
    </r>
  </si>
  <si>
    <t xml:space="preserve">볼리암타고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</si>
  <si>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-40</t>
    </r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</si>
  <si>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-348</t>
    </r>
  </si>
  <si>
    <t xml:space="preserve">블랙펜스</t>
  </si>
  <si>
    <r>
      <rPr>
        <sz val="10"/>
        <rFont val="맑은 고딕"/>
        <family val="0"/>
        <charset val="1"/>
      </rPr>
      <t xml:space="preserve">76-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-75</t>
    </r>
  </si>
  <si>
    <t xml:space="preserve">블레이저</t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</si>
  <si>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-100</t>
    </r>
  </si>
  <si>
    <t xml:space="preserve">아피스</t>
  </si>
  <si>
    <r>
      <rPr>
        <sz val="10"/>
        <rFont val="맑은 고딕"/>
        <family val="0"/>
        <charset val="1"/>
      </rPr>
      <t xml:space="preserve">47-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-32</t>
    </r>
  </si>
  <si>
    <t xml:space="preserve">토너먼트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</si>
  <si>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-63</t>
    </r>
  </si>
  <si>
    <r>
      <rPr>
        <sz val="10"/>
        <rFont val="WenQuanYi Zen Hei"/>
        <family val="2"/>
      </rPr>
      <t xml:space="preserve">에마멕틴벤조에이트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플로니카미드 입상수화제</t>
    </r>
  </si>
  <si>
    <t xml:space="preserve">9(2+7)%</t>
  </si>
  <si>
    <t xml:space="preserve">6+34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</si>
  <si>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34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III </t>
    </r>
    <r>
      <rPr>
        <sz val="10"/>
        <rFont val="WenQuanYi Zen Hei"/>
        <family val="2"/>
      </rPr>
      <t xml:space="preserve">억제</t>
    </r>
    <r>
      <rPr>
        <sz val="10"/>
        <rFont val="맑은 고딕"/>
        <family val="0"/>
        <charset val="1"/>
      </rPr>
      <t xml:space="preserve">(Qi) - Flometoquin</t>
    </r>
  </si>
  <si>
    <t xml:space="preserve">총채나방방</t>
  </si>
  <si>
    <r>
      <rPr>
        <sz val="10"/>
        <rFont val="WenQuanYi Zen Hei"/>
        <family val="2"/>
      </rPr>
      <t xml:space="preserve">에마멕틴벤조에이트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플로메토퀸 액상수화제</t>
    </r>
  </si>
  <si>
    <t xml:space="preserve">Emamectin benzoate+Flometoquin</t>
  </si>
  <si>
    <t xml:space="preserve">12.5(2.5+10)%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</si>
  <si>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-553</t>
    </r>
  </si>
  <si>
    <t xml:space="preserve">퍼펙트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</si>
  <si>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플로메토퀸 액상수화제</t>
    </r>
  </si>
  <si>
    <t xml:space="preserve">Abamectin+Flometoquin</t>
  </si>
  <si>
    <t xml:space="preserve">9.8(0.8+9)%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</si>
  <si>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-396</t>
    </r>
  </si>
  <si>
    <t xml:space="preserve">6+3a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</si>
  <si>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</t>
    </r>
  </si>
  <si>
    <t xml:space="preserve">트립솔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</si>
  <si>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아크리나트린 유탁제</t>
    </r>
  </si>
  <si>
    <t xml:space="preserve">Abamectin+Acrinathrin</t>
  </si>
  <si>
    <t xml:space="preserve">3.6(1.3+2.3)%</t>
  </si>
  <si>
    <r>
      <rPr>
        <sz val="10"/>
        <rFont val="WenQuanYi Zen Hei"/>
        <family val="2"/>
      </rPr>
      <t xml:space="preserve">에프엠씨코리아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</si>
  <si>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-22</t>
    </r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</si>
  <si>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</t>
    </r>
  </si>
  <si>
    <t xml:space="preserve">6+4a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</si>
  <si>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</si>
  <si>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온사랑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</si>
  <si>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아세타미프리드 미탁제</t>
    </r>
  </si>
  <si>
    <t xml:space="preserve">Abamectin+Acetamiprid</t>
  </si>
  <si>
    <t xml:space="preserve">8.6(1.6+7)%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</si>
  <si>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-499</t>
    </r>
  </si>
  <si>
    <t xml:space="preserve">충가새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</si>
  <si>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아세타미프리드 액상수화제</t>
    </r>
  </si>
  <si>
    <t xml:space="preserve">9.5(1.5+8)%</t>
  </si>
  <si>
    <r>
      <rPr>
        <sz val="10"/>
        <rFont val="맑은 고딕"/>
        <family val="0"/>
        <charset val="1"/>
      </rPr>
      <t xml:space="preserve">95-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</t>
    </r>
  </si>
  <si>
    <t xml:space="preserve">충카트</t>
  </si>
  <si>
    <r>
      <rPr>
        <sz val="10"/>
        <rFont val="맑은 고딕"/>
        <family val="0"/>
        <charset val="1"/>
      </rPr>
      <t xml:space="preserve">70-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-19</t>
    </r>
  </si>
  <si>
    <t xml:space="preserve">타이틀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</si>
  <si>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아세타미프리드 입상수화제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</si>
  <si>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-576</t>
    </r>
  </si>
  <si>
    <t xml:space="preserve">6+5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</si>
  <si>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5 nAChR </t>
    </r>
    <r>
      <rPr>
        <sz val="10"/>
        <rFont val="WenQuanYi Zen Hei"/>
        <family val="2"/>
      </rPr>
      <t xml:space="preserve">알로스테릭 조절제</t>
    </r>
    <r>
      <rPr>
        <sz val="10"/>
        <rFont val="맑은 고딕"/>
        <family val="0"/>
        <charset val="1"/>
      </rPr>
      <t xml:space="preserve">(Site I) - Spinosyns(</t>
    </r>
    <r>
      <rPr>
        <sz val="10"/>
        <rFont val="WenQuanYi Zen Hei"/>
        <family val="2"/>
      </rPr>
      <t xml:space="preserve">스피노신계</t>
    </r>
    <r>
      <rPr>
        <sz val="10"/>
        <rFont val="맑은 고딕"/>
        <family val="0"/>
        <charset val="1"/>
      </rPr>
      <t xml:space="preserve">)</t>
    </r>
  </si>
  <si>
    <t xml:space="preserve">더블킥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</si>
  <si>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스피네토람 액상수화제</t>
    </r>
  </si>
  <si>
    <t xml:space="preserve">Abamectin+Spinetoram</t>
  </si>
  <si>
    <t xml:space="preserve">4.9(0.9+4)%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</si>
  <si>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-380</t>
    </r>
  </si>
  <si>
    <t xml:space="preserve">6+6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</si>
  <si>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</t>
    </r>
  </si>
  <si>
    <t xml:space="preserve">더블멕틴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</si>
  <si>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미탁제</t>
    </r>
  </si>
  <si>
    <t xml:space="preserve">Abamectin+Emamectin benzoate</t>
  </si>
  <si>
    <t xml:space="preserve">1.8(0.8+1)%</t>
  </si>
  <si>
    <r>
      <rPr>
        <sz val="10"/>
        <rFont val="맑은 고딕"/>
        <family val="0"/>
        <charset val="1"/>
      </rPr>
      <t xml:space="preserve">74-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</t>
    </r>
  </si>
  <si>
    <t xml:space="preserve">아바에마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</si>
  <si>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에마멕틴벤조에이트 수화제</t>
    </r>
  </si>
  <si>
    <t xml:space="preserve">3.4(1.7+1.7)%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</si>
  <si>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-168</t>
    </r>
  </si>
  <si>
    <t xml:space="preserve">아벰</t>
  </si>
  <si>
    <t xml:space="preserve">4.1(1.6+2.5)%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</si>
  <si>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-546</t>
    </r>
  </si>
  <si>
    <t xml:space="preserve">지넥스원</t>
  </si>
  <si>
    <r>
      <rPr>
        <sz val="10"/>
        <rFont val="WenQuanYi Zen Hei"/>
        <family val="2"/>
      </rPr>
      <t xml:space="preserve">지넥스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</si>
  <si>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62-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-43</t>
    </r>
  </si>
  <si>
    <t xml:space="preserve">충체포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</si>
  <si>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-86</t>
    </r>
  </si>
  <si>
    <t xml:space="preserve">6+9b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</si>
  <si>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9 </t>
    </r>
    <r>
      <rPr>
        <sz val="10"/>
        <rFont val="WenQuanYi Zen Hei"/>
        <family val="2"/>
      </rPr>
      <t xml:space="preserve">현음기관 </t>
    </r>
    <r>
      <rPr>
        <sz val="10"/>
        <rFont val="맑은 고딕"/>
        <family val="0"/>
        <charset val="1"/>
      </rPr>
      <t xml:space="preserve">TRPV</t>
    </r>
    <r>
      <rPr>
        <sz val="10"/>
        <rFont val="WenQuanYi Zen Hei"/>
        <family val="2"/>
      </rPr>
      <t xml:space="preserve">채널 조절제 </t>
    </r>
    <r>
      <rPr>
        <sz val="10"/>
        <rFont val="맑은 고딕"/>
        <family val="0"/>
        <charset val="1"/>
      </rPr>
      <t xml:space="preserve">- Pyridine azomethine </t>
    </r>
    <r>
      <rPr>
        <sz val="10"/>
        <rFont val="WenQuanYi Zen Hei"/>
        <family val="2"/>
      </rPr>
      <t xml:space="preserve">유도체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피메트로진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피리플루퀴나존</t>
    </r>
    <r>
      <rPr>
        <sz val="10"/>
        <rFont val="맑은 고딕"/>
        <family val="0"/>
        <charset val="1"/>
      </rPr>
      <t xml:space="preserve">)</t>
    </r>
  </si>
  <si>
    <t xml:space="preserve">왕중왕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</si>
  <si>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피리플루퀴나존 입상수화제</t>
    </r>
  </si>
  <si>
    <t xml:space="preserve">Abamectin+Pyrifluquinazon</t>
  </si>
  <si>
    <t xml:space="preserve">6.5(1.5+5)%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</si>
  <si>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-519</t>
    </r>
  </si>
  <si>
    <r>
      <rPr>
        <sz val="10"/>
        <rFont val="맑은 고딕"/>
        <family val="0"/>
        <charset val="1"/>
      </rPr>
      <t xml:space="preserve">6+</t>
    </r>
    <r>
      <rPr>
        <sz val="10"/>
        <rFont val="WenQuanYi Zen Hei"/>
        <family val="2"/>
      </rPr>
      <t xml:space="preserve">미분류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</si>
  <si>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[</t>
    </r>
    <r>
      <rPr>
        <sz val="10"/>
        <rFont val="WenQuanYi Zen Hei"/>
        <family val="2"/>
      </rPr>
      <t xml:space="preserve">국내 미분류 살충성분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훈증제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에틸포메이트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</t>
    </r>
  </si>
  <si>
    <t xml:space="preserve">피리에마</t>
  </si>
  <si>
    <r>
      <rPr>
        <sz val="10"/>
        <rFont val="WenQuanYi Zen Hei"/>
        <family val="2"/>
      </rPr>
      <t xml:space="preserve">에마멕틴벤조에이트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피리달릴 유현탁제</t>
    </r>
  </si>
  <si>
    <t xml:space="preserve">Emamectin benzoate+Pyridalyl</t>
  </si>
  <si>
    <t xml:space="preserve">22.15(2.15+20)%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</si>
  <si>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-182</t>
    </r>
  </si>
  <si>
    <r>
      <rPr>
        <sz val="10"/>
        <rFont val="WenQuanYi Zen Hei"/>
        <family val="2"/>
      </rPr>
      <t xml:space="preserve">미분류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)+5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</si>
  <si>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국내 미분류 살충성분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훈증제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에틸포메이트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5 nAChR </t>
    </r>
    <r>
      <rPr>
        <sz val="10"/>
        <rFont val="WenQuanYi Zen Hei"/>
        <family val="2"/>
      </rPr>
      <t xml:space="preserve">알로스테릭 조절제</t>
    </r>
    <r>
      <rPr>
        <sz val="10"/>
        <rFont val="맑은 고딕"/>
        <family val="0"/>
        <charset val="1"/>
      </rPr>
      <t xml:space="preserve">(Site I) - Spinosyns(</t>
    </r>
    <r>
      <rPr>
        <sz val="10"/>
        <rFont val="WenQuanYi Zen Hei"/>
        <family val="2"/>
      </rPr>
      <t xml:space="preserve">스피노신계</t>
    </r>
    <r>
      <rPr>
        <sz val="10"/>
        <rFont val="맑은 고딕"/>
        <family val="0"/>
        <charset val="1"/>
      </rPr>
      <t xml:space="preserve">)</t>
    </r>
  </si>
  <si>
    <t xml:space="preserve">썬버드</t>
  </si>
  <si>
    <r>
      <rPr>
        <sz val="10"/>
        <rFont val="WenQuanYi Zen Hei"/>
        <family val="2"/>
      </rPr>
      <t xml:space="preserve">피리달릴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스피네토람 유탁제</t>
    </r>
  </si>
  <si>
    <t xml:space="preserve">Pyridalyl+Spinetoram</t>
  </si>
  <si>
    <t xml:space="preserve">19.5(15+4.5)%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</si>
  <si>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-284</t>
    </r>
  </si>
  <si>
    <r>
      <rPr>
        <sz val="10"/>
        <rFont val="WenQuanYi Zen Hei"/>
        <family val="2"/>
      </rPr>
      <t xml:space="preserve">사</t>
    </r>
    <r>
      <rPr>
        <sz val="10"/>
        <rFont val="맑은 고딕"/>
        <family val="0"/>
        <charset val="1"/>
      </rPr>
      <t xml:space="preserve">1+16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</si>
  <si>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살균 병용성분</t>
    </r>
    <r>
      <rPr>
        <sz val="10"/>
        <rFont val="맑은 고딕"/>
        <family val="0"/>
        <charset val="1"/>
      </rPr>
      <t xml:space="preserve">/IRAC </t>
    </r>
    <r>
      <rPr>
        <sz val="10"/>
        <rFont val="WenQuanYi Zen Hei"/>
        <family val="2"/>
      </rPr>
      <t xml:space="preserve">비대상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트리아졸계 </t>
    </r>
    <r>
      <rPr>
        <sz val="10"/>
        <rFont val="맑은 고딕"/>
        <family val="0"/>
        <charset val="1"/>
      </rPr>
      <t xml:space="preserve">DMI(</t>
    </r>
    <r>
      <rPr>
        <sz val="10"/>
        <rFont val="WenQuanYi Zen Hei"/>
        <family val="2"/>
      </rPr>
      <t xml:space="preserve">테부코나졸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디페노코나졸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16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(type1) - Buprofezin(</t>
    </r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)</t>
    </r>
  </si>
  <si>
    <t xml:space="preserve">총명탄</t>
  </si>
  <si>
    <r>
      <rPr>
        <sz val="10"/>
        <rFont val="WenQuanYi Zen Hei"/>
        <family val="2"/>
      </rPr>
      <t xml:space="preserve">테부코나졸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뷰프로페진 수화제</t>
    </r>
  </si>
  <si>
    <t xml:space="preserve">Tebuconazole+Buprofezin</t>
  </si>
  <si>
    <t xml:space="preserve">27.5(25+2.5)%</t>
  </si>
  <si>
    <r>
      <rPr>
        <sz val="10"/>
        <rFont val="맑은 고딕"/>
        <family val="0"/>
        <charset val="1"/>
      </rPr>
      <t xml:space="preserve">21-</t>
    </r>
    <r>
      <rPr>
        <sz val="10"/>
        <rFont val="WenQuanYi Zen Hei"/>
        <family val="2"/>
      </rPr>
      <t xml:space="preserve">균충</t>
    </r>
    <r>
      <rPr>
        <sz val="10"/>
        <rFont val="맑은 고딕"/>
        <family val="0"/>
        <charset val="1"/>
      </rPr>
      <t xml:space="preserve">-42</t>
    </r>
  </si>
  <si>
    <t xml:space="preserve">백승</t>
  </si>
  <si>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티아클로프리드 액상수화제</t>
    </r>
  </si>
  <si>
    <t xml:space="preserve">Buprofezin.Thiacloprid</t>
  </si>
  <si>
    <t xml:space="preserve">25(20+5)%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</si>
  <si>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-631</t>
    </r>
  </si>
  <si>
    <t xml:space="preserve">팜깍지왕</t>
  </si>
  <si>
    <t xml:space="preserve">Buprofezin+Thiacloprid</t>
  </si>
  <si>
    <r>
      <rPr>
        <sz val="10"/>
        <rFont val="맑은 고딕"/>
        <family val="0"/>
        <charset val="1"/>
      </rPr>
      <t xml:space="preserve">70-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</t>
    </r>
  </si>
  <si>
    <t xml:space="preserve">19+16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</si>
  <si>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19 </t>
    </r>
    <r>
      <rPr>
        <sz val="10"/>
        <rFont val="WenQuanYi Zen Hei"/>
        <family val="2"/>
      </rPr>
      <t xml:space="preserve">옥토파민 수용체 작용제 </t>
    </r>
    <r>
      <rPr>
        <sz val="10"/>
        <rFont val="맑은 고딕"/>
        <family val="0"/>
        <charset val="1"/>
      </rPr>
      <t xml:space="preserve">- Amitraz(</t>
    </r>
    <r>
      <rPr>
        <sz val="10"/>
        <rFont val="WenQuanYi Zen Hei"/>
        <family val="2"/>
      </rPr>
      <t xml:space="preserve">아미트라즈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16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(type1) - Buprofezin(</t>
    </r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)</t>
    </r>
  </si>
  <si>
    <t xml:space="preserve">깍지킬</t>
  </si>
  <si>
    <r>
      <rPr>
        <sz val="10"/>
        <rFont val="WenQuanYi Zen Hei"/>
        <family val="2"/>
      </rPr>
      <t xml:space="preserve">아미트라즈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뷰프로페진 유제</t>
    </r>
  </si>
  <si>
    <t xml:space="preserve">Amitraz+Buprofezin</t>
  </si>
  <si>
    <t xml:space="preserve">25(12.5+12.5)%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</si>
  <si>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</t>
    </r>
  </si>
  <si>
    <t xml:space="preserve">충비상</t>
  </si>
  <si>
    <r>
      <rPr>
        <sz val="10"/>
        <rFont val="맑은 고딕"/>
        <family val="0"/>
        <charset val="1"/>
      </rPr>
      <t xml:space="preserve">74-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</t>
    </r>
  </si>
  <si>
    <t xml:space="preserve">히어로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</si>
  <si>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-164</t>
    </r>
  </si>
  <si>
    <t xml:space="preserve">가루스타</t>
  </si>
  <si>
    <t xml:space="preserve">피리다벤 수화제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</si>
  <si>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-191</t>
    </r>
  </si>
  <si>
    <t xml:space="preserve">무대포</t>
  </si>
  <si>
    <t xml:space="preserve">피리다벤 유탁제</t>
  </si>
  <si>
    <r>
      <rPr>
        <sz val="10"/>
        <rFont val="맑은 고딕"/>
        <family val="0"/>
        <charset val="1"/>
      </rPr>
      <t xml:space="preserve">78-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-53</t>
    </r>
  </si>
  <si>
    <t xml:space="preserve">바로다이</t>
  </si>
  <si>
    <r>
      <rPr>
        <sz val="10"/>
        <rFont val="맑은 고딕"/>
        <family val="0"/>
        <charset val="1"/>
      </rPr>
      <t xml:space="preserve">21-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-41</t>
    </r>
  </si>
  <si>
    <t xml:space="preserve">바로충</t>
  </si>
  <si>
    <r>
      <rPr>
        <sz val="10"/>
        <rFont val="맑은 고딕"/>
        <family val="0"/>
        <charset val="1"/>
      </rPr>
      <t xml:space="preserve">85-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-47</t>
    </r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</si>
  <si>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-60</t>
    </r>
  </si>
  <si>
    <t xml:space="preserve">스팅어</t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</si>
  <si>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-87</t>
    </r>
  </si>
  <si>
    <t xml:space="preserve">스파이트</t>
  </si>
  <si>
    <r>
      <rPr>
        <sz val="10"/>
        <rFont val="맑은 고딕"/>
        <family val="0"/>
        <charset val="1"/>
      </rPr>
      <t xml:space="preserve">76-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-43</t>
    </r>
  </si>
  <si>
    <t xml:space="preserve">체어맨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</si>
  <si>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-56</t>
    </r>
  </si>
  <si>
    <t xml:space="preserve">충제트</t>
  </si>
  <si>
    <r>
      <rPr>
        <sz val="10"/>
        <rFont val="맑은 고딕"/>
        <family val="0"/>
        <charset val="1"/>
      </rPr>
      <t xml:space="preserve">76-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-66</t>
    </r>
  </si>
  <si>
    <t xml:space="preserve">필다벤</t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</si>
  <si>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-87</t>
    </r>
  </si>
  <si>
    <t xml:space="preserve">23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</si>
  <si>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23 </t>
    </r>
    <r>
      <rPr>
        <sz val="10"/>
        <rFont val="WenQuanYi Zen Hei"/>
        <family val="2"/>
      </rPr>
      <t xml:space="preserve">아세틸</t>
    </r>
    <r>
      <rPr>
        <sz val="10"/>
        <rFont val="맑은 고딕"/>
        <family val="0"/>
        <charset val="1"/>
      </rPr>
      <t xml:space="preserve">-CoA</t>
    </r>
    <r>
      <rPr>
        <sz val="10"/>
        <rFont val="WenQuanYi Zen Hei"/>
        <family val="2"/>
      </rPr>
      <t xml:space="preserve">카르복실화효소 억제 </t>
    </r>
    <r>
      <rPr>
        <sz val="10"/>
        <rFont val="맑은 고딕"/>
        <family val="0"/>
        <charset val="1"/>
      </rPr>
      <t xml:space="preserve">- Tetronic/Tetramic acid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스피로계</t>
    </r>
    <r>
      <rPr>
        <sz val="10"/>
        <rFont val="맑은 고딕"/>
        <family val="0"/>
        <charset val="1"/>
      </rPr>
      <t xml:space="preserve">)</t>
    </r>
  </si>
  <si>
    <t xml:space="preserve">마이트킬</t>
  </si>
  <si>
    <t xml:space="preserve">스피로메시펜 액상수화제</t>
  </si>
  <si>
    <t xml:space="preserve">Spiromesifen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</si>
  <si>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-110</t>
    </r>
  </si>
  <si>
    <t xml:space="preserve">커트라인</t>
  </si>
  <si>
    <t xml:space="preserve">사이안트라닐리프롤 입제</t>
  </si>
  <si>
    <r>
      <rPr>
        <sz val="10"/>
        <rFont val="맑은 고딕"/>
        <family val="0"/>
        <charset val="1"/>
      </rPr>
      <t xml:space="preserve">5g/ℓ(</t>
    </r>
    <r>
      <rPr>
        <sz val="10"/>
        <rFont val="WenQuanYi Zen Hei"/>
        <family val="2"/>
      </rPr>
      <t xml:space="preserve">상토</t>
    </r>
    <r>
      <rPr>
        <sz val="10"/>
        <rFont val="맑은 고딕"/>
        <family val="0"/>
        <charset val="1"/>
      </rPr>
      <t xml:space="preserve">)</t>
    </r>
  </si>
  <si>
    <t xml:space="preserve">파종 전</t>
  </si>
  <si>
    <t xml:space="preserve">상토처리</t>
  </si>
  <si>
    <t xml:space="preserve">파종기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</si>
  <si>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-568</t>
    </r>
  </si>
  <si>
    <t xml:space="preserve">플로니카미드 입상수화제</t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</si>
  <si>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일간격으로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</si>
  <si>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-594</t>
    </r>
  </si>
  <si>
    <r>
      <rPr>
        <sz val="10"/>
        <rFont val="맑은 고딕"/>
        <family val="0"/>
        <charset val="1"/>
      </rPr>
      <t xml:space="preserve">96-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</si>
  <si>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㎖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</si>
  <si>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50-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</t>
    </r>
  </si>
  <si>
    <r>
      <rPr>
        <sz val="10"/>
        <rFont val="맑은 고딕"/>
        <family val="0"/>
        <charset val="1"/>
      </rPr>
      <t xml:space="preserve">26-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-42</t>
    </r>
  </si>
  <si>
    <t xml:space="preserve">티아메톡삼 입상수화제</t>
  </si>
  <si>
    <t xml:space="preserve">아타라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</si>
  <si>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-244</t>
    </r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</si>
  <si>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-12</t>
    </r>
  </si>
  <si>
    <t xml:space="preserve">엠퍼러</t>
  </si>
  <si>
    <t xml:space="preserve">이미다클로프리드 액상수화제</t>
  </si>
  <si>
    <r>
      <rPr>
        <sz val="10"/>
        <rFont val="맑은 고딕"/>
        <family val="0"/>
        <charset val="1"/>
      </rPr>
      <t xml:space="preserve">69-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-29</t>
    </r>
  </si>
  <si>
    <t xml:space="preserve">오신</t>
  </si>
  <si>
    <t xml:space="preserve">디노테퓨란 수화제</t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</si>
  <si>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일이상간격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</si>
  <si>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-224</t>
    </r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</si>
  <si>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</t>
    </r>
  </si>
  <si>
    <r>
      <rPr>
        <sz val="10"/>
        <rFont val="맑은 고딕"/>
        <family val="0"/>
        <charset val="1"/>
      </rPr>
      <t xml:space="preserve">21-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-53</t>
    </r>
  </si>
  <si>
    <r>
      <rPr>
        <sz val="10"/>
        <rFont val="맑은 고딕"/>
        <family val="0"/>
        <charset val="1"/>
      </rPr>
      <t xml:space="preserve">78-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-49</t>
    </r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</si>
  <si>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-70</t>
    </r>
  </si>
  <si>
    <r>
      <rPr>
        <sz val="10"/>
        <rFont val="맑은 고딕"/>
        <family val="0"/>
        <charset val="1"/>
      </rPr>
      <t xml:space="preserve">76-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-54</t>
    </r>
  </si>
  <si>
    <t xml:space="preserve">충커버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</si>
  <si>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-122</t>
    </r>
  </si>
  <si>
    <r>
      <rPr>
        <sz val="10"/>
        <rFont val="맑은 고딕"/>
        <family val="0"/>
        <charset val="1"/>
      </rPr>
      <t xml:space="preserve">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-211</t>
    </r>
  </si>
  <si>
    <t xml:space="preserve">코뿔소</t>
  </si>
  <si>
    <t xml:space="preserve">클로티아니딘 입제</t>
  </si>
  <si>
    <t xml:space="preserve">Clothianidin</t>
  </si>
  <si>
    <r>
      <rPr>
        <sz val="10"/>
        <rFont val="맑은 고딕"/>
        <family val="0"/>
        <charset val="1"/>
      </rPr>
      <t xml:space="preserve">1g/</t>
    </r>
    <r>
      <rPr>
        <sz val="10"/>
        <rFont val="WenQuanYi Zen Hei"/>
        <family val="2"/>
      </rPr>
      <t xml:space="preserve">주</t>
    </r>
  </si>
  <si>
    <t xml:space="preserve">주원처리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</si>
  <si>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-293</t>
    </r>
  </si>
  <si>
    <t xml:space="preserve">킹피스</t>
  </si>
  <si>
    <r>
      <rPr>
        <sz val="10"/>
        <rFont val="맑은 고딕"/>
        <family val="0"/>
        <charset val="1"/>
      </rPr>
      <t xml:space="preserve">62-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</t>
    </r>
  </si>
  <si>
    <t xml:space="preserve">파라슈트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</si>
  <si>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</t>
    </r>
  </si>
  <si>
    <t xml:space="preserve">팬텀</t>
  </si>
  <si>
    <t xml:space="preserve">디노테퓨란 입상수화제</t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</si>
  <si>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㎖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</si>
  <si>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</t>
    </r>
  </si>
  <si>
    <t xml:space="preserve">호리도</t>
  </si>
  <si>
    <r>
      <rPr>
        <sz val="10"/>
        <rFont val="맑은 고딕"/>
        <family val="0"/>
        <charset val="1"/>
      </rPr>
      <t xml:space="preserve">45-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-100</t>
    </r>
  </si>
  <si>
    <t xml:space="preserve">4a+23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</si>
  <si>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23 </t>
    </r>
    <r>
      <rPr>
        <sz val="10"/>
        <rFont val="WenQuanYi Zen Hei"/>
        <family val="2"/>
      </rPr>
      <t xml:space="preserve">아세틸</t>
    </r>
    <r>
      <rPr>
        <sz val="10"/>
        <rFont val="맑은 고딕"/>
        <family val="0"/>
        <charset val="1"/>
      </rPr>
      <t xml:space="preserve">-CoA</t>
    </r>
    <r>
      <rPr>
        <sz val="10"/>
        <rFont val="WenQuanYi Zen Hei"/>
        <family val="2"/>
      </rPr>
      <t xml:space="preserve">카르복실화효소 억제 </t>
    </r>
    <r>
      <rPr>
        <sz val="10"/>
        <rFont val="맑은 고딕"/>
        <family val="0"/>
        <charset val="1"/>
      </rPr>
      <t xml:space="preserve">- Tetronic/Tetramic acid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스피로계</t>
    </r>
    <r>
      <rPr>
        <sz val="10"/>
        <rFont val="맑은 고딕"/>
        <family val="0"/>
        <charset val="1"/>
      </rPr>
      <t xml:space="preserve">)</t>
    </r>
  </si>
  <si>
    <t xml:space="preserve">엘레스탈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</si>
  <si>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스피로피디온 입상수화제</t>
    </r>
  </si>
  <si>
    <t xml:space="preserve">Acetamiprid+Spiropidion</t>
  </si>
  <si>
    <t xml:space="preserve">54(24+30)%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</si>
  <si>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-338</t>
    </r>
  </si>
  <si>
    <r>
      <rPr>
        <sz val="10"/>
        <rFont val="WenQuanYi Zen Hei"/>
        <family val="2"/>
      </rPr>
      <t xml:space="preserve">아그로스타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</si>
  <si>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</t>
    </r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</si>
  <si>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-115</t>
    </r>
  </si>
  <si>
    <r>
      <rPr>
        <sz val="10"/>
        <rFont val="맑은 고딕"/>
        <family val="0"/>
        <charset val="1"/>
      </rPr>
      <t xml:space="preserve">101-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</t>
    </r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</si>
  <si>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-77</t>
    </r>
  </si>
  <si>
    <r>
      <rPr>
        <sz val="10"/>
        <rFont val="맑은 고딕"/>
        <family val="0"/>
        <charset val="1"/>
      </rPr>
      <t xml:space="preserve">76-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</t>
    </r>
  </si>
  <si>
    <r>
      <rPr>
        <sz val="10"/>
        <rFont val="맑은 고딕"/>
        <family val="0"/>
        <charset val="1"/>
      </rPr>
      <t xml:space="preserve">78-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-19</t>
    </r>
  </si>
  <si>
    <r>
      <rPr>
        <sz val="10"/>
        <rFont val="맑은 고딕"/>
        <family val="0"/>
        <charset val="1"/>
      </rPr>
      <t xml:space="preserve">64-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</t>
    </r>
  </si>
  <si>
    <r>
      <rPr>
        <sz val="10"/>
        <rFont val="WenQuanYi Zen Hei"/>
        <family val="2"/>
      </rPr>
      <t xml:space="preserve">유원에코사이언스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</si>
  <si>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-17</t>
    </r>
  </si>
  <si>
    <r>
      <rPr>
        <sz val="10"/>
        <rFont val="맑은 고딕"/>
        <family val="0"/>
        <charset val="1"/>
      </rPr>
      <t xml:space="preserve">77-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</t>
    </r>
  </si>
  <si>
    <r>
      <rPr>
        <sz val="10"/>
        <rFont val="맑은 고딕"/>
        <family val="0"/>
        <charset val="1"/>
      </rPr>
      <t xml:space="preserve">102-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</t>
    </r>
  </si>
  <si>
    <r>
      <rPr>
        <sz val="10"/>
        <rFont val="맑은 고딕"/>
        <family val="0"/>
        <charset val="1"/>
      </rPr>
      <t xml:space="preserve">122-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</t>
    </r>
  </si>
  <si>
    <r>
      <rPr>
        <sz val="10"/>
        <rFont val="맑은 고딕"/>
        <family val="0"/>
        <charset val="1"/>
      </rPr>
      <t xml:space="preserve">71-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</t>
    </r>
  </si>
  <si>
    <r>
      <rPr>
        <sz val="10"/>
        <rFont val="맑은 고딕"/>
        <family val="0"/>
        <charset val="1"/>
      </rPr>
      <t xml:space="preserve">153-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</t>
    </r>
  </si>
  <si>
    <r>
      <rPr>
        <sz val="10"/>
        <rFont val="맑은 고딕"/>
        <family val="0"/>
        <charset val="1"/>
      </rPr>
      <t xml:space="preserve">85-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-12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</si>
  <si>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다보인터내셔널</t>
    </r>
  </si>
  <si>
    <r>
      <rPr>
        <sz val="10"/>
        <rFont val="맑은 고딕"/>
        <family val="0"/>
        <charset val="1"/>
      </rPr>
      <t xml:space="preserve">97-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</t>
    </r>
  </si>
  <si>
    <r>
      <rPr>
        <sz val="10"/>
        <rFont val="맑은 고딕"/>
        <family val="0"/>
        <charset val="1"/>
      </rPr>
      <t xml:space="preserve">129-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</t>
    </r>
  </si>
  <si>
    <r>
      <rPr>
        <sz val="10"/>
        <rFont val="맑은 고딕"/>
        <family val="0"/>
        <charset val="1"/>
      </rPr>
      <t xml:space="preserve">26-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-61</t>
    </r>
  </si>
  <si>
    <r>
      <rPr>
        <sz val="10"/>
        <rFont val="맑은 고딕"/>
        <family val="0"/>
        <charset val="1"/>
      </rPr>
      <t xml:space="preserve">150-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</t>
    </r>
  </si>
  <si>
    <r>
      <rPr>
        <sz val="10"/>
        <rFont val="맑은 고딕"/>
        <family val="0"/>
        <charset val="1"/>
      </rPr>
      <t xml:space="preserve">45-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-89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</si>
  <si>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더한농</t>
    </r>
  </si>
  <si>
    <r>
      <rPr>
        <sz val="10"/>
        <rFont val="맑은 고딕"/>
        <family val="0"/>
        <charset val="1"/>
      </rPr>
      <t xml:space="preserve">88-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</t>
    </r>
  </si>
  <si>
    <t xml:space="preserve">팜앤피플</t>
  </si>
  <si>
    <r>
      <rPr>
        <sz val="10"/>
        <rFont val="맑은 고딕"/>
        <family val="0"/>
        <charset val="1"/>
      </rPr>
      <t xml:space="preserve">148-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</t>
    </r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</si>
  <si>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-408</t>
    </r>
  </si>
  <si>
    <t xml:space="preserve">미래아그로</t>
  </si>
  <si>
    <r>
      <rPr>
        <sz val="10"/>
        <rFont val="맑은 고딕"/>
        <family val="0"/>
        <charset val="1"/>
      </rPr>
      <t xml:space="preserve">94-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</t>
    </r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</si>
  <si>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-30</t>
    </r>
  </si>
  <si>
    <r>
      <rPr>
        <sz val="10"/>
        <rFont val="맑은 고딕"/>
        <family val="0"/>
        <charset val="1"/>
      </rPr>
      <t xml:space="preserve">56-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</t>
    </r>
  </si>
  <si>
    <t xml:space="preserve">오베론스피드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</si>
  <si>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스피로메시펜 액상수화제</t>
    </r>
  </si>
  <si>
    <t xml:space="preserve">Abamectin+Spiromesifen</t>
  </si>
  <si>
    <t xml:space="preserve">22.65(1.08+21.57)%</t>
  </si>
  <si>
    <r>
      <rPr>
        <sz val="10"/>
        <rFont val="맑은 고딕"/>
        <family val="0"/>
        <charset val="1"/>
      </rPr>
      <t xml:space="preserve">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-49</t>
    </r>
  </si>
  <si>
    <t xml:space="preserve">사르마트</t>
  </si>
  <si>
    <t xml:space="preserve">피리프록시펜 액상수화제</t>
  </si>
  <si>
    <t xml:space="preserve">Pyriproxyfen</t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</si>
  <si>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-101</t>
    </r>
  </si>
  <si>
    <r>
      <rPr>
        <sz val="10"/>
        <rFont val="맑은 고딕"/>
        <family val="0"/>
        <charset val="1"/>
      </rPr>
      <t xml:space="preserve">78-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-44</t>
    </r>
  </si>
  <si>
    <t xml:space="preserve">9b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</si>
  <si>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9 </t>
    </r>
    <r>
      <rPr>
        <sz val="10"/>
        <rFont val="WenQuanYi Zen Hei"/>
        <family val="2"/>
      </rPr>
      <t xml:space="preserve">현음기관 </t>
    </r>
    <r>
      <rPr>
        <sz val="10"/>
        <rFont val="맑은 고딕"/>
        <family val="0"/>
        <charset val="1"/>
      </rPr>
      <t xml:space="preserve">TRPV</t>
    </r>
    <r>
      <rPr>
        <sz val="10"/>
        <rFont val="WenQuanYi Zen Hei"/>
        <family val="2"/>
      </rPr>
      <t xml:space="preserve">채널 조절제 </t>
    </r>
    <r>
      <rPr>
        <sz val="10"/>
        <rFont val="맑은 고딕"/>
        <family val="0"/>
        <charset val="1"/>
      </rPr>
      <t xml:space="preserve">- Pyridine azomethine </t>
    </r>
    <r>
      <rPr>
        <sz val="10"/>
        <rFont val="WenQuanYi Zen Hei"/>
        <family val="2"/>
      </rPr>
      <t xml:space="preserve">유도체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피메트로진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피리플루퀴나존</t>
    </r>
    <r>
      <rPr>
        <sz val="10"/>
        <rFont val="맑은 고딕"/>
        <family val="0"/>
        <charset val="1"/>
      </rPr>
      <t xml:space="preserve">)</t>
    </r>
  </si>
  <si>
    <t xml:space="preserve">팡파레</t>
  </si>
  <si>
    <t xml:space="preserve">피리플루퀴나존 입상수화제</t>
  </si>
  <si>
    <t xml:space="preserve">Pyrifluquinazon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</si>
  <si>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-411</t>
    </r>
  </si>
  <si>
    <t xml:space="preserve">9d+21a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</si>
  <si>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9 </t>
    </r>
    <r>
      <rPr>
        <sz val="10"/>
        <rFont val="WenQuanYi Zen Hei"/>
        <family val="2"/>
      </rPr>
      <t xml:space="preserve">현음기관 </t>
    </r>
    <r>
      <rPr>
        <sz val="10"/>
        <rFont val="맑은 고딕"/>
        <family val="0"/>
        <charset val="1"/>
      </rPr>
      <t xml:space="preserve">TRPV</t>
    </r>
    <r>
      <rPr>
        <sz val="10"/>
        <rFont val="WenQuanYi Zen Hei"/>
        <family val="2"/>
      </rPr>
      <t xml:space="preserve">채널 조절제 </t>
    </r>
    <r>
      <rPr>
        <sz val="10"/>
        <rFont val="맑은 고딕"/>
        <family val="0"/>
        <charset val="1"/>
      </rPr>
      <t xml:space="preserve">- Pyropenes(</t>
    </r>
    <r>
      <rPr>
        <sz val="10"/>
        <rFont val="WenQuanYi Zen Hei"/>
        <family val="2"/>
      </rPr>
      <t xml:space="preserve">아피도피로펜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21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METI</t>
    </r>
    <r>
      <rPr>
        <sz val="10"/>
        <rFont val="WenQuanYi Zen Hei"/>
        <family val="2"/>
      </rPr>
      <t xml:space="preserve">계 살비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피리다벤 등</t>
    </r>
    <r>
      <rPr>
        <sz val="10"/>
        <rFont val="맑은 고딕"/>
        <family val="0"/>
        <charset val="1"/>
      </rPr>
      <t xml:space="preserve">)</t>
    </r>
  </si>
  <si>
    <t xml:space="preserve">하이라이트</t>
  </si>
  <si>
    <r>
      <rPr>
        <sz val="10"/>
        <rFont val="WenQuanYi Zen Hei"/>
        <family val="2"/>
      </rPr>
      <t xml:space="preserve">아피도피로펜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피리다벤 액상수화제</t>
    </r>
  </si>
  <si>
    <t xml:space="preserve">Afidopyropen+Pyridaben</t>
  </si>
  <si>
    <t xml:space="preserve">15.13(1.13+14)%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</si>
  <si>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-630</t>
    </r>
  </si>
  <si>
    <t xml:space="preserve">담배나방</t>
  </si>
  <si>
    <t xml:space="preserve">매미나방</t>
  </si>
  <si>
    <t xml:space="preserve">목화진딧물</t>
  </si>
  <si>
    <t xml:space="preserve">15+4c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</si>
  <si>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15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(CHS1) - Benzoylureas(</t>
    </r>
    <r>
      <rPr>
        <sz val="10"/>
        <rFont val="WenQuanYi Zen Hei"/>
        <family val="2"/>
      </rPr>
      <t xml:space="preserve">벤조일우레아계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Sulfoximines(</t>
    </r>
    <r>
      <rPr>
        <sz val="10"/>
        <rFont val="WenQuanYi Zen Hei"/>
        <family val="2"/>
      </rPr>
      <t xml:space="preserve">설폭시민계</t>
    </r>
    <r>
      <rPr>
        <sz val="10"/>
        <rFont val="맑은 고딕"/>
        <family val="0"/>
        <charset val="1"/>
      </rPr>
      <t xml:space="preserve">, Sulfoxaflor)</t>
    </r>
  </si>
  <si>
    <t xml:space="preserve">명검</t>
  </si>
  <si>
    <r>
      <rPr>
        <sz val="10"/>
        <rFont val="WenQuanYi Zen Hei"/>
        <family val="2"/>
      </rPr>
      <t xml:space="preserve">디플루벤주론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설폭사플로르 입상수화제</t>
    </r>
  </si>
  <si>
    <t xml:space="preserve">Diflubenzuron+Sulfoxaflor</t>
  </si>
  <si>
    <t xml:space="preserve">26.2(20+6.2)%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</si>
  <si>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-341</t>
    </r>
  </si>
  <si>
    <t xml:space="preserve">성보스카이</t>
  </si>
  <si>
    <r>
      <rPr>
        <sz val="10"/>
        <rFont val="WenQuanYi Zen Hei"/>
        <family val="2"/>
      </rPr>
      <t xml:space="preserve">플루페녹수론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설폭사플로르 액상수화제</t>
    </r>
  </si>
  <si>
    <t xml:space="preserve">Flufenoxuron+Sulfoxaflor</t>
  </si>
  <si>
    <t xml:space="preserve">10.2(4+6.2)%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</si>
  <si>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-257</t>
    </r>
  </si>
  <si>
    <t xml:space="preserve">퍼스트킹</t>
  </si>
  <si>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입제</t>
    </r>
  </si>
  <si>
    <t xml:space="preserve">Buprofezin+Imidacloprid</t>
  </si>
  <si>
    <t xml:space="preserve">2(0.5+1.5)%</t>
  </si>
  <si>
    <r>
      <rPr>
        <sz val="10"/>
        <rFont val="맑은 고딕"/>
        <family val="0"/>
        <charset val="1"/>
      </rPr>
      <t xml:space="preserve">45-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-58</t>
    </r>
  </si>
  <si>
    <t xml:space="preserve">16+9b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</si>
  <si>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16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(type1) - Buprofezin(</t>
    </r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9 </t>
    </r>
    <r>
      <rPr>
        <sz val="10"/>
        <rFont val="WenQuanYi Zen Hei"/>
        <family val="2"/>
      </rPr>
      <t xml:space="preserve">현음기관 </t>
    </r>
    <r>
      <rPr>
        <sz val="10"/>
        <rFont val="맑은 고딕"/>
        <family val="0"/>
        <charset val="1"/>
      </rPr>
      <t xml:space="preserve">TRPV</t>
    </r>
    <r>
      <rPr>
        <sz val="10"/>
        <rFont val="WenQuanYi Zen Hei"/>
        <family val="2"/>
      </rPr>
      <t xml:space="preserve">채널 조절제 </t>
    </r>
    <r>
      <rPr>
        <sz val="10"/>
        <rFont val="맑은 고딕"/>
        <family val="0"/>
        <charset val="1"/>
      </rPr>
      <t xml:space="preserve">- Pyridine azomethine </t>
    </r>
    <r>
      <rPr>
        <sz val="10"/>
        <rFont val="WenQuanYi Zen Hei"/>
        <family val="2"/>
      </rPr>
      <t xml:space="preserve">유도체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피메트로진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피리플루퀴나존</t>
    </r>
    <r>
      <rPr>
        <sz val="10"/>
        <rFont val="맑은 고딕"/>
        <family val="0"/>
        <charset val="1"/>
      </rPr>
      <t xml:space="preserve">)</t>
    </r>
  </si>
  <si>
    <t xml:space="preserve">골드윈</t>
  </si>
  <si>
    <r>
      <rPr>
        <sz val="10"/>
        <rFont val="WenQuanYi Zen Hei"/>
        <family val="2"/>
      </rPr>
      <t xml:space="preserve">뷰프로페진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피리플루퀴나존 액상수화제</t>
    </r>
  </si>
  <si>
    <t xml:space="preserve">Buprofezin+Pyrifluquinazon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</si>
  <si>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-370</t>
    </r>
  </si>
  <si>
    <t xml:space="preserve">18+4a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</si>
  <si>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18 </t>
    </r>
    <r>
      <rPr>
        <sz val="10"/>
        <rFont val="WenQuanYi Zen Hei"/>
        <family val="2"/>
      </rPr>
      <t xml:space="preserve">탈피호르몬 수용체 작용제 </t>
    </r>
    <r>
      <rPr>
        <sz val="10"/>
        <rFont val="맑은 고딕"/>
        <family val="0"/>
        <charset val="1"/>
      </rPr>
      <t xml:space="preserve">- Diacylhydrazines(</t>
    </r>
    <r>
      <rPr>
        <sz val="10"/>
        <rFont val="WenQuanYi Zen Hei"/>
        <family val="2"/>
      </rPr>
      <t xml:space="preserve">디아실하이드라진계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</si>
  <si>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에스지블루밍</t>
  </si>
  <si>
    <r>
      <rPr>
        <sz val="10"/>
        <rFont val="WenQuanYi Zen Hei"/>
        <family val="2"/>
      </rPr>
      <t xml:space="preserve">메톡시페노자이드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티아클로프리드 액상수화제</t>
    </r>
  </si>
  <si>
    <t xml:space="preserve">Methoxyfenozide+Thiacloprid</t>
  </si>
  <si>
    <t xml:space="preserve">16(8+8)%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</si>
  <si>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-324</t>
    </r>
  </si>
  <si>
    <t xml:space="preserve">18+4c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</si>
  <si>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18 </t>
    </r>
    <r>
      <rPr>
        <sz val="10"/>
        <rFont val="WenQuanYi Zen Hei"/>
        <family val="2"/>
      </rPr>
      <t xml:space="preserve">탈피호르몬 수용체 작용제 </t>
    </r>
    <r>
      <rPr>
        <sz val="10"/>
        <rFont val="맑은 고딕"/>
        <family val="0"/>
        <charset val="1"/>
      </rPr>
      <t xml:space="preserve">- Diacylhydrazines(</t>
    </r>
    <r>
      <rPr>
        <sz val="10"/>
        <rFont val="WenQuanYi Zen Hei"/>
        <family val="2"/>
      </rPr>
      <t xml:space="preserve">디아실하이드라진계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Sulfoximines(</t>
    </r>
    <r>
      <rPr>
        <sz val="10"/>
        <rFont val="WenQuanYi Zen Hei"/>
        <family val="2"/>
      </rPr>
      <t xml:space="preserve">설폭시민계</t>
    </r>
    <r>
      <rPr>
        <sz val="10"/>
        <rFont val="맑은 고딕"/>
        <family val="0"/>
        <charset val="1"/>
      </rPr>
      <t xml:space="preserve">, Sulfoxaflor)</t>
    </r>
  </si>
  <si>
    <t xml:space="preserve">포워드</t>
  </si>
  <si>
    <r>
      <rPr>
        <sz val="10"/>
        <rFont val="WenQuanYi Zen Hei"/>
        <family val="2"/>
      </rPr>
      <t xml:space="preserve">메톡시페노자이드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설폭사플로르 액상수화제</t>
    </r>
  </si>
  <si>
    <t xml:space="preserve">Methoxyfenozide+Sulfoxaflor</t>
  </si>
  <si>
    <t xml:space="preserve">14.2(8+6.2)%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</si>
  <si>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-377</t>
    </r>
  </si>
  <si>
    <t xml:space="preserve">1a+4a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</si>
  <si>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Carbamates(</t>
    </r>
    <r>
      <rPr>
        <sz val="10"/>
        <rFont val="WenQuanYi Zen Hei"/>
        <family val="2"/>
      </rPr>
      <t xml:space="preserve">카바메이트계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</si>
  <si>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들바람</t>
  </si>
  <si>
    <r>
      <rPr>
        <sz val="10"/>
        <rFont val="WenQuanYi Zen Hei"/>
        <family val="2"/>
      </rPr>
      <t xml:space="preserve">벤퓨라카브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입제</t>
    </r>
  </si>
  <si>
    <t xml:space="preserve">Benfuracarb+Imidacloprid</t>
  </si>
  <si>
    <t xml:space="preserve">4(2+2)%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</si>
  <si>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-526</t>
    </r>
  </si>
  <si>
    <t xml:space="preserve">베스탄</t>
  </si>
  <si>
    <t xml:space="preserve">아세페이트 입제</t>
  </si>
  <si>
    <t xml:space="preserve">Acephate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</si>
  <si>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-409</t>
    </r>
  </si>
  <si>
    <t xml:space="preserve">1b+4a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</si>
  <si>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Organophosphates(</t>
    </r>
    <r>
      <rPr>
        <sz val="10"/>
        <rFont val="WenQuanYi Zen Hei"/>
        <family val="2"/>
      </rPr>
      <t xml:space="preserve">유기인계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</si>
  <si>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아나콘다</t>
  </si>
  <si>
    <r>
      <rPr>
        <sz val="10"/>
        <rFont val="WenQuanYi Zen Hei"/>
        <family val="2"/>
      </rPr>
      <t xml:space="preserve">아세페이트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수화제</t>
    </r>
  </si>
  <si>
    <t xml:space="preserve">Acephate+Imidacloprid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</si>
  <si>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</t>
    </r>
  </si>
  <si>
    <t xml:space="preserve">인서트</t>
  </si>
  <si>
    <r>
      <rPr>
        <sz val="10"/>
        <rFont val="WenQuanYi Zen Hei"/>
        <family val="2"/>
      </rPr>
      <t xml:space="preserve">다이아지논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입제</t>
    </r>
  </si>
  <si>
    <t xml:space="preserve">Diazinon+Imidacloprid</t>
  </si>
  <si>
    <t xml:space="preserve">3(1.5+1.5)%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</si>
  <si>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-51</t>
    </r>
  </si>
  <si>
    <t xml:space="preserve">헤이트</t>
  </si>
  <si>
    <r>
      <rPr>
        <sz val="10"/>
        <rFont val="맑은 고딕"/>
        <family val="0"/>
        <charset val="1"/>
      </rPr>
      <t xml:space="preserve">29-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-53</t>
    </r>
  </si>
  <si>
    <t xml:space="preserve">22b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</si>
  <si>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전압의존 나트륨채널 차단제 </t>
    </r>
    <r>
      <rPr>
        <sz val="10"/>
        <rFont val="맑은 고딕"/>
        <family val="0"/>
        <charset val="1"/>
      </rPr>
      <t xml:space="preserve">- Semicarbazones(</t>
    </r>
    <r>
      <rPr>
        <sz val="10"/>
        <rFont val="WenQuanYi Zen Hei"/>
        <family val="2"/>
      </rPr>
      <t xml:space="preserve">메타플루미존</t>
    </r>
    <r>
      <rPr>
        <sz val="10"/>
        <rFont val="맑은 고딕"/>
        <family val="0"/>
        <charset val="1"/>
      </rPr>
      <t xml:space="preserve">)</t>
    </r>
  </si>
  <si>
    <t xml:space="preserve">스티온</t>
  </si>
  <si>
    <r>
      <rPr>
        <sz val="10"/>
        <rFont val="WenQuanYi Zen Hei"/>
        <family val="2"/>
      </rPr>
      <t xml:space="preserve">딤프로피리다즈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메타플루미존 입상수화제</t>
    </r>
  </si>
  <si>
    <t xml:space="preserve">Dimpropyridaz.Metaflumizone</t>
  </si>
  <si>
    <t xml:space="preserve">25(10+15)%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</si>
  <si>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-585</t>
    </r>
  </si>
  <si>
    <t xml:space="preserve">마토스</t>
  </si>
  <si>
    <t xml:space="preserve">스피로테트라맷 액상수화제</t>
  </si>
  <si>
    <t xml:space="preserve">Spirotetramat</t>
  </si>
  <si>
    <t xml:space="preserve">44%</t>
  </si>
  <si>
    <r>
      <rPr>
        <sz val="10"/>
        <rFont val="맑은 고딕"/>
        <family val="0"/>
        <charset val="1"/>
      </rPr>
      <t xml:space="preserve">47-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</t>
    </r>
  </si>
  <si>
    <t xml:space="preserve">모대스</t>
  </si>
  <si>
    <t xml:space="preserve">22%</t>
  </si>
  <si>
    <r>
      <rPr>
        <sz val="10"/>
        <rFont val="맑은 고딕"/>
        <family val="0"/>
        <charset val="1"/>
      </rPr>
      <t xml:space="preserve">56-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-26</t>
    </r>
  </si>
  <si>
    <t xml:space="preserve">모벤토</t>
  </si>
  <si>
    <r>
      <rPr>
        <sz val="10"/>
        <rFont val="맑은 고딕"/>
        <family val="0"/>
        <charset val="1"/>
      </rPr>
      <t xml:space="preserve">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-365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</si>
  <si>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㎖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</t>
    </r>
  </si>
  <si>
    <r>
      <rPr>
        <sz val="10"/>
        <rFont val="WenQuanYi Zen Hei"/>
        <family val="2"/>
      </rPr>
      <t xml:space="preserve">관주처리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육묘상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</si>
  <si>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수확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일전</t>
    </r>
  </si>
  <si>
    <t xml:space="preserve">모젠트</t>
  </si>
  <si>
    <r>
      <rPr>
        <sz val="10"/>
        <rFont val="맑은 고딕"/>
        <family val="0"/>
        <charset val="1"/>
      </rPr>
      <t xml:space="preserve">150-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</t>
    </r>
  </si>
  <si>
    <r>
      <rPr>
        <sz val="10"/>
        <rFont val="맑은 고딕"/>
        <family val="0"/>
        <charset val="1"/>
      </rPr>
      <t xml:space="preserve">75-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</t>
    </r>
  </si>
  <si>
    <t xml:space="preserve">스피릿</t>
  </si>
  <si>
    <r>
      <rPr>
        <sz val="10"/>
        <rFont val="맑은 고딕"/>
        <family val="0"/>
        <charset val="1"/>
      </rPr>
      <t xml:space="preserve">99-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</t>
    </r>
  </si>
  <si>
    <t xml:space="preserve">진디앤</t>
  </si>
  <si>
    <t xml:space="preserve">스피로테트라맷 입상수화제</t>
  </si>
  <si>
    <t xml:space="preserve">55%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</si>
  <si>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-105</t>
    </r>
  </si>
  <si>
    <t xml:space="preserve">진시왕</t>
  </si>
  <si>
    <r>
      <rPr>
        <sz val="10"/>
        <rFont val="맑은 고딕"/>
        <family val="0"/>
        <charset val="1"/>
      </rPr>
      <t xml:space="preserve">85-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-74</t>
    </r>
  </si>
  <si>
    <t xml:space="preserve">총잡이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</si>
  <si>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-209</t>
    </r>
  </si>
  <si>
    <t xml:space="preserve">충파이어</t>
  </si>
  <si>
    <r>
      <rPr>
        <sz val="10"/>
        <rFont val="맑은 고딕"/>
        <family val="0"/>
        <charset val="1"/>
      </rPr>
      <t xml:space="preserve">45-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-116</t>
    </r>
  </si>
  <si>
    <t xml:space="preserve">칼레토</t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</si>
  <si>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-92</t>
    </r>
  </si>
  <si>
    <r>
      <rPr>
        <sz val="10"/>
        <rFont val="맑은 고딕"/>
        <family val="0"/>
        <charset val="1"/>
      </rPr>
      <t xml:space="preserve">78-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-54</t>
    </r>
  </si>
  <si>
    <r>
      <rPr>
        <sz val="10"/>
        <rFont val="맑은 고딕"/>
        <family val="0"/>
        <charset val="1"/>
      </rPr>
      <t xml:space="preserve">76-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-76</t>
    </r>
  </si>
  <si>
    <t xml:space="preserve">킬링샷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</si>
  <si>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-224</t>
    </r>
  </si>
  <si>
    <t xml:space="preserve">킬포인트</t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</si>
  <si>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-86</t>
    </r>
  </si>
  <si>
    <t xml:space="preserve">23+4a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</si>
  <si>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23 </t>
    </r>
    <r>
      <rPr>
        <sz val="10"/>
        <rFont val="WenQuanYi Zen Hei"/>
        <family val="2"/>
      </rPr>
      <t xml:space="preserve">아세틸</t>
    </r>
    <r>
      <rPr>
        <sz val="10"/>
        <rFont val="맑은 고딕"/>
        <family val="0"/>
        <charset val="1"/>
      </rPr>
      <t xml:space="preserve">-CoA</t>
    </r>
    <r>
      <rPr>
        <sz val="10"/>
        <rFont val="WenQuanYi Zen Hei"/>
        <family val="2"/>
      </rPr>
      <t xml:space="preserve">카르복실화효소 억제 </t>
    </r>
    <r>
      <rPr>
        <sz val="10"/>
        <rFont val="맑은 고딕"/>
        <family val="0"/>
        <charset val="1"/>
      </rPr>
      <t xml:space="preserve">- Tetronic/Tetramic acid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스피로계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</si>
  <si>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모벤토스마트</t>
  </si>
  <si>
    <r>
      <rPr>
        <sz val="10"/>
        <rFont val="WenQuanYi Zen Hei"/>
        <family val="2"/>
      </rPr>
      <t xml:space="preserve">스피로테트라맷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티아클로프리드 액상수화제</t>
    </r>
  </si>
  <si>
    <t xml:space="preserve">Spirotetramat+Thiacloprid</t>
  </si>
  <si>
    <t xml:space="preserve">22(11+11)%</t>
  </si>
  <si>
    <r>
      <rPr>
        <sz val="10"/>
        <rFont val="맑은 고딕"/>
        <family val="0"/>
        <charset val="1"/>
      </rPr>
      <t xml:space="preserve">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-373</t>
    </r>
  </si>
  <si>
    <t xml:space="preserve">Spirotetramat.Thiacloprid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</si>
  <si>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-406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</si>
  <si>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-608</t>
    </r>
  </si>
  <si>
    <r>
      <rPr>
        <sz val="10"/>
        <rFont val="맑은 고딕"/>
        <family val="0"/>
        <charset val="1"/>
      </rPr>
      <t xml:space="preserve">96-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-35</t>
    </r>
  </si>
  <si>
    <t xml:space="preserve">베리마크</t>
  </si>
  <si>
    <t xml:space="preserve">사이안트라닐리프롤 액상수화제</t>
  </si>
  <si>
    <t xml:space="preserve">18.66%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</si>
  <si>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㎖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</si>
  <si>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96-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-32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</si>
  <si>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-596</t>
    </r>
  </si>
  <si>
    <t xml:space="preserve">사이안트라닐리프롤 유현탁제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</si>
  <si>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-374</t>
    </r>
  </si>
  <si>
    <t xml:space="preserve">사이안트라닐리프롤 분산성액제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</si>
  <si>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-335</t>
    </r>
  </si>
  <si>
    <t xml:space="preserve">28+29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</si>
  <si>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28 </t>
    </r>
    <r>
      <rPr>
        <sz val="10"/>
        <rFont val="WenQuanYi Zen Hei"/>
        <family val="2"/>
      </rPr>
      <t xml:space="preserve">라이아노딘 수용체 조절제 </t>
    </r>
    <r>
      <rPr>
        <sz val="10"/>
        <rFont val="맑은 고딕"/>
        <family val="0"/>
        <charset val="1"/>
      </rPr>
      <t xml:space="preserve">- Diamides(</t>
    </r>
    <r>
      <rPr>
        <sz val="10"/>
        <rFont val="WenQuanYi Zen Hei"/>
        <family val="2"/>
      </rPr>
      <t xml:space="preserve">디아마이드계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클로란트라닐리프롤 등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</t>
    </r>
  </si>
  <si>
    <t xml:space="preserve">매니아</t>
  </si>
  <si>
    <r>
      <rPr>
        <sz val="10"/>
        <rFont val="WenQuanYi Zen Hei"/>
        <family val="2"/>
      </rPr>
      <t xml:space="preserve">클로란트라닐리프롤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플로니카미드 입상수화제</t>
    </r>
  </si>
  <si>
    <t xml:space="preserve">Chlorantraniliprole+Flonicamid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</si>
  <si>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-401</t>
    </r>
  </si>
  <si>
    <t xml:space="preserve">신나고</t>
  </si>
  <si>
    <r>
      <rPr>
        <sz val="10"/>
        <rFont val="WenQuanYi Zen Hei"/>
        <family val="2"/>
      </rPr>
      <t xml:space="preserve">플루벤디아마이드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티아클로프리드 액상수화제</t>
    </r>
  </si>
  <si>
    <t xml:space="preserve">Flubendiamide+Thiacloprid</t>
  </si>
  <si>
    <t xml:space="preserve">20(10+10)%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</si>
  <si>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-316</t>
    </r>
  </si>
  <si>
    <t xml:space="preserve">올인원</t>
  </si>
  <si>
    <r>
      <rPr>
        <sz val="10"/>
        <rFont val="WenQuanYi Zen Hei"/>
        <family val="2"/>
      </rPr>
      <t xml:space="preserve">클로란트라닐리프롤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클로티아니딘 액상수화제</t>
    </r>
  </si>
  <si>
    <t xml:space="preserve">Chlorantraniliprole+Clothianidin</t>
  </si>
  <si>
    <t xml:space="preserve">4.7(2.7+2)%</t>
  </si>
  <si>
    <r>
      <rPr>
        <sz val="10"/>
        <rFont val="맑은 고딕"/>
        <family val="0"/>
        <charset val="1"/>
      </rPr>
      <t xml:space="preserve">1ℓ/</t>
    </r>
    <r>
      <rPr>
        <sz val="10"/>
        <rFont val="WenQuanYi Zen Hei"/>
        <family val="2"/>
      </rPr>
      <t xml:space="preserve">㎡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</si>
  <si>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-356</t>
    </r>
  </si>
  <si>
    <t xml:space="preserve">큐어링</t>
  </si>
  <si>
    <r>
      <rPr>
        <sz val="10"/>
        <rFont val="WenQuanYi Zen Hei"/>
        <family val="2"/>
      </rPr>
      <t xml:space="preserve">클로란트라닐리프롤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디노테퓨란 입상수화제</t>
    </r>
  </si>
  <si>
    <t xml:space="preserve">Chlorantraniliprole+Dinotefuran</t>
  </si>
  <si>
    <t xml:space="preserve">19(4+15)%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</si>
  <si>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㎖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</t>
    </r>
  </si>
  <si>
    <t xml:space="preserve">육묘기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</si>
  <si>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-276</t>
    </r>
  </si>
  <si>
    <t xml:space="preserve">28+9b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</si>
  <si>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28 </t>
    </r>
    <r>
      <rPr>
        <sz val="10"/>
        <rFont val="WenQuanYi Zen Hei"/>
        <family val="2"/>
      </rPr>
      <t xml:space="preserve">라이아노딘 수용체 조절제 </t>
    </r>
    <r>
      <rPr>
        <sz val="10"/>
        <rFont val="맑은 고딕"/>
        <family val="0"/>
        <charset val="1"/>
      </rPr>
      <t xml:space="preserve">- Diamides(</t>
    </r>
    <r>
      <rPr>
        <sz val="10"/>
        <rFont val="WenQuanYi Zen Hei"/>
        <family val="2"/>
      </rPr>
      <t xml:space="preserve">디아마이드계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클로란트라닐리프롤 등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9 </t>
    </r>
    <r>
      <rPr>
        <sz val="10"/>
        <rFont val="WenQuanYi Zen Hei"/>
        <family val="2"/>
      </rPr>
      <t xml:space="preserve">현음기관 </t>
    </r>
    <r>
      <rPr>
        <sz val="10"/>
        <rFont val="맑은 고딕"/>
        <family val="0"/>
        <charset val="1"/>
      </rPr>
      <t xml:space="preserve">TRPV</t>
    </r>
    <r>
      <rPr>
        <sz val="10"/>
        <rFont val="WenQuanYi Zen Hei"/>
        <family val="2"/>
      </rPr>
      <t xml:space="preserve">채널 조절제 </t>
    </r>
    <r>
      <rPr>
        <sz val="10"/>
        <rFont val="맑은 고딕"/>
        <family val="0"/>
        <charset val="1"/>
      </rPr>
      <t xml:space="preserve">- Pyridine azomethine </t>
    </r>
    <r>
      <rPr>
        <sz val="10"/>
        <rFont val="WenQuanYi Zen Hei"/>
        <family val="2"/>
      </rPr>
      <t xml:space="preserve">유도체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피메트로진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피리플루퀴나존</t>
    </r>
    <r>
      <rPr>
        <sz val="10"/>
        <rFont val="맑은 고딕"/>
        <family val="0"/>
        <charset val="1"/>
      </rPr>
      <t xml:space="preserve">)</t>
    </r>
  </si>
  <si>
    <t xml:space="preserve">미네토스타</t>
  </si>
  <si>
    <r>
      <rPr>
        <sz val="10"/>
        <rFont val="WenQuanYi Zen Hei"/>
        <family val="2"/>
      </rPr>
      <t xml:space="preserve">사이안트라닐리프롤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피메트로진 입상수화제</t>
    </r>
  </si>
  <si>
    <t xml:space="preserve">Cyantraniliprole+Pymetrozine</t>
  </si>
  <si>
    <t xml:space="preserve">60(10+50)%</t>
  </si>
  <si>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㎖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</si>
  <si>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-322</t>
    </r>
  </si>
  <si>
    <t xml:space="preserve">강충탄</t>
  </si>
  <si>
    <r>
      <rPr>
        <sz val="10"/>
        <rFont val="맑은 고딕"/>
        <family val="0"/>
        <charset val="1"/>
      </rPr>
      <t xml:space="preserve">102-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</t>
    </r>
  </si>
  <si>
    <t xml:space="preserve">갱스터</t>
  </si>
  <si>
    <r>
      <rPr>
        <sz val="10"/>
        <rFont val="맑은 고딕"/>
        <family val="0"/>
        <charset val="1"/>
      </rPr>
      <t xml:space="preserve">166-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</t>
    </r>
  </si>
  <si>
    <t xml:space="preserve">노믹스</t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</si>
  <si>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-45</t>
    </r>
  </si>
  <si>
    <t xml:space="preserve">록키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</si>
  <si>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-46</t>
    </r>
  </si>
  <si>
    <t xml:space="preserve">만능키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</si>
  <si>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-159</t>
    </r>
  </si>
  <si>
    <t xml:space="preserve">반딧불</t>
  </si>
  <si>
    <r>
      <rPr>
        <sz val="10"/>
        <rFont val="맑은 고딕"/>
        <family val="0"/>
        <charset val="1"/>
      </rPr>
      <t xml:space="preserve">88-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</t>
    </r>
  </si>
  <si>
    <t xml:space="preserve">버팀목</t>
  </si>
  <si>
    <t xml:space="preserve">50%</t>
  </si>
  <si>
    <t xml:space="preserve">지우바이오텍 주식회사</t>
  </si>
  <si>
    <r>
      <rPr>
        <sz val="10"/>
        <rFont val="맑은 고딕"/>
        <family val="0"/>
        <charset val="1"/>
      </rPr>
      <t xml:space="preserve">78-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</t>
    </r>
  </si>
  <si>
    <t xml:space="preserve">보스카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</si>
  <si>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-94</t>
    </r>
  </si>
  <si>
    <t xml:space="preserve">플로니카미드 입제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</si>
  <si>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-392</t>
    </r>
  </si>
  <si>
    <t xml:space="preserve">세티프로</t>
  </si>
  <si>
    <r>
      <rPr>
        <sz val="10"/>
        <rFont val="맑은 고딕"/>
        <family val="0"/>
        <charset val="1"/>
      </rPr>
      <t xml:space="preserve">73-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-30</t>
    </r>
  </si>
  <si>
    <t xml:space="preserve">실버로드</t>
  </si>
  <si>
    <r>
      <rPr>
        <sz val="10"/>
        <rFont val="맑은 고딕"/>
        <family val="0"/>
        <charset val="1"/>
      </rPr>
      <t xml:space="preserve">153-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</t>
    </r>
  </si>
  <si>
    <t xml:space="preserve">쌍투스</t>
  </si>
  <si>
    <r>
      <rPr>
        <sz val="10"/>
        <rFont val="맑은 고딕"/>
        <family val="0"/>
        <charset val="1"/>
      </rPr>
      <t xml:space="preserve">76-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-26</t>
    </r>
  </si>
  <si>
    <r>
      <rPr>
        <sz val="10"/>
        <rFont val="맑은 고딕"/>
        <family val="0"/>
        <charset val="1"/>
      </rPr>
      <t xml:space="preserve">85-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-62</t>
    </r>
  </si>
  <si>
    <t xml:space="preserve">쏠라원</t>
  </si>
  <si>
    <r>
      <rPr>
        <sz val="10"/>
        <rFont val="맑은 고딕"/>
        <family val="0"/>
        <charset val="1"/>
      </rPr>
      <t xml:space="preserve">62-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-28</t>
    </r>
  </si>
  <si>
    <t xml:space="preserve">애피드킬</t>
  </si>
  <si>
    <r>
      <rPr>
        <sz val="10"/>
        <rFont val="맑은 고딕"/>
        <family val="0"/>
        <charset val="1"/>
      </rPr>
      <t xml:space="preserve">70-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</t>
    </r>
  </si>
  <si>
    <t xml:space="preserve">애피킬</t>
  </si>
  <si>
    <t xml:space="preserve">플로니카미드 유상수화제</t>
  </si>
  <si>
    <r>
      <rPr>
        <sz val="10"/>
        <rFont val="맑은 고딕"/>
        <family val="0"/>
        <charset val="1"/>
      </rPr>
      <t xml:space="preserve">50-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</si>
  <si>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-607</t>
    </r>
  </si>
  <si>
    <t xml:space="preserve">진디충</t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</si>
  <si>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-56</t>
    </r>
  </si>
  <si>
    <t xml:space="preserve">충대포</t>
  </si>
  <si>
    <r>
      <rPr>
        <sz val="10"/>
        <rFont val="맑은 고딕"/>
        <family val="0"/>
        <charset val="1"/>
      </rPr>
      <t xml:space="preserve">45-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-87</t>
    </r>
  </si>
  <si>
    <t xml:space="preserve">충팡</t>
  </si>
  <si>
    <r>
      <rPr>
        <sz val="10"/>
        <rFont val="맑은 고딕"/>
        <family val="0"/>
        <charset val="1"/>
      </rPr>
      <t xml:space="preserve">95-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</t>
    </r>
  </si>
  <si>
    <t xml:space="preserve">카미봇</t>
  </si>
  <si>
    <r>
      <rPr>
        <sz val="10"/>
        <rFont val="맑은 고딕"/>
        <family val="0"/>
        <charset val="1"/>
      </rPr>
      <t xml:space="preserve">183-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</t>
    </r>
  </si>
  <si>
    <t xml:space="preserve">투심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</si>
  <si>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-197</t>
    </r>
  </si>
  <si>
    <t xml:space="preserve">플로니카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</si>
  <si>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-152</t>
    </r>
  </si>
  <si>
    <t xml:space="preserve">한판승</t>
  </si>
  <si>
    <r>
      <rPr>
        <sz val="10"/>
        <rFont val="맑은 고딕"/>
        <family val="0"/>
        <charset val="1"/>
      </rPr>
      <t xml:space="preserve">69-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</t>
    </r>
  </si>
  <si>
    <t xml:space="preserve">헥사곤</t>
  </si>
  <si>
    <t xml:space="preserve">플로니카미드 입상수용제</t>
  </si>
  <si>
    <t xml:space="preserve">입상수용제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</si>
  <si>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-47</t>
    </r>
  </si>
  <si>
    <r>
      <rPr>
        <sz val="10"/>
        <rFont val="맑은 고딕"/>
        <family val="0"/>
        <charset val="1"/>
      </rPr>
      <t xml:space="preserve">50-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</t>
    </r>
  </si>
  <si>
    <t xml:space="preserve">29+22a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</si>
  <si>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전압의존 나트륨채널 차단제 </t>
    </r>
    <r>
      <rPr>
        <sz val="10"/>
        <rFont val="맑은 고딕"/>
        <family val="0"/>
        <charset val="1"/>
      </rPr>
      <t xml:space="preserve">- Oxadiazines(</t>
    </r>
    <r>
      <rPr>
        <sz val="10"/>
        <rFont val="WenQuanYi Zen Hei"/>
        <family val="2"/>
      </rPr>
      <t xml:space="preserve">인독사카브</t>
    </r>
    <r>
      <rPr>
        <sz val="10"/>
        <rFont val="맑은 고딕"/>
        <family val="0"/>
        <charset val="1"/>
      </rPr>
      <t xml:space="preserve">)</t>
    </r>
  </si>
  <si>
    <t xml:space="preserve">인도플로</t>
  </si>
  <si>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인독사카브 입상수화제</t>
    </r>
  </si>
  <si>
    <t xml:space="preserve">Flonicamid+Indoxacarb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</si>
  <si>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-209</t>
    </r>
  </si>
  <si>
    <t xml:space="preserve">29+4a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</si>
  <si>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</si>
  <si>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재규어</t>
  </si>
  <si>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티아클로프리드 입상수화제</t>
    </r>
  </si>
  <si>
    <t xml:space="preserve">Flonicamid+Thiacloprid</t>
  </si>
  <si>
    <t xml:space="preserve">15(10+5)%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</si>
  <si>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-163</t>
    </r>
  </si>
  <si>
    <t xml:space="preserve">29+4c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</si>
  <si>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Sulfoximines(</t>
    </r>
    <r>
      <rPr>
        <sz val="10"/>
        <rFont val="WenQuanYi Zen Hei"/>
        <family val="2"/>
      </rPr>
      <t xml:space="preserve">설폭시민계</t>
    </r>
    <r>
      <rPr>
        <sz val="10"/>
        <rFont val="맑은 고딕"/>
        <family val="0"/>
        <charset val="1"/>
      </rPr>
      <t xml:space="preserve">, Sulfoxaflor)</t>
    </r>
  </si>
  <si>
    <t xml:space="preserve">빅스톤</t>
  </si>
  <si>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설폭사플로르 입상수화제</t>
    </r>
  </si>
  <si>
    <t xml:space="preserve">Flonicamid+Sulfoxaflor</t>
  </si>
  <si>
    <t xml:space="preserve">10(5+5)%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</si>
  <si>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-329</t>
    </r>
  </si>
  <si>
    <r>
      <rPr>
        <sz val="10"/>
        <rFont val="맑은 고딕"/>
        <family val="0"/>
        <charset val="1"/>
      </rPr>
      <t xml:space="preserve">29+</t>
    </r>
    <r>
      <rPr>
        <sz val="10"/>
        <rFont val="WenQuanYi Zen Hei"/>
        <family val="2"/>
      </rPr>
      <t xml:space="preserve">미분류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</si>
  <si>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 + [</t>
    </r>
    <r>
      <rPr>
        <sz val="10"/>
        <rFont val="WenQuanYi Zen Hei"/>
        <family val="2"/>
      </rPr>
      <t xml:space="preserve">국내 미분류 살충성분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훈증제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에틸포메이트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</t>
    </r>
  </si>
  <si>
    <t xml:space="preserve">시라소니</t>
  </si>
  <si>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피리달릴 유현탁제</t>
    </r>
  </si>
  <si>
    <t xml:space="preserve">Flonicamid+Pyridalyl</t>
  </si>
  <si>
    <t xml:space="preserve">30(10+20)%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</si>
  <si>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-183</t>
    </r>
  </si>
  <si>
    <t xml:space="preserve">로건</t>
  </si>
  <si>
    <t xml:space="preserve">람다사이할로트린 유제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</si>
  <si>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</t>
    </r>
  </si>
  <si>
    <t xml:space="preserve">박빙</t>
  </si>
  <si>
    <r>
      <rPr>
        <sz val="10"/>
        <rFont val="맑은 고딕"/>
        <family val="0"/>
        <charset val="1"/>
      </rPr>
      <t xml:space="preserve">74-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</t>
    </r>
  </si>
  <si>
    <t xml:space="preserve">서티스</t>
  </si>
  <si>
    <r>
      <rPr>
        <sz val="10"/>
        <rFont val="맑은 고딕"/>
        <family val="0"/>
        <charset val="1"/>
      </rPr>
      <t xml:space="preserve">94-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-20</t>
    </r>
  </si>
  <si>
    <t xml:space="preserve">선발대</t>
  </si>
  <si>
    <r>
      <rPr>
        <sz val="10"/>
        <rFont val="맑은 고딕"/>
        <family val="0"/>
        <charset val="1"/>
      </rPr>
      <t xml:space="preserve">77-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</t>
    </r>
  </si>
  <si>
    <t xml:space="preserve">스미사이딘</t>
  </si>
  <si>
    <t xml:space="preserve">펜발러레이트 유제</t>
  </si>
  <si>
    <t xml:space="preserve">Fenvalerate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</si>
  <si>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</t>
    </r>
  </si>
  <si>
    <t xml:space="preserve">에포킬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</si>
  <si>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-42</t>
    </r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</si>
  <si>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-224</t>
    </r>
  </si>
  <si>
    <t xml:space="preserve">철벽</t>
  </si>
  <si>
    <r>
      <rPr>
        <sz val="10"/>
        <rFont val="맑은 고딕"/>
        <family val="0"/>
        <charset val="1"/>
      </rPr>
      <t xml:space="preserve">73-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-43</t>
    </r>
  </si>
  <si>
    <t xml:space="preserve">첨병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</si>
  <si>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-84</t>
    </r>
  </si>
  <si>
    <t xml:space="preserve">충스타일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</si>
  <si>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-117</t>
    </r>
  </si>
  <si>
    <t xml:space="preserve">충아웃</t>
  </si>
  <si>
    <r>
      <rPr>
        <sz val="10"/>
        <rFont val="맑은 고딕"/>
        <family val="0"/>
        <charset val="1"/>
      </rPr>
      <t xml:space="preserve">21-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</t>
    </r>
  </si>
  <si>
    <t xml:space="preserve">콘돌</t>
  </si>
  <si>
    <t xml:space="preserve">산란기부터</t>
  </si>
  <si>
    <r>
      <rPr>
        <sz val="10"/>
        <rFont val="맑은 고딕"/>
        <family val="0"/>
        <charset val="1"/>
      </rPr>
      <t xml:space="preserve">80-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</t>
    </r>
  </si>
  <si>
    <t xml:space="preserve">비펜트린 과립훈연제</t>
  </si>
  <si>
    <t xml:space="preserve">Bifenthrin</t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</si>
  <si>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㎎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㎥</t>
    </r>
  </si>
  <si>
    <t xml:space="preserve">훈연처리</t>
  </si>
  <si>
    <t xml:space="preserve">과립훈연제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</si>
  <si>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-445</t>
    </r>
  </si>
  <si>
    <t xml:space="preserve">플래툰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</si>
  <si>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-26</t>
    </r>
  </si>
  <si>
    <t xml:space="preserve">효자손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</si>
  <si>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-40</t>
    </r>
  </si>
  <si>
    <t xml:space="preserve">3a+13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</si>
  <si>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</t>
    </r>
  </si>
  <si>
    <t xml:space="preserve">썬캐치</t>
  </si>
  <si>
    <r>
      <rPr>
        <sz val="10"/>
        <rFont val="WenQuanYi Zen Hei"/>
        <family val="2"/>
      </rPr>
      <t xml:space="preserve">비펜트린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클로르페나피르 과립훈연제</t>
    </r>
  </si>
  <si>
    <t xml:space="preserve">Bifenthrin+Chlorfenapyr</t>
  </si>
  <si>
    <t xml:space="preserve">12(2+10)%</t>
  </si>
  <si>
    <r>
      <rPr>
        <sz val="10"/>
        <rFont val="맑은 고딕"/>
        <family val="0"/>
        <charset val="1"/>
      </rPr>
      <t xml:space="preserve">0.1g/</t>
    </r>
    <r>
      <rPr>
        <sz val="10"/>
        <rFont val="WenQuanYi Zen Hei"/>
        <family val="2"/>
      </rPr>
      <t xml:space="preserve">㎥</t>
    </r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</si>
  <si>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-364</t>
    </r>
  </si>
  <si>
    <t xml:space="preserve">3a+23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</si>
  <si>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23 </t>
    </r>
    <r>
      <rPr>
        <sz val="10"/>
        <rFont val="WenQuanYi Zen Hei"/>
        <family val="2"/>
      </rPr>
      <t xml:space="preserve">아세틸</t>
    </r>
    <r>
      <rPr>
        <sz val="10"/>
        <rFont val="맑은 고딕"/>
        <family val="0"/>
        <charset val="1"/>
      </rPr>
      <t xml:space="preserve">-CoA</t>
    </r>
    <r>
      <rPr>
        <sz val="10"/>
        <rFont val="WenQuanYi Zen Hei"/>
        <family val="2"/>
      </rPr>
      <t xml:space="preserve">카르복실화효소 억제 </t>
    </r>
    <r>
      <rPr>
        <sz val="10"/>
        <rFont val="맑은 고딕"/>
        <family val="0"/>
        <charset val="1"/>
      </rPr>
      <t xml:space="preserve">- Tetronic/Tetramic acid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스피로계</t>
    </r>
    <r>
      <rPr>
        <sz val="10"/>
        <rFont val="맑은 고딕"/>
        <family val="0"/>
        <charset val="1"/>
      </rPr>
      <t xml:space="preserve">)</t>
    </r>
  </si>
  <si>
    <t xml:space="preserve">락다운</t>
  </si>
  <si>
    <r>
      <rPr>
        <sz val="10"/>
        <rFont val="WenQuanYi Zen Hei"/>
        <family val="2"/>
      </rPr>
      <t xml:space="preserve">델타메트린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스피로테트라맷 액상수화제</t>
    </r>
  </si>
  <si>
    <t xml:space="preserve">Deltamethrin+Spirotetramat</t>
  </si>
  <si>
    <t xml:space="preserve">17.6(1.6+16)%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</si>
  <si>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-444</t>
    </r>
  </si>
  <si>
    <t xml:space="preserve">모벤킹</t>
  </si>
  <si>
    <r>
      <rPr>
        <sz val="10"/>
        <rFont val="WenQuanYi Zen Hei"/>
        <family val="2"/>
      </rPr>
      <t xml:space="preserve">비펜트린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스피로테트라맷 액상수화제</t>
    </r>
  </si>
  <si>
    <t xml:space="preserve">Bifenthrin+Spirotetramat</t>
  </si>
  <si>
    <t xml:space="preserve">22(2+20)%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</si>
  <si>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-225</t>
    </r>
  </si>
  <si>
    <t xml:space="preserve">3a+29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</si>
  <si>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</t>
    </r>
  </si>
  <si>
    <t xml:space="preserve">썬쿠르즈</t>
  </si>
  <si>
    <r>
      <rPr>
        <sz val="10"/>
        <rFont val="WenQuanYi Zen Hei"/>
        <family val="2"/>
      </rPr>
      <t xml:space="preserve">비펜트린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플로니카미드 입상수화제</t>
    </r>
  </si>
  <si>
    <t xml:space="preserve">Bifenthrin+Flonicamid</t>
  </si>
  <si>
    <t xml:space="preserve">14(6+8)%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</si>
  <si>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-179</t>
    </r>
  </si>
  <si>
    <t xml:space="preserve">선발진</t>
  </si>
  <si>
    <r>
      <rPr>
        <sz val="10"/>
        <rFont val="WenQuanYi Zen Hei"/>
        <family val="2"/>
      </rPr>
      <t xml:space="preserve">비펜트린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입제</t>
    </r>
  </si>
  <si>
    <t xml:space="preserve">1.2(0.2+1)%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</si>
  <si>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-65</t>
    </r>
  </si>
  <si>
    <t xml:space="preserve">스토네트</t>
  </si>
  <si>
    <r>
      <rPr>
        <sz val="10"/>
        <rFont val="WenQuanYi Zen Hei"/>
        <family val="2"/>
      </rPr>
      <t xml:space="preserve">람다사이할로트린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티아메톡삼 입상수용제</t>
    </r>
  </si>
  <si>
    <t xml:space="preserve">Lambda-cyhalothrin+Thiamethoxam</t>
  </si>
  <si>
    <t xml:space="preserve">8.1(1.4+6.7)%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</si>
  <si>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-299</t>
    </r>
  </si>
  <si>
    <t xml:space="preserve">테라피</t>
  </si>
  <si>
    <r>
      <rPr>
        <sz val="10"/>
        <rFont val="WenQuanYi Zen Hei"/>
        <family val="2"/>
      </rPr>
      <t xml:space="preserve">테플루트린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티아메톡삼 입제</t>
    </r>
  </si>
  <si>
    <t xml:space="preserve">Tefluthrin+Thiamethoxam</t>
  </si>
  <si>
    <t xml:space="preserve">1(0.5+0.5)%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</si>
  <si>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-301</t>
    </r>
  </si>
  <si>
    <t xml:space="preserve">하이캇트</t>
  </si>
  <si>
    <r>
      <rPr>
        <sz val="10"/>
        <rFont val="WenQuanYi Zen Hei"/>
        <family val="2"/>
      </rPr>
      <t xml:space="preserve">델타메트린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티아클로프리드 액상수화제</t>
    </r>
  </si>
  <si>
    <t xml:space="preserve">Deltamethrin+Thiacloprid</t>
  </si>
  <si>
    <t xml:space="preserve">9.6(1.6+8)%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</si>
  <si>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-425</t>
    </r>
  </si>
  <si>
    <t xml:space="preserve">3a+4c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</si>
  <si>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Sulfoximines(</t>
    </r>
    <r>
      <rPr>
        <sz val="10"/>
        <rFont val="WenQuanYi Zen Hei"/>
        <family val="2"/>
      </rPr>
      <t xml:space="preserve">설폭시민계</t>
    </r>
    <r>
      <rPr>
        <sz val="10"/>
        <rFont val="맑은 고딕"/>
        <family val="0"/>
        <charset val="1"/>
      </rPr>
      <t xml:space="preserve">, Sulfoxaflor)</t>
    </r>
  </si>
  <si>
    <t xml:space="preserve">백만장자</t>
  </si>
  <si>
    <r>
      <rPr>
        <sz val="10"/>
        <rFont val="WenQuanYi Zen Hei"/>
        <family val="2"/>
      </rPr>
      <t xml:space="preserve">람다사이할로트린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설폭사플로르 액제</t>
    </r>
  </si>
  <si>
    <t xml:space="preserve">Lambda-cyhalothrin+Sulfoxaflor</t>
  </si>
  <si>
    <t xml:space="preserve">8.2(2+6.2)%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</si>
  <si>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-566</t>
    </r>
  </si>
  <si>
    <t xml:space="preserve">3a+9b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</si>
  <si>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나트륨채널 조절제 </t>
    </r>
    <r>
      <rPr>
        <sz val="10"/>
        <rFont val="맑은 고딕"/>
        <family val="0"/>
        <charset val="1"/>
      </rPr>
      <t xml:space="preserve">- Pyrethroids/Pyrethrins(</t>
    </r>
    <r>
      <rPr>
        <sz val="10"/>
        <rFont val="WenQuanYi Zen Hei"/>
        <family val="2"/>
      </rPr>
      <t xml:space="preserve">피레스로이드계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9 </t>
    </r>
    <r>
      <rPr>
        <sz val="10"/>
        <rFont val="WenQuanYi Zen Hei"/>
        <family val="2"/>
      </rPr>
      <t xml:space="preserve">현음기관 </t>
    </r>
    <r>
      <rPr>
        <sz val="10"/>
        <rFont val="맑은 고딕"/>
        <family val="0"/>
        <charset val="1"/>
      </rPr>
      <t xml:space="preserve">TRPV</t>
    </r>
    <r>
      <rPr>
        <sz val="10"/>
        <rFont val="WenQuanYi Zen Hei"/>
        <family val="2"/>
      </rPr>
      <t xml:space="preserve">채널 조절제 </t>
    </r>
    <r>
      <rPr>
        <sz val="10"/>
        <rFont val="맑은 고딕"/>
        <family val="0"/>
        <charset val="1"/>
      </rPr>
      <t xml:space="preserve">- Pyridine azomethine </t>
    </r>
    <r>
      <rPr>
        <sz val="10"/>
        <rFont val="WenQuanYi Zen Hei"/>
        <family val="2"/>
      </rPr>
      <t xml:space="preserve">유도체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피메트로진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피리플루퀴나존</t>
    </r>
    <r>
      <rPr>
        <sz val="10"/>
        <rFont val="맑은 고딕"/>
        <family val="0"/>
        <charset val="1"/>
      </rPr>
      <t xml:space="preserve">)</t>
    </r>
  </si>
  <si>
    <t xml:space="preserve">다이섹트</t>
  </si>
  <si>
    <r>
      <rPr>
        <sz val="10"/>
        <rFont val="WenQuanYi Zen Hei"/>
        <family val="2"/>
      </rPr>
      <t xml:space="preserve">에토펜프록스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피메트로진 유현탁제</t>
    </r>
  </si>
  <si>
    <t xml:space="preserve">Etofenprox+Pymetrozine</t>
  </si>
  <si>
    <t xml:space="preserve">18(10+8)%</t>
  </si>
  <si>
    <t xml:space="preserve">킹스타일</t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</si>
  <si>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-58</t>
    </r>
  </si>
  <si>
    <t xml:space="preserve">노비리</t>
  </si>
  <si>
    <t xml:space="preserve">티아메톡삼 세립제</t>
  </si>
  <si>
    <t xml:space="preserve">세립제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</si>
  <si>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-157</t>
    </r>
  </si>
  <si>
    <t xml:space="preserve">다끄마</t>
  </si>
  <si>
    <t xml:space="preserve">티아클로프리드 액상수화제</t>
  </si>
  <si>
    <t xml:space="preserve">Thiacloprid</t>
  </si>
  <si>
    <r>
      <rPr>
        <sz val="10"/>
        <rFont val="맑은 고딕"/>
        <family val="0"/>
        <charset val="1"/>
      </rPr>
      <t xml:space="preserve">74-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</t>
    </r>
  </si>
  <si>
    <t xml:space="preserve">대포</t>
  </si>
  <si>
    <t xml:space="preserve">디노테퓨란 입제</t>
  </si>
  <si>
    <r>
      <rPr>
        <sz val="10"/>
        <rFont val="WenQuanYi Zen Hei"/>
        <family val="2"/>
      </rPr>
      <t xml:space="preserve">정식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일 전</t>
    </r>
  </si>
  <si>
    <t xml:space="preserve">육묘상처리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</si>
  <si>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-243</t>
    </r>
  </si>
  <si>
    <t xml:space="preserve">똑소리</t>
  </si>
  <si>
    <t xml:space="preserve">클로티아니딘 입상수용제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</si>
  <si>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-205</t>
    </r>
  </si>
  <si>
    <t xml:space="preserve">아세타미프리드 입제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</si>
  <si>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-320</t>
    </r>
  </si>
  <si>
    <t xml:space="preserve">베스킹</t>
  </si>
  <si>
    <t xml:space="preserve">아세타미프리드 입상수용제</t>
  </si>
  <si>
    <r>
      <rPr>
        <sz val="10"/>
        <rFont val="맑은 고딕"/>
        <family val="0"/>
        <charset val="1"/>
      </rPr>
      <t xml:space="preserve">62-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</t>
    </r>
  </si>
  <si>
    <t xml:space="preserve">빅카드</t>
  </si>
  <si>
    <t xml:space="preserve">클로티아니딘 액상수화제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</si>
  <si>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-237</t>
    </r>
  </si>
  <si>
    <t xml:space="preserve">빌드업</t>
  </si>
  <si>
    <t xml:space="preserve">아세타미프리드 분산성액제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</si>
  <si>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-254</t>
    </r>
  </si>
  <si>
    <t xml:space="preserve">세시미</t>
  </si>
  <si>
    <t xml:space="preserve">클로티아니딘 수화제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</si>
  <si>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-159</t>
    </r>
  </si>
  <si>
    <t xml:space="preserve">슈퍼칸</t>
  </si>
  <si>
    <r>
      <rPr>
        <sz val="10"/>
        <rFont val="맑은 고딕"/>
        <family val="0"/>
        <charset val="1"/>
      </rPr>
      <t xml:space="preserve">69-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-17</t>
    </r>
  </si>
  <si>
    <t xml:space="preserve">스파르타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</si>
  <si>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-92</t>
    </r>
  </si>
  <si>
    <t xml:space="preserve">아리이미다</t>
  </si>
  <si>
    <t xml:space="preserve">이미다클로프리드 수화제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</si>
  <si>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-198</t>
    </r>
  </si>
  <si>
    <t xml:space="preserve">티아메톡삼 입제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</si>
  <si>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-254</t>
    </r>
  </si>
  <si>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㎖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</t>
    </r>
  </si>
  <si>
    <t xml:space="preserve">옵티머스</t>
  </si>
  <si>
    <r>
      <rPr>
        <sz val="10"/>
        <rFont val="맑은 고딕"/>
        <family val="0"/>
        <charset val="1"/>
      </rPr>
      <t xml:space="preserve">62-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-27</t>
    </r>
  </si>
  <si>
    <t xml:space="preserve">융단폭격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</si>
  <si>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-155</t>
    </r>
  </si>
  <si>
    <t xml:space="preserve">젠토래피드킬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</si>
  <si>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</t>
    </r>
  </si>
  <si>
    <t xml:space="preserve">참수리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</si>
  <si>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-41</t>
    </r>
  </si>
  <si>
    <r>
      <rPr>
        <b val="true"/>
        <sz val="10"/>
        <color rgb="FF1F4E78"/>
        <rFont val="WenQuanYi Zen Hei"/>
        <family val="2"/>
      </rPr>
      <t xml:space="preserve">총채</t>
    </r>
    <r>
      <rPr>
        <b val="true"/>
        <sz val="10"/>
        <color rgb="FF1F4E78"/>
        <rFont val="맑은 고딕"/>
        <family val="0"/>
        <charset val="1"/>
      </rPr>
      <t xml:space="preserve">.</t>
    </r>
    <r>
      <rPr>
        <b val="true"/>
        <sz val="10"/>
        <color rgb="FF1F4E78"/>
        <rFont val="WenQuanYi Zen Hei"/>
        <family val="2"/>
      </rPr>
      <t xml:space="preserve">진디</t>
    </r>
    <r>
      <rPr>
        <b val="true"/>
        <sz val="10"/>
        <color rgb="FF1F4E78"/>
        <rFont val="맑은 고딕"/>
        <family val="0"/>
        <charset val="1"/>
      </rPr>
      <t xml:space="preserve">.</t>
    </r>
    <r>
      <rPr>
        <b val="true"/>
        <sz val="10"/>
        <color rgb="FF1F4E78"/>
        <rFont val="WenQuanYi Zen Hei"/>
        <family val="2"/>
      </rPr>
      <t xml:space="preserve">꽃매미</t>
    </r>
    <r>
      <rPr>
        <b val="true"/>
        <sz val="10"/>
        <color rgb="FF1F4E78"/>
        <rFont val="맑은 고딕"/>
        <family val="0"/>
        <charset val="1"/>
      </rPr>
      <t xml:space="preserve">.</t>
    </r>
    <r>
      <rPr>
        <b val="true"/>
        <sz val="10"/>
        <color rgb="FF1F4E78"/>
        <rFont val="WenQuanYi Zen Hei"/>
        <family val="2"/>
      </rPr>
      <t xml:space="preserve">가루이뚝</t>
    </r>
  </si>
  <si>
    <r>
      <rPr>
        <sz val="10"/>
        <rFont val="맑은 고딕"/>
        <family val="0"/>
        <charset val="1"/>
      </rPr>
      <t xml:space="preserve">26-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-41</t>
    </r>
  </si>
  <si>
    <t xml:space="preserve">카래소</t>
  </si>
  <si>
    <r>
      <rPr>
        <sz val="10"/>
        <rFont val="맑은 고딕"/>
        <family val="0"/>
        <charset val="1"/>
      </rPr>
      <t xml:space="preserve">56-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-28</t>
    </r>
  </si>
  <si>
    <t xml:space="preserve">칼립소</t>
  </si>
  <si>
    <r>
      <rPr>
        <sz val="10"/>
        <rFont val="맑은 고딕"/>
        <family val="0"/>
        <charset val="1"/>
      </rPr>
      <t xml:space="preserve">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-213</t>
    </r>
  </si>
  <si>
    <r>
      <rPr>
        <sz val="10"/>
        <rFont val="맑은 고딕"/>
        <family val="0"/>
        <charset val="1"/>
      </rPr>
      <t xml:space="preserve">0.005</t>
    </r>
    <r>
      <rPr>
        <sz val="10"/>
        <rFont val="WenQuanYi Zen Hei"/>
        <family val="2"/>
      </rPr>
      <t xml:space="preserve">㎖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</si>
  <si>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-141</t>
    </r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</si>
  <si>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-130</t>
    </r>
  </si>
  <si>
    <r>
      <rPr>
        <sz val="10"/>
        <rFont val="맑은 고딕"/>
        <family val="0"/>
        <charset val="1"/>
      </rPr>
      <t xml:space="preserve">0.03125</t>
    </r>
    <r>
      <rPr>
        <sz val="10"/>
        <rFont val="WenQuanYi Zen Hei"/>
        <family val="2"/>
      </rPr>
      <t xml:space="preserve">㎖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</t>
    </r>
  </si>
  <si>
    <r>
      <rPr>
        <sz val="10"/>
        <rFont val="WenQuanYi Zen Hei"/>
        <family val="2"/>
      </rPr>
      <t xml:space="preserve">처리간격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일이상</t>
    </r>
  </si>
  <si>
    <t xml:space="preserve">코르니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</si>
  <si>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</t>
    </r>
  </si>
  <si>
    <t xml:space="preserve">코사인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</si>
  <si>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-154</t>
    </r>
  </si>
  <si>
    <t xml:space="preserve">큐티클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</si>
  <si>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-64</t>
    </r>
  </si>
  <si>
    <t xml:space="preserve">키로프</t>
  </si>
  <si>
    <t xml:space="preserve">이미다클로프리드 입상수용제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</si>
  <si>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-35</t>
    </r>
  </si>
  <si>
    <t xml:space="preserve">타격왕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</si>
  <si>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</t>
    </r>
  </si>
  <si>
    <t xml:space="preserve">트랙다운</t>
  </si>
  <si>
    <r>
      <rPr>
        <sz val="10"/>
        <rFont val="맑은 고딕"/>
        <family val="0"/>
        <charset val="1"/>
      </rPr>
      <t xml:space="preserve">77-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-12</t>
    </r>
  </si>
  <si>
    <t xml:space="preserve">프레쉬팜</t>
  </si>
  <si>
    <r>
      <rPr>
        <sz val="10"/>
        <rFont val="맑은 고딕"/>
        <family val="0"/>
        <charset val="1"/>
      </rPr>
      <t xml:space="preserve">70-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</t>
    </r>
  </si>
  <si>
    <r>
      <rPr>
        <sz val="10"/>
        <rFont val="맑은 고딕"/>
        <family val="0"/>
        <charset val="1"/>
      </rPr>
      <t xml:space="preserve">45-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-67</t>
    </r>
  </si>
  <si>
    <t xml:space="preserve">히든키</t>
  </si>
  <si>
    <t xml:space="preserve">아세타미프리드 과립훈연제</t>
  </si>
  <si>
    <t xml:space="preserve">15%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</si>
  <si>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-584</t>
    </r>
  </si>
  <si>
    <t xml:space="preserve">4a+18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</si>
  <si>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18 </t>
    </r>
    <r>
      <rPr>
        <sz val="10"/>
        <rFont val="WenQuanYi Zen Hei"/>
        <family val="2"/>
      </rPr>
      <t xml:space="preserve">탈피호르몬 수용체 작용제 </t>
    </r>
    <r>
      <rPr>
        <sz val="10"/>
        <rFont val="맑은 고딕"/>
        <family val="0"/>
        <charset val="1"/>
      </rPr>
      <t xml:space="preserve">- Diacylhydrazines(</t>
    </r>
    <r>
      <rPr>
        <sz val="10"/>
        <rFont val="WenQuanYi Zen Hei"/>
        <family val="2"/>
      </rPr>
      <t xml:space="preserve">디아실하이드라진계</t>
    </r>
    <r>
      <rPr>
        <sz val="10"/>
        <rFont val="맑은 고딕"/>
        <family val="0"/>
        <charset val="1"/>
      </rPr>
      <t xml:space="preserve">)</t>
    </r>
  </si>
  <si>
    <t xml:space="preserve">유토피아</t>
  </si>
  <si>
    <r>
      <rPr>
        <sz val="10"/>
        <rFont val="WenQuanYi Zen Hei"/>
        <family val="2"/>
      </rPr>
      <t xml:space="preserve">클로티아니딘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메톡시페노자이드 액상수화제</t>
    </r>
  </si>
  <si>
    <t xml:space="preserve">Clothianidin+Methoxyfenozide</t>
  </si>
  <si>
    <t xml:space="preserve">15(7+8)%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</si>
  <si>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-251</t>
    </r>
  </si>
  <si>
    <t xml:space="preserve">행진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</si>
  <si>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테부페노자이드 액상수화제</t>
    </r>
  </si>
  <si>
    <t xml:space="preserve">Acetamiprid+Tebufenozide</t>
  </si>
  <si>
    <t xml:space="preserve">12(4+8)%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</si>
  <si>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-100</t>
    </r>
  </si>
  <si>
    <t xml:space="preserve">Acetamiprid.Tebufenozide</t>
  </si>
  <si>
    <r>
      <rPr>
        <sz val="10"/>
        <rFont val="맑은 고딕"/>
        <family val="0"/>
        <charset val="1"/>
      </rPr>
      <t xml:space="preserve">60-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</t>
    </r>
  </si>
  <si>
    <t xml:space="preserve">4a+1b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</si>
  <si>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 AChE </t>
    </r>
    <r>
      <rPr>
        <sz val="10"/>
        <rFont val="WenQuanYi Zen Hei"/>
        <family val="2"/>
      </rPr>
      <t xml:space="preserve">억제제 </t>
    </r>
    <r>
      <rPr>
        <sz val="10"/>
        <rFont val="맑은 고딕"/>
        <family val="0"/>
        <charset val="1"/>
      </rPr>
      <t xml:space="preserve">- Organophosphates(</t>
    </r>
    <r>
      <rPr>
        <sz val="10"/>
        <rFont val="WenQuanYi Zen Hei"/>
        <family val="2"/>
      </rPr>
      <t xml:space="preserve">유기인계</t>
    </r>
    <r>
      <rPr>
        <sz val="10"/>
        <rFont val="맑은 고딕"/>
        <family val="0"/>
        <charset val="1"/>
      </rPr>
      <t xml:space="preserve">)</t>
    </r>
  </si>
  <si>
    <t xml:space="preserve">다아라</t>
  </si>
  <si>
    <r>
      <rPr>
        <sz val="10"/>
        <rFont val="WenQuanYi Zen Hei"/>
        <family val="2"/>
      </rPr>
      <t xml:space="preserve">클로티아니딘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페니트로티온 입제</t>
    </r>
  </si>
  <si>
    <t xml:space="preserve">Clothianidin+Fenitrothion</t>
  </si>
  <si>
    <t xml:space="preserve">5.3(0.3+5)%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</si>
  <si>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-312</t>
    </r>
  </si>
  <si>
    <t xml:space="preserve">모벤토에너지</t>
  </si>
  <si>
    <r>
      <rPr>
        <sz val="10"/>
        <rFont val="WenQuanYi Zen Hei"/>
        <family val="2"/>
      </rPr>
      <t xml:space="preserve">이미다클로프리드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스피로테트라맷 액상수화제</t>
    </r>
  </si>
  <si>
    <t xml:space="preserve">Imidacloprid+Spirotetramat</t>
  </si>
  <si>
    <r>
      <rPr>
        <sz val="10"/>
        <rFont val="맑은 고딕"/>
        <family val="0"/>
        <charset val="1"/>
      </rPr>
      <t xml:space="preserve">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-370</t>
    </r>
  </si>
  <si>
    <t xml:space="preserve">4a+28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</si>
  <si>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28 </t>
    </r>
    <r>
      <rPr>
        <sz val="10"/>
        <rFont val="WenQuanYi Zen Hei"/>
        <family val="2"/>
      </rPr>
      <t xml:space="preserve">라이아노딘 수용체 조절제 </t>
    </r>
    <r>
      <rPr>
        <sz val="10"/>
        <rFont val="맑은 고딕"/>
        <family val="0"/>
        <charset val="1"/>
      </rPr>
      <t xml:space="preserve">- Diamides(</t>
    </r>
    <r>
      <rPr>
        <sz val="10"/>
        <rFont val="WenQuanYi Zen Hei"/>
        <family val="2"/>
      </rPr>
      <t xml:space="preserve">디아마이드계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클로란트라닐리프롤 등</t>
    </r>
    <r>
      <rPr>
        <sz val="10"/>
        <rFont val="맑은 고딕"/>
        <family val="0"/>
        <charset val="1"/>
      </rPr>
      <t xml:space="preserve">)</t>
    </r>
  </si>
  <si>
    <t xml:space="preserve">진검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</si>
  <si>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플루벤디아마이드 입상수화제</t>
    </r>
  </si>
  <si>
    <t xml:space="preserve">Acetamiprid+Flubendiamide</t>
  </si>
  <si>
    <t xml:space="preserve">13(6+7)%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</si>
  <si>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-335</t>
    </r>
  </si>
  <si>
    <t xml:space="preserve">4a+29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</si>
  <si>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</t>
    </r>
  </si>
  <si>
    <t xml:space="preserve">일편단심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</si>
  <si>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플로니카미드 입상수화제</t>
    </r>
  </si>
  <si>
    <t xml:space="preserve">Acetamiprid+Flonicamid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</si>
  <si>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-282</t>
    </r>
  </si>
  <si>
    <t xml:space="preserve">4a+4c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</si>
  <si>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Sulfoximines(</t>
    </r>
    <r>
      <rPr>
        <sz val="10"/>
        <rFont val="WenQuanYi Zen Hei"/>
        <family val="2"/>
      </rPr>
      <t xml:space="preserve">설폭시민계</t>
    </r>
    <r>
      <rPr>
        <sz val="10"/>
        <rFont val="맑은 고딕"/>
        <family val="0"/>
        <charset val="1"/>
      </rPr>
      <t xml:space="preserve">, Sulfoxaflor)</t>
    </r>
  </si>
  <si>
    <t xml:space="preserve">힘센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</si>
  <si>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설폭사플로르 입상수화제</t>
    </r>
  </si>
  <si>
    <t xml:space="preserve">Acetamiprid+Sulfoxaflor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</si>
  <si>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-349</t>
    </r>
  </si>
  <si>
    <t xml:space="preserve">킬러탄</t>
  </si>
  <si>
    <r>
      <rPr>
        <sz val="10"/>
        <rFont val="WenQuanYi Zen Hei"/>
        <family val="2"/>
      </rPr>
      <t xml:space="preserve">이미다클로프리드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스피네토람 액상수화제</t>
    </r>
  </si>
  <si>
    <t xml:space="preserve">Imidacloprid+Spinetoram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</si>
  <si>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-339</t>
    </r>
  </si>
  <si>
    <t xml:space="preserve">빅샷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</si>
  <si>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-136</t>
    </r>
  </si>
  <si>
    <t xml:space="preserve">4a+9b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</si>
  <si>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9 </t>
    </r>
    <r>
      <rPr>
        <sz val="10"/>
        <rFont val="WenQuanYi Zen Hei"/>
        <family val="2"/>
      </rPr>
      <t xml:space="preserve">현음기관 </t>
    </r>
    <r>
      <rPr>
        <sz val="10"/>
        <rFont val="맑은 고딕"/>
        <family val="0"/>
        <charset val="1"/>
      </rPr>
      <t xml:space="preserve">TRPV</t>
    </r>
    <r>
      <rPr>
        <sz val="10"/>
        <rFont val="WenQuanYi Zen Hei"/>
        <family val="2"/>
      </rPr>
      <t xml:space="preserve">채널 조절제 </t>
    </r>
    <r>
      <rPr>
        <sz val="10"/>
        <rFont val="맑은 고딕"/>
        <family val="0"/>
        <charset val="1"/>
      </rPr>
      <t xml:space="preserve">- Pyridine azomethine </t>
    </r>
    <r>
      <rPr>
        <sz val="10"/>
        <rFont val="WenQuanYi Zen Hei"/>
        <family val="2"/>
      </rPr>
      <t xml:space="preserve">유도체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피메트로진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피리플루퀴나존</t>
    </r>
    <r>
      <rPr>
        <sz val="10"/>
        <rFont val="맑은 고딕"/>
        <family val="0"/>
        <charset val="1"/>
      </rPr>
      <t xml:space="preserve">)</t>
    </r>
  </si>
  <si>
    <t xml:space="preserve">기발라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</si>
  <si>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피리플루퀴나존 입상수화제</t>
    </r>
  </si>
  <si>
    <t xml:space="preserve">Acetamiprid+Pyrifluquinazon</t>
  </si>
  <si>
    <t xml:space="preserve">12(7+5)%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</si>
  <si>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-501</t>
    </r>
  </si>
  <si>
    <t xml:space="preserve">레오파드</t>
  </si>
  <si>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피메트로진 입상수화제</t>
    </r>
  </si>
  <si>
    <t xml:space="preserve">Acetamiprid+Pymetrozine</t>
  </si>
  <si>
    <t xml:space="preserve">16(6+10)%</t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</si>
  <si>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-79</t>
    </r>
  </si>
  <si>
    <t xml:space="preserve">빅피처</t>
  </si>
  <si>
    <t xml:space="preserve">20(4+16)%</t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</si>
  <si>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-55</t>
    </r>
  </si>
  <si>
    <t xml:space="preserve">에버킹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</si>
  <si>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-162</t>
    </r>
  </si>
  <si>
    <t xml:space="preserve">한바탕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</si>
  <si>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-389</t>
    </r>
  </si>
  <si>
    <t xml:space="preserve">해피팜</t>
  </si>
  <si>
    <r>
      <rPr>
        <sz val="10"/>
        <rFont val="맑은 고딕"/>
        <family val="0"/>
        <charset val="1"/>
      </rPr>
      <t xml:space="preserve">62-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</t>
    </r>
  </si>
  <si>
    <r>
      <rPr>
        <sz val="10"/>
        <rFont val="맑은 고딕"/>
        <family val="0"/>
        <charset val="1"/>
      </rPr>
      <t xml:space="preserve">4a+</t>
    </r>
    <r>
      <rPr>
        <sz val="10"/>
        <rFont val="WenQuanYi Zen Hei"/>
        <family val="2"/>
      </rPr>
      <t xml:space="preserve">미분류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</si>
  <si>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 + [</t>
    </r>
    <r>
      <rPr>
        <sz val="10"/>
        <rFont val="WenQuanYi Zen Hei"/>
        <family val="2"/>
      </rPr>
      <t xml:space="preserve">국내 미분류 살충성분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훈증제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에틸포메이트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</t>
    </r>
  </si>
  <si>
    <t xml:space="preserve">슈퍼볼</t>
  </si>
  <si>
    <r>
      <rPr>
        <sz val="10"/>
        <rFont val="WenQuanYi Zen Hei"/>
        <family val="2"/>
      </rPr>
      <t xml:space="preserve">클로티아니딘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피리달릴 액상수화제</t>
    </r>
  </si>
  <si>
    <t xml:space="preserve">Clothianidin+Pyridalyl</t>
  </si>
  <si>
    <t xml:space="preserve">24(8+16)%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</si>
  <si>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-252</t>
    </r>
  </si>
  <si>
    <t xml:space="preserve">4c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</si>
  <si>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Sulfoximines(</t>
    </r>
    <r>
      <rPr>
        <sz val="10"/>
        <rFont val="WenQuanYi Zen Hei"/>
        <family val="2"/>
      </rPr>
      <t xml:space="preserve">설폭시민계</t>
    </r>
    <r>
      <rPr>
        <sz val="10"/>
        <rFont val="맑은 고딕"/>
        <family val="0"/>
        <charset val="1"/>
      </rPr>
      <t xml:space="preserve">, Sulfoxaflor)</t>
    </r>
  </si>
  <si>
    <t xml:space="preserve">삼삼칠</t>
  </si>
  <si>
    <t xml:space="preserve">설폭사플로르 입제</t>
  </si>
  <si>
    <t xml:space="preserve">Sulfoxaflor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</si>
  <si>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-454</t>
    </r>
  </si>
  <si>
    <r>
      <rPr>
        <sz val="10"/>
        <rFont val="맑은 고딕"/>
        <family val="0"/>
        <charset val="1"/>
      </rPr>
      <t xml:space="preserve">0.3g/</t>
    </r>
    <r>
      <rPr>
        <sz val="10"/>
        <rFont val="WenQuanYi Zen Hei"/>
        <family val="2"/>
      </rPr>
      <t xml:space="preserve">주</t>
    </r>
  </si>
  <si>
    <t xml:space="preserve">스트레이트</t>
  </si>
  <si>
    <t xml:space="preserve">설폭사플로르 입상수화제</t>
  </si>
  <si>
    <t xml:space="preserve">7%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</si>
  <si>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-315</t>
    </r>
  </si>
  <si>
    <t xml:space="preserve">트랜스폼</t>
  </si>
  <si>
    <t xml:space="preserve">설폭사플로르 액상수화제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</si>
  <si>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-348</t>
    </r>
  </si>
  <si>
    <t xml:space="preserve">4d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</si>
  <si>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Butenolides(</t>
    </r>
    <r>
      <rPr>
        <sz val="10"/>
        <rFont val="WenQuanYi Zen Hei"/>
        <family val="2"/>
      </rPr>
      <t xml:space="preserve">부테놀라이드계</t>
    </r>
    <r>
      <rPr>
        <sz val="10"/>
        <rFont val="맑은 고딕"/>
        <family val="0"/>
        <charset val="1"/>
      </rPr>
      <t xml:space="preserve">, Flupyradifurone)</t>
    </r>
  </si>
  <si>
    <t xml:space="preserve">시반토</t>
  </si>
  <si>
    <t xml:space="preserve">플루피라디퓨론 액제</t>
  </si>
  <si>
    <t xml:space="preserve">Flupyradifurone</t>
  </si>
  <si>
    <t xml:space="preserve">17.09%</t>
  </si>
  <si>
    <r>
      <rPr>
        <sz val="10"/>
        <rFont val="맑은 고딕"/>
        <family val="0"/>
        <charset val="1"/>
      </rPr>
      <t xml:space="preserve">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-375</t>
    </r>
  </si>
  <si>
    <r>
      <rPr>
        <sz val="10"/>
        <rFont val="맑은 고딕"/>
        <family val="0"/>
        <charset val="1"/>
      </rPr>
      <t xml:space="preserve">2ℓ/</t>
    </r>
    <r>
      <rPr>
        <sz val="10"/>
        <rFont val="WenQuanYi Zen Hei"/>
        <family val="2"/>
      </rPr>
      <t xml:space="preserve">㎡</t>
    </r>
  </si>
  <si>
    <t xml:space="preserve">6+4c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</si>
  <si>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Sulfoximines(</t>
    </r>
    <r>
      <rPr>
        <sz val="10"/>
        <rFont val="WenQuanYi Zen Hei"/>
        <family val="2"/>
      </rPr>
      <t xml:space="preserve">설폭시민계</t>
    </r>
    <r>
      <rPr>
        <sz val="10"/>
        <rFont val="맑은 고딕"/>
        <family val="0"/>
        <charset val="1"/>
      </rPr>
      <t xml:space="preserve">, Sulfoxaflor)</t>
    </r>
  </si>
  <si>
    <t xml:space="preserve">슈퍼펀치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</si>
  <si>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설폭사플로르 액상수화제</t>
    </r>
  </si>
  <si>
    <t xml:space="preserve">Abamectin+Sulfoxaflor</t>
  </si>
  <si>
    <t xml:space="preserve">7.7(1.5+6.2)%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</si>
  <si>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-348</t>
    </r>
  </si>
  <si>
    <t xml:space="preserve">마킬</t>
  </si>
  <si>
    <t xml:space="preserve">피메트로진 수화제</t>
  </si>
  <si>
    <t xml:space="preserve">Pymetrozine</t>
  </si>
  <si>
    <r>
      <rPr>
        <sz val="10"/>
        <rFont val="맑은 고딕"/>
        <family val="0"/>
        <charset val="1"/>
      </rPr>
      <t xml:space="preserve">39-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-78</t>
    </r>
  </si>
  <si>
    <t xml:space="preserve">매싱</t>
  </si>
  <si>
    <r>
      <rPr>
        <sz val="10"/>
        <rFont val="맑은 고딕"/>
        <family val="0"/>
        <charset val="1"/>
      </rPr>
      <t xml:space="preserve">63-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-69</t>
    </r>
  </si>
  <si>
    <r>
      <rPr>
        <sz val="10"/>
        <rFont val="맑은 고딕"/>
        <family val="0"/>
        <charset val="1"/>
      </rPr>
      <t xml:space="preserve">76-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-57</t>
    </r>
  </si>
  <si>
    <t xml:space="preserve">무사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</si>
  <si>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-141</t>
    </r>
  </si>
  <si>
    <t xml:space="preserve">우수수</t>
  </si>
  <si>
    <t xml:space="preserve">피메트로진 입상수화제</t>
  </si>
  <si>
    <t xml:space="preserve">49%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</si>
  <si>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-250</t>
    </r>
  </si>
  <si>
    <t xml:space="preserve">죠스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</si>
  <si>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-44</t>
    </r>
  </si>
  <si>
    <t xml:space="preserve">체스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</si>
  <si>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-160</t>
    </r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</si>
  <si>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-209</t>
    </r>
  </si>
  <si>
    <t xml:space="preserve">팡파레에스</t>
  </si>
  <si>
    <t xml:space="preserve">피리플루퀴나존 액상수화제</t>
  </si>
  <si>
    <t xml:space="preserve">6.5%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</si>
  <si>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-443</t>
    </r>
  </si>
  <si>
    <t xml:space="preserve">플래넘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</si>
  <si>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-310</t>
    </r>
  </si>
  <si>
    <t xml:space="preserve">9d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</si>
  <si>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9 </t>
    </r>
    <r>
      <rPr>
        <sz val="10"/>
        <rFont val="WenQuanYi Zen Hei"/>
        <family val="2"/>
      </rPr>
      <t xml:space="preserve">현음기관 </t>
    </r>
    <r>
      <rPr>
        <sz val="10"/>
        <rFont val="맑은 고딕"/>
        <family val="0"/>
        <charset val="1"/>
      </rPr>
      <t xml:space="preserve">TRPV</t>
    </r>
    <r>
      <rPr>
        <sz val="10"/>
        <rFont val="WenQuanYi Zen Hei"/>
        <family val="2"/>
      </rPr>
      <t xml:space="preserve">채널 조절제 </t>
    </r>
    <r>
      <rPr>
        <sz val="10"/>
        <rFont val="맑은 고딕"/>
        <family val="0"/>
        <charset val="1"/>
      </rPr>
      <t xml:space="preserve">- Pyropenes(</t>
    </r>
    <r>
      <rPr>
        <sz val="10"/>
        <rFont val="WenQuanYi Zen Hei"/>
        <family val="2"/>
      </rPr>
      <t xml:space="preserve">아피도피로펜</t>
    </r>
    <r>
      <rPr>
        <sz val="10"/>
        <rFont val="맑은 고딕"/>
        <family val="0"/>
        <charset val="1"/>
      </rPr>
      <t xml:space="preserve">)</t>
    </r>
  </si>
  <si>
    <t xml:space="preserve">베르시스</t>
  </si>
  <si>
    <t xml:space="preserve">아피도피로펜 미탁제</t>
  </si>
  <si>
    <t xml:space="preserve">Afidopyropen</t>
  </si>
  <si>
    <t xml:space="preserve">2.5%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</si>
  <si>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-425</t>
    </r>
  </si>
  <si>
    <t xml:space="preserve">세피나플러스</t>
  </si>
  <si>
    <t xml:space="preserve">아피도피로펜 분산성액제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</si>
  <si>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-290</t>
    </r>
  </si>
  <si>
    <t xml:space="preserve">스퀴즈</t>
  </si>
  <si>
    <r>
      <rPr>
        <sz val="10"/>
        <rFont val="WenQuanYi Zen Hei"/>
        <family val="2"/>
      </rPr>
      <t xml:space="preserve">아피도피로펜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딤프로피리다즈 분산성액제</t>
    </r>
  </si>
  <si>
    <t xml:space="preserve">Afidopyropen+Dimpropyridaz</t>
  </si>
  <si>
    <t xml:space="preserve">7(1+6)%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</si>
  <si>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-419</t>
    </r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</si>
  <si>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1+4a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</si>
  <si>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살균 병용성분</t>
    </r>
    <r>
      <rPr>
        <sz val="10"/>
        <rFont val="맑은 고딕"/>
        <family val="0"/>
        <charset val="1"/>
      </rPr>
      <t xml:space="preserve">/IRAC </t>
    </r>
    <r>
      <rPr>
        <sz val="10"/>
        <rFont val="WenQuanYi Zen Hei"/>
        <family val="2"/>
      </rPr>
      <t xml:space="preserve">비대상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페닐아마이드계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메탈락실류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</si>
  <si>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더블히트</t>
  </si>
  <si>
    <r>
      <rPr>
        <sz val="10"/>
        <rFont val="WenQuanYi Zen Hei"/>
        <family val="2"/>
      </rPr>
      <t xml:space="preserve">메탈락실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입제</t>
    </r>
  </si>
  <si>
    <t xml:space="preserve">Metalaxyl+Imidacloprid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</si>
  <si>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균충</t>
    </r>
    <r>
      <rPr>
        <sz val="10"/>
        <rFont val="맑은 고딕"/>
        <family val="0"/>
        <charset val="1"/>
      </rPr>
      <t xml:space="preserve">-351</t>
    </r>
  </si>
  <si>
    <t xml:space="preserve">맞짱</t>
  </si>
  <si>
    <r>
      <rPr>
        <sz val="10"/>
        <rFont val="WenQuanYi Zen Hei"/>
        <family val="2"/>
      </rPr>
      <t xml:space="preserve">메탈락실엠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입제</t>
    </r>
  </si>
  <si>
    <t xml:space="preserve">Metalaxyl-M+Imidacloprid</t>
  </si>
  <si>
    <t xml:space="preserve">3(1+2)%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</si>
  <si>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균충</t>
    </r>
    <r>
      <rPr>
        <sz val="10"/>
        <rFont val="맑은 고딕"/>
        <family val="0"/>
        <charset val="1"/>
      </rPr>
      <t xml:space="preserve">-516</t>
    </r>
  </si>
  <si>
    <t xml:space="preserve">미리탄</t>
  </si>
  <si>
    <r>
      <rPr>
        <sz val="10"/>
        <rFont val="WenQuanYi Zen Hei"/>
        <family val="2"/>
      </rPr>
      <t xml:space="preserve">베날락실엠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이미다클로프리드 입제</t>
    </r>
  </si>
  <si>
    <t xml:space="preserve">Benalaxyl-M+Imidacloprid</t>
  </si>
  <si>
    <t xml:space="preserve">파구처리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</si>
  <si>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균충</t>
    </r>
    <r>
      <rPr>
        <sz val="10"/>
        <rFont val="맑은 고딕"/>
        <family val="0"/>
        <charset val="1"/>
      </rPr>
      <t xml:space="preserve">-419</t>
    </r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</si>
  <si>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5+4a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</si>
  <si>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살균 병용성분</t>
    </r>
    <r>
      <rPr>
        <sz val="10"/>
        <rFont val="맑은 고딕"/>
        <family val="0"/>
        <charset val="1"/>
      </rPr>
      <t xml:space="preserve">/IRAC </t>
    </r>
    <r>
      <rPr>
        <sz val="10"/>
        <rFont val="WenQuanYi Zen Hei"/>
        <family val="2"/>
      </rPr>
      <t xml:space="preserve">비대상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디니트로아닐린계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플루아지남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4 nAChR </t>
    </r>
    <r>
      <rPr>
        <sz val="10"/>
        <rFont val="WenQuanYi Zen Hei"/>
        <family val="2"/>
      </rPr>
      <t xml:space="preserve">경쟁적 조절제 </t>
    </r>
    <r>
      <rPr>
        <sz val="10"/>
        <rFont val="맑은 고딕"/>
        <family val="0"/>
        <charset val="1"/>
      </rPr>
      <t xml:space="preserve">- Neonicotinoids(</t>
    </r>
    <r>
      <rPr>
        <sz val="10"/>
        <rFont val="WenQuanYi Zen Hei"/>
        <family val="2"/>
      </rPr>
      <t xml:space="preserve">네오니코티노이드계</t>
    </r>
    <r>
      <rPr>
        <sz val="10"/>
        <rFont val="맑은 고딕"/>
        <family val="0"/>
        <charset val="1"/>
      </rPr>
      <t xml:space="preserve">)</t>
    </r>
  </si>
  <si>
    <t xml:space="preserve">혹충탄</t>
  </si>
  <si>
    <r>
      <rPr>
        <sz val="10"/>
        <rFont val="WenQuanYi Zen Hei"/>
        <family val="2"/>
      </rPr>
      <t xml:space="preserve">플루아지남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아세타미프리드 입제</t>
    </r>
  </si>
  <si>
    <t xml:space="preserve">Fluazinam+Acetamiprid</t>
  </si>
  <si>
    <t xml:space="preserve">1.3(1+0.3)%</t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</si>
  <si>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㎏</t>
    </r>
    <r>
      <rPr>
        <sz val="10"/>
        <rFont val="맑은 고딕"/>
        <family val="0"/>
        <charset val="1"/>
      </rPr>
      <t xml:space="preserve">/10a</t>
    </r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</si>
  <si>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균충</t>
    </r>
    <r>
      <rPr>
        <sz val="10"/>
        <rFont val="맑은 고딕"/>
        <family val="0"/>
        <charset val="1"/>
      </rPr>
      <t xml:space="preserve">-48</t>
    </r>
  </si>
  <si>
    <r>
      <rPr>
        <sz val="10"/>
        <rFont val="WenQuanYi Zen Hei"/>
        <family val="2"/>
      </rPr>
      <t xml:space="preserve">미분류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</si>
  <si>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국내 미분류 살충성분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훈증제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에틸포메이트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</t>
    </r>
  </si>
  <si>
    <t xml:space="preserve">베이퍼메이트</t>
  </si>
  <si>
    <t xml:space="preserve">에틸포메이트 훈증제</t>
  </si>
  <si>
    <t xml:space="preserve">Ethyl formate</t>
  </si>
  <si>
    <t xml:space="preserve">16.6%</t>
  </si>
  <si>
    <r>
      <rPr>
        <sz val="10"/>
        <rFont val="맑은 고딕"/>
        <family val="0"/>
        <charset val="1"/>
      </rPr>
      <t xml:space="preserve">100g/</t>
    </r>
    <r>
      <rPr>
        <sz val="10"/>
        <rFont val="WenQuanYi Zen Hei"/>
        <family val="2"/>
      </rPr>
      <t xml:space="preserve">㎥</t>
    </r>
  </si>
  <si>
    <t xml:space="preserve">수출입식물 검역소독 처리기준에 따름</t>
  </si>
  <si>
    <t xml:space="preserve">훈증처리</t>
  </si>
  <si>
    <t xml:space="preserve">검역시</t>
  </si>
  <si>
    <t xml:space="preserve">훈증제</t>
  </si>
  <si>
    <r>
      <rPr>
        <sz val="10"/>
        <rFont val="맑은 고딕"/>
        <family val="0"/>
        <charset val="1"/>
      </rPr>
      <t xml:space="preserve">96-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-34</t>
    </r>
  </si>
  <si>
    <r>
      <rPr>
        <sz val="10"/>
        <rFont val="WenQuanYi Zen Hei"/>
        <family val="2"/>
      </rPr>
      <t xml:space="preserve">린데코리아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</si>
  <si>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67-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</t>
    </r>
  </si>
  <si>
    <r>
      <rPr>
        <sz val="10"/>
        <rFont val="맑은 고딕"/>
        <family val="0"/>
        <charset val="1"/>
      </rPr>
      <t xml:space="preserve">93-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</t>
    </r>
  </si>
  <si>
    <t xml:space="preserve">에버메이트</t>
  </si>
  <si>
    <t xml:space="preserve">주식회사 북부산업가스</t>
  </si>
  <si>
    <r>
      <rPr>
        <sz val="10"/>
        <rFont val="맑은 고딕"/>
        <family val="0"/>
        <charset val="1"/>
      </rPr>
      <t xml:space="preserve">103-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</t>
    </r>
  </si>
  <si>
    <t xml:space="preserve">이퓸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</si>
  <si>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아트라텍</t>
    </r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</si>
  <si>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</t>
    </r>
  </si>
  <si>
    <t xml:space="preserve">후레쉬메이트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</si>
  <si>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제일가스</t>
    </r>
  </si>
  <si>
    <r>
      <rPr>
        <sz val="10"/>
        <rFont val="맑은 고딕"/>
        <family val="0"/>
        <charset val="1"/>
      </rPr>
      <t xml:space="preserve">86-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</t>
    </r>
  </si>
  <si>
    <r>
      <rPr>
        <sz val="10"/>
        <rFont val="WenQuanYi Zen Hei"/>
        <family val="2"/>
      </rPr>
      <t xml:space="preserve">차</t>
    </r>
    <r>
      <rPr>
        <sz val="10"/>
        <rFont val="맑은 고딕"/>
        <family val="0"/>
        <charset val="1"/>
      </rPr>
      <t xml:space="preserve">2+29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</si>
  <si>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살균 병용성분</t>
    </r>
    <r>
      <rPr>
        <sz val="10"/>
        <rFont val="맑은 고딕"/>
        <family val="0"/>
        <charset val="1"/>
      </rPr>
      <t xml:space="preserve">/IRAC </t>
    </r>
    <r>
      <rPr>
        <sz val="10"/>
        <rFont val="WenQuanYi Zen Hei"/>
        <family val="2"/>
      </rPr>
      <t xml:space="preserve">비대상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식물활성화제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프로베나졸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29 </t>
    </r>
    <r>
      <rPr>
        <sz val="10"/>
        <rFont val="WenQuanYi Zen Hei"/>
        <family val="2"/>
      </rPr>
      <t xml:space="preserve">현음기관 니코틴아마이드가수분해효소 억제 </t>
    </r>
    <r>
      <rPr>
        <sz val="10"/>
        <rFont val="맑은 고딕"/>
        <family val="0"/>
        <charset val="1"/>
      </rPr>
      <t xml:space="preserve">- Flonicamid(</t>
    </r>
    <r>
      <rPr>
        <sz val="10"/>
        <rFont val="WenQuanYi Zen Hei"/>
        <family val="2"/>
      </rPr>
      <t xml:space="preserve">플로니카미드</t>
    </r>
    <r>
      <rPr>
        <sz val="10"/>
        <rFont val="맑은 고딕"/>
        <family val="0"/>
        <charset val="1"/>
      </rPr>
      <t xml:space="preserve">)</t>
    </r>
  </si>
  <si>
    <t xml:space="preserve">바이커트</t>
  </si>
  <si>
    <r>
      <rPr>
        <sz val="10"/>
        <rFont val="WenQuanYi Zen Hei"/>
        <family val="2"/>
      </rPr>
      <t xml:space="preserve">프로베나졸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플로니카미드 입제</t>
    </r>
  </si>
  <si>
    <t xml:space="preserve">Probenazole+Flonicamid</t>
  </si>
  <si>
    <t xml:space="preserve">14(12+2)%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</si>
  <si>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균충</t>
    </r>
    <r>
      <rPr>
        <sz val="10"/>
        <rFont val="맑은 고딕"/>
        <family val="0"/>
        <charset val="1"/>
      </rPr>
      <t xml:space="preserve">-220</t>
    </r>
  </si>
  <si>
    <t xml:space="preserve">열대거세미나방</t>
  </si>
  <si>
    <t xml:space="preserve">오이총채벌레</t>
  </si>
  <si>
    <t xml:space="preserve">노다지</t>
  </si>
  <si>
    <t xml:space="preserve">이미다클로프리드 입제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</si>
  <si>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-276</t>
    </r>
  </si>
  <si>
    <t xml:space="preserve">베테랑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</si>
  <si>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-153</t>
    </r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</si>
  <si>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-199</t>
    </r>
  </si>
  <si>
    <t xml:space="preserve">코니타</t>
  </si>
  <si>
    <r>
      <rPr>
        <sz val="10"/>
        <rFont val="맑은 고딕"/>
        <family val="0"/>
        <charset val="1"/>
      </rPr>
      <t xml:space="preserve">69-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-50</t>
    </r>
  </si>
  <si>
    <t xml:space="preserve">코만도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</si>
  <si>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-560</t>
    </r>
  </si>
  <si>
    <t xml:space="preserve">코모도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</si>
  <si>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</t>
    </r>
  </si>
  <si>
    <r>
      <rPr>
        <sz val="10"/>
        <rFont val="맑은 고딕"/>
        <family val="0"/>
        <charset val="1"/>
      </rPr>
      <t xml:space="preserve">45-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-73</t>
    </r>
  </si>
  <si>
    <t xml:space="preserve">비펜트린 유제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</si>
  <si>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-53</t>
    </r>
  </si>
  <si>
    <t xml:space="preserve">만렙</t>
  </si>
  <si>
    <t xml:space="preserve">알파사이퍼메트린 유제</t>
  </si>
  <si>
    <t xml:space="preserve">Alpha-cypermethrin</t>
  </si>
  <si>
    <r>
      <rPr>
        <sz val="10"/>
        <rFont val="맑은 고딕"/>
        <family val="0"/>
        <charset val="1"/>
      </rPr>
      <t xml:space="preserve">80-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</t>
    </r>
  </si>
  <si>
    <t xml:space="preserve">맨투맨</t>
  </si>
  <si>
    <t xml:space="preserve">베타사이플루트린 유제</t>
  </si>
  <si>
    <t xml:space="preserve">Beta-cyfluthrin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</si>
  <si>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-572</t>
    </r>
  </si>
  <si>
    <t xml:space="preserve">멀티플러스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</si>
  <si>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-70</t>
    </r>
  </si>
  <si>
    <t xml:space="preserve">메가패스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</si>
  <si>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-24</t>
    </r>
  </si>
  <si>
    <t xml:space="preserve">명쾌탄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</si>
  <si>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-219</t>
    </r>
  </si>
  <si>
    <t xml:space="preserve">에스펜발러레이트 유제</t>
  </si>
  <si>
    <t xml:space="preserve">Esfenvalerate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</si>
  <si>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-84</t>
    </r>
  </si>
  <si>
    <t xml:space="preserve">람다사이할로트린 수화제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</si>
  <si>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-249</t>
    </r>
  </si>
  <si>
    <t xml:space="preserve">화스탁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</si>
  <si>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-74</t>
    </r>
  </si>
  <si>
    <t xml:space="preserve">신파마치온</t>
  </si>
  <si>
    <r>
      <rPr>
        <sz val="10"/>
        <rFont val="WenQuanYi Zen Hei"/>
        <family val="2"/>
      </rPr>
      <t xml:space="preserve">에스펜발러레이트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페니트로티온 유제</t>
    </r>
  </si>
  <si>
    <t xml:space="preserve">Esfenvalerate+Fenitrothion</t>
  </si>
  <si>
    <t xml:space="preserve">16.25(1.25+15)%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</si>
  <si>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-105</t>
    </r>
  </si>
  <si>
    <t xml:space="preserve">한방</t>
  </si>
  <si>
    <r>
      <rPr>
        <sz val="10"/>
        <rFont val="WenQuanYi Zen Hei"/>
        <family val="2"/>
      </rPr>
      <t xml:space="preserve">델타메트린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프로페노포스 유제</t>
    </r>
  </si>
  <si>
    <t xml:space="preserve">Deltamethrin+Profenofos</t>
  </si>
  <si>
    <t xml:space="preserve">15.6(0.6+15)%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</si>
  <si>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-112</t>
    </r>
  </si>
  <si>
    <t xml:space="preserve">10a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</si>
  <si>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10 </t>
    </r>
    <r>
      <rPr>
        <sz val="10"/>
        <rFont val="WenQuanYi Zen Hei"/>
        <family val="2"/>
      </rPr>
      <t xml:space="preserve">응애 성장억제</t>
    </r>
    <r>
      <rPr>
        <sz val="10"/>
        <rFont val="맑은 고딕"/>
        <family val="0"/>
        <charset val="1"/>
      </rPr>
      <t xml:space="preserve">(CHS1) - Clofentezine/Hexythiazox</t>
    </r>
    <r>
      <rPr>
        <sz val="10"/>
        <rFont val="WenQuanYi Zen Hei"/>
        <family val="2"/>
      </rPr>
      <t xml:space="preserve">계</t>
    </r>
  </si>
  <si>
    <t xml:space="preserve">붐</t>
  </si>
  <si>
    <t xml:space="preserve">헥시티아족스 수화제</t>
  </si>
  <si>
    <t xml:space="preserve">Hexythiazox</t>
  </si>
  <si>
    <r>
      <rPr>
        <sz val="10"/>
        <rFont val="맑은 고딕"/>
        <family val="0"/>
        <charset val="1"/>
      </rPr>
      <t xml:space="preserve">29-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</t>
    </r>
  </si>
  <si>
    <t xml:space="preserve">10b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</si>
  <si>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10 </t>
    </r>
    <r>
      <rPr>
        <sz val="10"/>
        <rFont val="WenQuanYi Zen Hei"/>
        <family val="2"/>
      </rPr>
      <t xml:space="preserve">응애 성장억제</t>
    </r>
    <r>
      <rPr>
        <sz val="10"/>
        <rFont val="맑은 고딕"/>
        <family val="0"/>
        <charset val="1"/>
      </rPr>
      <t xml:space="preserve">(CHS1) - Etoxazole</t>
    </r>
  </si>
  <si>
    <t xml:space="preserve">레옹</t>
  </si>
  <si>
    <t xml:space="preserve">에톡사졸 액상수화제</t>
  </si>
  <si>
    <t xml:space="preserve">Etoxazole</t>
  </si>
  <si>
    <r>
      <rPr>
        <sz val="10"/>
        <rFont val="맑은 고딕"/>
        <family val="0"/>
        <charset val="1"/>
      </rPr>
      <t xml:space="preserve">56-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-22</t>
    </r>
  </si>
  <si>
    <t xml:space="preserve">주움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</si>
  <si>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-155</t>
    </r>
  </si>
  <si>
    <t xml:space="preserve">13+22b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</si>
  <si>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전압의존 나트륨채널 차단제 </t>
    </r>
    <r>
      <rPr>
        <sz val="10"/>
        <rFont val="맑은 고딕"/>
        <family val="0"/>
        <charset val="1"/>
      </rPr>
      <t xml:space="preserve">- Semicarbazones(</t>
    </r>
    <r>
      <rPr>
        <sz val="10"/>
        <rFont val="WenQuanYi Zen Hei"/>
        <family val="2"/>
      </rPr>
      <t xml:space="preserve">메타플루미존</t>
    </r>
    <r>
      <rPr>
        <sz val="10"/>
        <rFont val="맑은 고딕"/>
        <family val="0"/>
        <charset val="1"/>
      </rPr>
      <t xml:space="preserve">)</t>
    </r>
  </si>
  <si>
    <t xml:space="preserve">라스트원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</si>
  <si>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메타플루미존 유제</t>
    </r>
  </si>
  <si>
    <t xml:space="preserve">Chlorfenapyr+Metaflumizone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</si>
  <si>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-94</t>
    </r>
  </si>
  <si>
    <t xml:space="preserve">13+25a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</si>
  <si>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25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Beta-ketonitrile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사이에노피라펜 등</t>
    </r>
    <r>
      <rPr>
        <sz val="10"/>
        <rFont val="맑은 고딕"/>
        <family val="0"/>
        <charset val="1"/>
      </rPr>
      <t xml:space="preserve">)</t>
    </r>
  </si>
  <si>
    <t xml:space="preserve">선캡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</si>
  <si>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사이에노피라펜 액상수화제</t>
    </r>
  </si>
  <si>
    <t xml:space="preserve">Chlorfenapyr+Cyenopyrafen</t>
  </si>
  <si>
    <t xml:space="preserve">24(4+20)%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</si>
  <si>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-296</t>
    </r>
  </si>
  <si>
    <t xml:space="preserve">13+30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</si>
  <si>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30 GABA</t>
    </r>
    <r>
      <rPr>
        <sz val="10"/>
        <rFont val="WenQuanYi Zen Hei"/>
        <family val="2"/>
      </rPr>
      <t xml:space="preserve">개폐 염소채널 알로스테릭 조절제 </t>
    </r>
    <r>
      <rPr>
        <sz val="10"/>
        <rFont val="맑은 고딕"/>
        <family val="0"/>
        <charset val="1"/>
      </rPr>
      <t xml:space="preserve">- Isoxazolines/Meta-diamides</t>
    </r>
    <r>
      <rPr>
        <sz val="10"/>
        <rFont val="WenQuanYi Zen Hei"/>
        <family val="2"/>
      </rPr>
      <t xml:space="preserve">계</t>
    </r>
  </si>
  <si>
    <t xml:space="preserve">타르보</t>
  </si>
  <si>
    <r>
      <rPr>
        <sz val="10"/>
        <rFont val="WenQuanYi Zen Hei"/>
        <family val="2"/>
      </rPr>
      <t xml:space="preserve">클로르페나피르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플룩사메타마이드 유제</t>
    </r>
  </si>
  <si>
    <t xml:space="preserve">Chlorfenapyr+Fluxametamide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</si>
  <si>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-367</t>
    </r>
  </si>
  <si>
    <t xml:space="preserve">충애존</t>
  </si>
  <si>
    <t xml:space="preserve">플루페녹수론 분산성액제</t>
  </si>
  <si>
    <t xml:space="preserve">Flufenoxuron</t>
  </si>
  <si>
    <r>
      <rPr>
        <sz val="10"/>
        <rFont val="맑은 고딕"/>
        <family val="0"/>
        <charset val="1"/>
      </rPr>
      <t xml:space="preserve">51-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-70</t>
    </r>
  </si>
  <si>
    <t xml:space="preserve">카스케이드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</si>
  <si>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-122</t>
    </r>
  </si>
  <si>
    <t xml:space="preserve">20b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</si>
  <si>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20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III </t>
    </r>
    <r>
      <rPr>
        <sz val="10"/>
        <rFont val="WenQuanYi Zen Hei"/>
        <family val="2"/>
      </rPr>
      <t xml:space="preserve">억제</t>
    </r>
    <r>
      <rPr>
        <sz val="10"/>
        <rFont val="맑은 고딕"/>
        <family val="0"/>
        <charset val="1"/>
      </rPr>
      <t xml:space="preserve">(Qo) - Acequinocyl(</t>
    </r>
    <r>
      <rPr>
        <sz val="10"/>
        <rFont val="WenQuanYi Zen Hei"/>
        <family val="2"/>
      </rPr>
      <t xml:space="preserve">아세퀴노실</t>
    </r>
    <r>
      <rPr>
        <sz val="10"/>
        <rFont val="맑은 고딕"/>
        <family val="0"/>
        <charset val="1"/>
      </rPr>
      <t xml:space="preserve">)</t>
    </r>
  </si>
  <si>
    <t xml:space="preserve">가네마이트</t>
  </si>
  <si>
    <t xml:space="preserve">아세퀴노실 액상수화제</t>
  </si>
  <si>
    <t xml:space="preserve">Acequinocyl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</si>
  <si>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-11</t>
    </r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</si>
  <si>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-412</t>
    </r>
  </si>
  <si>
    <t xml:space="preserve">20d+23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</si>
  <si>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20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III </t>
    </r>
    <r>
      <rPr>
        <sz val="10"/>
        <rFont val="WenQuanYi Zen Hei"/>
        <family val="2"/>
      </rPr>
      <t xml:space="preserve">억제</t>
    </r>
    <r>
      <rPr>
        <sz val="10"/>
        <rFont val="맑은 고딕"/>
        <family val="0"/>
        <charset val="1"/>
      </rPr>
      <t xml:space="preserve">(Qo) - Bifenazate(</t>
    </r>
    <r>
      <rPr>
        <sz val="10"/>
        <rFont val="WenQuanYi Zen Hei"/>
        <family val="2"/>
      </rPr>
      <t xml:space="preserve">비페나제이트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23 </t>
    </r>
    <r>
      <rPr>
        <sz val="10"/>
        <rFont val="WenQuanYi Zen Hei"/>
        <family val="2"/>
      </rPr>
      <t xml:space="preserve">아세틸</t>
    </r>
    <r>
      <rPr>
        <sz val="10"/>
        <rFont val="맑은 고딕"/>
        <family val="0"/>
        <charset val="1"/>
      </rPr>
      <t xml:space="preserve">-CoA</t>
    </r>
    <r>
      <rPr>
        <sz val="10"/>
        <rFont val="WenQuanYi Zen Hei"/>
        <family val="2"/>
      </rPr>
      <t xml:space="preserve">카르복실화효소 억제 </t>
    </r>
    <r>
      <rPr>
        <sz val="10"/>
        <rFont val="맑은 고딕"/>
        <family val="0"/>
        <charset val="1"/>
      </rPr>
      <t xml:space="preserve">- Tetronic/Tetramic acid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스피로계</t>
    </r>
    <r>
      <rPr>
        <sz val="10"/>
        <rFont val="맑은 고딕"/>
        <family val="0"/>
        <charset val="1"/>
      </rPr>
      <t xml:space="preserve">)</t>
    </r>
  </si>
  <si>
    <t xml:space="preserve">코드원</t>
  </si>
  <si>
    <r>
      <rPr>
        <sz val="10"/>
        <rFont val="WenQuanYi Zen Hei"/>
        <family val="2"/>
      </rPr>
      <t xml:space="preserve">비페나제이트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스피로메시펜 액상수화제</t>
    </r>
  </si>
  <si>
    <t xml:space="preserve">Bifenazate+Spiromesifen</t>
  </si>
  <si>
    <t xml:space="preserve">28(18+10)%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</si>
  <si>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-513</t>
    </r>
  </si>
  <si>
    <t xml:space="preserve">램제트</t>
  </si>
  <si>
    <r>
      <rPr>
        <sz val="10"/>
        <rFont val="맑은 고딕"/>
        <family val="0"/>
        <charset val="1"/>
      </rPr>
      <t xml:space="preserve">29-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</t>
    </r>
  </si>
  <si>
    <t xml:space="preserve">피라니카</t>
  </si>
  <si>
    <t xml:space="preserve">테부펜피라드 유제</t>
  </si>
  <si>
    <t xml:space="preserve">Tebufenpyrad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</si>
  <si>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-164</t>
    </r>
  </si>
  <si>
    <t xml:space="preserve">배트맨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</si>
  <si>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-57</t>
    </r>
  </si>
  <si>
    <t xml:space="preserve">살비탄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</si>
  <si>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-206</t>
    </r>
  </si>
  <si>
    <t xml:space="preserve">시월애</t>
  </si>
  <si>
    <t xml:space="preserve">스피로디클로펜 수화제</t>
  </si>
  <si>
    <t xml:space="preserve">Spirodiclofen</t>
  </si>
  <si>
    <t xml:space="preserve">36%</t>
  </si>
  <si>
    <r>
      <rPr>
        <sz val="10"/>
        <rFont val="맑은 고딕"/>
        <family val="0"/>
        <charset val="1"/>
      </rPr>
      <t xml:space="preserve">48-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-38</t>
    </r>
  </si>
  <si>
    <r>
      <rPr>
        <sz val="10"/>
        <rFont val="맑은 고딕"/>
        <family val="0"/>
        <charset val="1"/>
      </rPr>
      <t xml:space="preserve">56-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-20</t>
    </r>
  </si>
  <si>
    <r>
      <rPr>
        <sz val="10"/>
        <rFont val="맑은 고딕"/>
        <family val="0"/>
        <charset val="1"/>
      </rPr>
      <t xml:space="preserve">94-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-21</t>
    </r>
  </si>
  <si>
    <t xml:space="preserve">지존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</si>
  <si>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-254</t>
    </r>
  </si>
  <si>
    <t xml:space="preserve">25a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</si>
  <si>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25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Beta-ketonitrile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사이에노피라펜 등</t>
    </r>
    <r>
      <rPr>
        <sz val="10"/>
        <rFont val="맑은 고딕"/>
        <family val="0"/>
        <charset val="1"/>
      </rPr>
      <t xml:space="preserve">)</t>
    </r>
  </si>
  <si>
    <t xml:space="preserve">쇼크</t>
  </si>
  <si>
    <t xml:space="preserve">사이에노피라펜 액상수화제</t>
  </si>
  <si>
    <t xml:space="preserve">Cyenopyrafen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</si>
  <si>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-292</t>
    </r>
  </si>
  <si>
    <t xml:space="preserve">응원</t>
  </si>
  <si>
    <t xml:space="preserve">사이플루메토펜 분산성액제</t>
  </si>
  <si>
    <t xml:space="preserve">Cyflumetofen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</si>
  <si>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-259</t>
    </r>
  </si>
  <si>
    <t xml:space="preserve">25a+10b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</si>
  <si>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25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Beta-ketonitrile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사이에노피라펜 등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10 </t>
    </r>
    <r>
      <rPr>
        <sz val="10"/>
        <rFont val="WenQuanYi Zen Hei"/>
        <family val="2"/>
      </rPr>
      <t xml:space="preserve">응애 성장억제</t>
    </r>
    <r>
      <rPr>
        <sz val="10"/>
        <rFont val="맑은 고딕"/>
        <family val="0"/>
        <charset val="1"/>
      </rPr>
      <t xml:space="preserve">(CHS1) - Etoxazole</t>
    </r>
  </si>
  <si>
    <t xml:space="preserve">컷다운</t>
  </si>
  <si>
    <r>
      <rPr>
        <sz val="10"/>
        <rFont val="WenQuanYi Zen Hei"/>
        <family val="2"/>
      </rPr>
      <t xml:space="preserve">사이에노피라펜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에톡사졸 액상수화제</t>
    </r>
  </si>
  <si>
    <t xml:space="preserve">Cyenopyrafen+Etoxazole</t>
  </si>
  <si>
    <t xml:space="preserve">23(20+3)%</t>
  </si>
  <si>
    <r>
      <rPr>
        <sz val="10"/>
        <rFont val="맑은 고딕"/>
        <family val="0"/>
        <charset val="1"/>
      </rPr>
      <t xml:space="preserve">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-243</t>
    </r>
  </si>
  <si>
    <t xml:space="preserve">25a+15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</si>
  <si>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25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Beta-ketonitrile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사이에노피라펜 등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15 </t>
    </r>
    <r>
      <rPr>
        <sz val="10"/>
        <rFont val="WenQuanYi Zen Hei"/>
        <family val="2"/>
      </rPr>
      <t xml:space="preserve">키틴합성 저해</t>
    </r>
    <r>
      <rPr>
        <sz val="10"/>
        <rFont val="맑은 고딕"/>
        <family val="0"/>
        <charset val="1"/>
      </rPr>
      <t xml:space="preserve">(CHS1) - Benzoylureas(</t>
    </r>
    <r>
      <rPr>
        <sz val="10"/>
        <rFont val="WenQuanYi Zen Hei"/>
        <family val="2"/>
      </rPr>
      <t xml:space="preserve">벤조일우레아계</t>
    </r>
    <r>
      <rPr>
        <sz val="10"/>
        <rFont val="맑은 고딕"/>
        <family val="0"/>
        <charset val="1"/>
      </rPr>
      <t xml:space="preserve">)</t>
    </r>
  </si>
  <si>
    <t xml:space="preserve">집중마크</t>
  </si>
  <si>
    <r>
      <rPr>
        <sz val="10"/>
        <rFont val="WenQuanYi Zen Hei"/>
        <family val="2"/>
      </rPr>
      <t xml:space="preserve">사이에노피라펜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플루페녹수론 액상수화제</t>
    </r>
  </si>
  <si>
    <t xml:space="preserve">Cyenopyrafen+Flufenoxuron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</si>
  <si>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-383</t>
    </r>
  </si>
  <si>
    <t xml:space="preserve">25a+23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</si>
  <si>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25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Beta-ketonitrile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사이에노피라펜 등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23 </t>
    </r>
    <r>
      <rPr>
        <sz val="10"/>
        <rFont val="WenQuanYi Zen Hei"/>
        <family val="2"/>
      </rPr>
      <t xml:space="preserve">아세틸</t>
    </r>
    <r>
      <rPr>
        <sz val="10"/>
        <rFont val="맑은 고딕"/>
        <family val="0"/>
        <charset val="1"/>
      </rPr>
      <t xml:space="preserve">-CoA</t>
    </r>
    <r>
      <rPr>
        <sz val="10"/>
        <rFont val="WenQuanYi Zen Hei"/>
        <family val="2"/>
      </rPr>
      <t xml:space="preserve">카르복실화효소 억제 </t>
    </r>
    <r>
      <rPr>
        <sz val="10"/>
        <rFont val="맑은 고딕"/>
        <family val="0"/>
        <charset val="1"/>
      </rPr>
      <t xml:space="preserve">- Tetronic/Tetramic acid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스피로계</t>
    </r>
    <r>
      <rPr>
        <sz val="10"/>
        <rFont val="맑은 고딕"/>
        <family val="0"/>
        <charset val="1"/>
      </rPr>
      <t xml:space="preserve">)</t>
    </r>
  </si>
  <si>
    <t xml:space="preserve">응애엔</t>
  </si>
  <si>
    <r>
      <rPr>
        <sz val="10"/>
        <rFont val="WenQuanYi Zen Hei"/>
        <family val="2"/>
      </rPr>
      <t xml:space="preserve">사이에노피라펜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스피로디클로펜 액상수화제</t>
    </r>
  </si>
  <si>
    <t xml:space="preserve">Cyenopyrafen+Spirodiclofen</t>
  </si>
  <si>
    <t xml:space="preserve">36(20+16)%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</si>
  <si>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-229</t>
    </r>
  </si>
  <si>
    <t xml:space="preserve">33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</si>
  <si>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33 </t>
    </r>
    <r>
      <rPr>
        <sz val="10"/>
        <rFont val="WenQuanYi Zen Hei"/>
        <family val="2"/>
      </rPr>
      <t xml:space="preserve">칼슘활성 칼륨채널</t>
    </r>
    <r>
      <rPr>
        <sz val="10"/>
        <rFont val="맑은 고딕"/>
        <family val="0"/>
        <charset val="1"/>
      </rPr>
      <t xml:space="preserve">(KCa2) </t>
    </r>
    <r>
      <rPr>
        <sz val="10"/>
        <rFont val="WenQuanYi Zen Hei"/>
        <family val="2"/>
      </rPr>
      <t xml:space="preserve">조절제 </t>
    </r>
    <r>
      <rPr>
        <sz val="10"/>
        <rFont val="맑은 고딕"/>
        <family val="0"/>
        <charset val="1"/>
      </rPr>
      <t xml:space="preserve">- Acynonapyr</t>
    </r>
  </si>
  <si>
    <t xml:space="preserve">다이마이트</t>
  </si>
  <si>
    <t xml:space="preserve">아사이노나피르 분산성액제</t>
  </si>
  <si>
    <t xml:space="preserve">Acynonapyr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</si>
  <si>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-397</t>
    </r>
  </si>
  <si>
    <t xml:space="preserve">마이트킹</t>
  </si>
  <si>
    <t xml:space="preserve">아사이노나피르 액상수화제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</si>
  <si>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-559</t>
    </r>
  </si>
  <si>
    <t xml:space="preserve">33+10b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</si>
  <si>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33 </t>
    </r>
    <r>
      <rPr>
        <sz val="10"/>
        <rFont val="WenQuanYi Zen Hei"/>
        <family val="2"/>
      </rPr>
      <t xml:space="preserve">칼슘활성 칼륨채널</t>
    </r>
    <r>
      <rPr>
        <sz val="10"/>
        <rFont val="맑은 고딕"/>
        <family val="0"/>
        <charset val="1"/>
      </rPr>
      <t xml:space="preserve">(KCa2) </t>
    </r>
    <r>
      <rPr>
        <sz val="10"/>
        <rFont val="WenQuanYi Zen Hei"/>
        <family val="2"/>
      </rPr>
      <t xml:space="preserve">조절제 </t>
    </r>
    <r>
      <rPr>
        <sz val="10"/>
        <rFont val="맑은 고딕"/>
        <family val="0"/>
        <charset val="1"/>
      </rPr>
      <t xml:space="preserve">- Acynonapyr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10 </t>
    </r>
    <r>
      <rPr>
        <sz val="10"/>
        <rFont val="WenQuanYi Zen Hei"/>
        <family val="2"/>
      </rPr>
      <t xml:space="preserve">응애 성장억제</t>
    </r>
    <r>
      <rPr>
        <sz val="10"/>
        <rFont val="맑은 고딕"/>
        <family val="0"/>
        <charset val="1"/>
      </rPr>
      <t xml:space="preserve">(CHS1) - Etoxazole</t>
    </r>
  </si>
  <si>
    <t xml:space="preserve">카스피</t>
  </si>
  <si>
    <r>
      <rPr>
        <sz val="10"/>
        <rFont val="WenQuanYi Zen Hei"/>
        <family val="2"/>
      </rPr>
      <t xml:space="preserve">아사이노나피르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에톡사졸 액상수화제</t>
    </r>
  </si>
  <si>
    <t xml:space="preserve">Acynonapyr+Etoxazole</t>
  </si>
  <si>
    <t xml:space="preserve">18(15+3)%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</si>
  <si>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-426</t>
    </r>
  </si>
  <si>
    <t xml:space="preserve">33+13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</si>
  <si>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33 </t>
    </r>
    <r>
      <rPr>
        <sz val="10"/>
        <rFont val="WenQuanYi Zen Hei"/>
        <family val="2"/>
      </rPr>
      <t xml:space="preserve">칼슘활성 칼륨채널</t>
    </r>
    <r>
      <rPr>
        <sz val="10"/>
        <rFont val="맑은 고딕"/>
        <family val="0"/>
        <charset val="1"/>
      </rPr>
      <t xml:space="preserve">(KCa2) </t>
    </r>
    <r>
      <rPr>
        <sz val="10"/>
        <rFont val="WenQuanYi Zen Hei"/>
        <family val="2"/>
      </rPr>
      <t xml:space="preserve">조절제 </t>
    </r>
    <r>
      <rPr>
        <sz val="10"/>
        <rFont val="맑은 고딕"/>
        <family val="0"/>
        <charset val="1"/>
      </rPr>
      <t xml:space="preserve">- Acynonapyr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13 </t>
    </r>
    <r>
      <rPr>
        <sz val="10"/>
        <rFont val="WenQuanYi Zen Hei"/>
        <family val="2"/>
      </rPr>
      <t xml:space="preserve">산화적 인산화 짝풀림제 </t>
    </r>
    <r>
      <rPr>
        <sz val="10"/>
        <rFont val="맑은 고딕"/>
        <family val="0"/>
        <charset val="1"/>
      </rPr>
      <t xml:space="preserve">- Pyrroles(</t>
    </r>
    <r>
      <rPr>
        <sz val="10"/>
        <rFont val="WenQuanYi Zen Hei"/>
        <family val="2"/>
      </rPr>
      <t xml:space="preserve">피롤계</t>
    </r>
    <r>
      <rPr>
        <sz val="10"/>
        <rFont val="맑은 고딕"/>
        <family val="0"/>
        <charset val="1"/>
      </rPr>
      <t xml:space="preserve">, Chlorfenapyr)</t>
    </r>
  </si>
  <si>
    <t xml:space="preserve">응전</t>
  </si>
  <si>
    <r>
      <rPr>
        <sz val="10"/>
        <rFont val="WenQuanYi Zen Hei"/>
        <family val="2"/>
      </rPr>
      <t xml:space="preserve">아사이노나피르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클로르페나피르 액상수화제</t>
    </r>
  </si>
  <si>
    <t xml:space="preserve">Acynonapyr+Chlorfenapyr</t>
  </si>
  <si>
    <t xml:space="preserve">19(15+4)%</t>
  </si>
  <si>
    <r>
      <rPr>
        <sz val="10"/>
        <rFont val="맑은 고딕"/>
        <family val="0"/>
        <charset val="1"/>
      </rPr>
      <t xml:space="preserve">14-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-377</t>
    </r>
  </si>
  <si>
    <t xml:space="preserve">33+21a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</si>
  <si>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33 </t>
    </r>
    <r>
      <rPr>
        <sz val="10"/>
        <rFont val="WenQuanYi Zen Hei"/>
        <family val="2"/>
      </rPr>
      <t xml:space="preserve">칼슘활성 칼륨채널</t>
    </r>
    <r>
      <rPr>
        <sz val="10"/>
        <rFont val="맑은 고딕"/>
        <family val="0"/>
        <charset val="1"/>
      </rPr>
      <t xml:space="preserve">(KCa2) </t>
    </r>
    <r>
      <rPr>
        <sz val="10"/>
        <rFont val="WenQuanYi Zen Hei"/>
        <family val="2"/>
      </rPr>
      <t xml:space="preserve">조절제 </t>
    </r>
    <r>
      <rPr>
        <sz val="10"/>
        <rFont val="맑은 고딕"/>
        <family val="0"/>
        <charset val="1"/>
      </rPr>
      <t xml:space="preserve">- Acynonapyr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21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METI</t>
    </r>
    <r>
      <rPr>
        <sz val="10"/>
        <rFont val="WenQuanYi Zen Hei"/>
        <family val="2"/>
      </rPr>
      <t xml:space="preserve">계 살비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피리다벤 등</t>
    </r>
    <r>
      <rPr>
        <sz val="10"/>
        <rFont val="맑은 고딕"/>
        <family val="0"/>
        <charset val="1"/>
      </rPr>
      <t xml:space="preserve">)</t>
    </r>
  </si>
  <si>
    <t xml:space="preserve">카치나</t>
  </si>
  <si>
    <r>
      <rPr>
        <sz val="10"/>
        <rFont val="WenQuanYi Zen Hei"/>
        <family val="2"/>
      </rPr>
      <t xml:space="preserve">아사이노나피르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페나자퀸 액상수화제</t>
    </r>
  </si>
  <si>
    <t xml:space="preserve">Acynonapyr.Fenazaquin</t>
  </si>
  <si>
    <t xml:space="preserve">20(15+5)%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</si>
  <si>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-633</t>
    </r>
  </si>
  <si>
    <t xml:space="preserve">비펜트린 액상수화제</t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</si>
  <si>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-45</t>
    </r>
  </si>
  <si>
    <r>
      <rPr>
        <sz val="10"/>
        <rFont val="맑은 고딕"/>
        <family val="0"/>
        <charset val="1"/>
      </rPr>
      <t xml:space="preserve">8-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-418</t>
    </r>
  </si>
  <si>
    <t xml:space="preserve">밀베노크</t>
  </si>
  <si>
    <t xml:space="preserve">밀베멕틴 유제</t>
  </si>
  <si>
    <t xml:space="preserve">Milbemectin</t>
  </si>
  <si>
    <r>
      <rPr>
        <sz val="10"/>
        <rFont val="맑은 고딕"/>
        <family val="0"/>
        <charset val="1"/>
      </rPr>
      <t xml:space="preserve">96-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-54</t>
    </r>
  </si>
  <si>
    <r>
      <rPr>
        <sz val="10"/>
        <rFont val="WenQuanYi Zen Hei"/>
        <family val="2"/>
      </rPr>
      <t xml:space="preserve">미쓰이화학크롭앤라이프솔루션코리아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</si>
  <si>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105-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</t>
    </r>
  </si>
  <si>
    <t xml:space="preserve">아바멕틴 액제</t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</si>
  <si>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-331</t>
    </r>
  </si>
  <si>
    <r>
      <rPr>
        <sz val="10"/>
        <rFont val="맑은 고딕"/>
        <family val="0"/>
        <charset val="1"/>
      </rPr>
      <t xml:space="preserve">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-58</t>
    </r>
  </si>
  <si>
    <t xml:space="preserve">미소왕</t>
  </si>
  <si>
    <t xml:space="preserve">6.7(1.7+5)%</t>
  </si>
  <si>
    <r>
      <rPr>
        <sz val="10"/>
        <rFont val="맑은 고딕"/>
        <family val="0"/>
        <charset val="1"/>
      </rPr>
      <t xml:space="preserve">19-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-203</t>
    </r>
  </si>
  <si>
    <t xml:space="preserve">6+21a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</si>
  <si>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21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METI</t>
    </r>
    <r>
      <rPr>
        <sz val="10"/>
        <rFont val="WenQuanYi Zen Hei"/>
        <family val="2"/>
      </rPr>
      <t xml:space="preserve">계 살비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살충제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피리다벤 등</t>
    </r>
    <r>
      <rPr>
        <sz val="10"/>
        <rFont val="맑은 고딕"/>
        <family val="0"/>
        <charset val="1"/>
      </rPr>
      <t xml:space="preserve">)</t>
    </r>
  </si>
  <si>
    <t xml:space="preserve">돌직구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</si>
  <si>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페나자퀸 액상수화제</t>
    </r>
  </si>
  <si>
    <t xml:space="preserve">Abamectin+Fenazaquin</t>
  </si>
  <si>
    <t xml:space="preserve">10.6(0.6+10)%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</si>
  <si>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-407</t>
    </r>
  </si>
  <si>
    <t xml:space="preserve">장풍</t>
  </si>
  <si>
    <t xml:space="preserve">21.5(1.5+20)%</t>
  </si>
  <si>
    <r>
      <rPr>
        <sz val="10"/>
        <rFont val="맑은 고딕"/>
        <family val="0"/>
        <charset val="1"/>
      </rPr>
      <t xml:space="preserve">1-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-562</t>
    </r>
  </si>
  <si>
    <t xml:space="preserve">6+25a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</si>
  <si>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25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Beta-ketonitrile</t>
    </r>
    <r>
      <rPr>
        <sz val="10"/>
        <rFont val="WenQuanYi Zen Hei"/>
        <family val="2"/>
      </rPr>
      <t xml:space="preserve">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사이에노피라펜 등</t>
    </r>
    <r>
      <rPr>
        <sz val="10"/>
        <rFont val="맑은 고딕"/>
        <family val="0"/>
        <charset val="1"/>
      </rPr>
      <t xml:space="preserve">)</t>
    </r>
  </si>
  <si>
    <t xml:space="preserve">와이드샷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</si>
  <si>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사이플루메토펜 분산성액제</t>
    </r>
  </si>
  <si>
    <t xml:space="preserve">Abamectin+Cyflumetofen</t>
  </si>
  <si>
    <t xml:space="preserve">10.8(0.8+10)%</t>
  </si>
  <si>
    <r>
      <rPr>
        <sz val="10"/>
        <rFont val="맑은 고딕"/>
        <family val="0"/>
        <charset val="1"/>
      </rPr>
      <t xml:space="preserve">3-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-367</t>
    </r>
  </si>
  <si>
    <t xml:space="preserve">6+25b</t>
  </si>
  <si>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6 </t>
    </r>
    <r>
      <rPr>
        <sz val="10"/>
        <rFont val="WenQuanYi Zen Hei"/>
        <family val="2"/>
      </rPr>
      <t xml:space="preserve">글루타메이트개폐 염소채널 조절제 </t>
    </r>
    <r>
      <rPr>
        <sz val="10"/>
        <rFont val="맑은 고딕"/>
        <family val="0"/>
        <charset val="1"/>
      </rPr>
      <t xml:space="preserve">- Avermectins/Milbemycins(</t>
    </r>
    <r>
      <rPr>
        <sz val="10"/>
        <rFont val="WenQuanYi Zen Hei"/>
        <family val="2"/>
      </rPr>
      <t xml:space="preserve">아버멕틴계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그룹</t>
    </r>
    <r>
      <rPr>
        <sz val="10"/>
        <rFont val="맑은 고딕"/>
        <family val="0"/>
        <charset val="1"/>
      </rPr>
      <t xml:space="preserve">25 </t>
    </r>
    <r>
      <rPr>
        <sz val="10"/>
        <rFont val="WenQuanYi Zen Hei"/>
        <family val="2"/>
      </rPr>
      <t xml:space="preserve">미토콘드리아 복합체</t>
    </r>
    <r>
      <rPr>
        <sz val="10"/>
        <rFont val="맑은 고딕"/>
        <family val="0"/>
        <charset val="1"/>
      </rPr>
      <t xml:space="preserve">II </t>
    </r>
    <r>
      <rPr>
        <sz val="10"/>
        <rFont val="WenQuanYi Zen Hei"/>
        <family val="2"/>
      </rPr>
      <t xml:space="preserve">억제 </t>
    </r>
    <r>
      <rPr>
        <sz val="10"/>
        <rFont val="맑은 고딕"/>
        <family val="0"/>
        <charset val="1"/>
      </rPr>
      <t xml:space="preserve">- Carboxanilides(</t>
    </r>
    <r>
      <rPr>
        <sz val="10"/>
        <rFont val="WenQuanYi Zen Hei"/>
        <family val="2"/>
      </rPr>
      <t xml:space="preserve">피플루뷰마이드</t>
    </r>
    <r>
      <rPr>
        <sz val="10"/>
        <rFont val="맑은 고딕"/>
        <family val="0"/>
        <charset val="1"/>
      </rPr>
      <t xml:space="preserve">)</t>
    </r>
  </si>
  <si>
    <t xml:space="preserve">강터치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</si>
  <si>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피플루뷰마이드 액상수화제</t>
    </r>
  </si>
  <si>
    <t xml:space="preserve">Abamectin+Pyflubumide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</si>
  <si>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-598</t>
    </r>
  </si>
  <si>
    <t xml:space="preserve">완타치</t>
  </si>
  <si>
    <r>
      <rPr>
        <sz val="10"/>
        <rFont val="WenQuanYi Zen Hei"/>
        <family val="2"/>
      </rPr>
      <t xml:space="preserve">아바멕틴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플로니카미드 입상수화제</t>
    </r>
  </si>
  <si>
    <t xml:space="preserve">Abamectin+Flonicamid</t>
  </si>
  <si>
    <t xml:space="preserve">10.7(1.2+9.5)%</t>
  </si>
  <si>
    <r>
      <rPr>
        <sz val="10"/>
        <rFont val="맑은 고딕"/>
        <family val="0"/>
        <charset val="1"/>
      </rPr>
      <t xml:space="preserve">52-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-154</t>
    </r>
  </si>
  <si>
    <t xml:space="preserve">Abamectin.Flonicamid</t>
  </si>
  <si>
    <r>
      <rPr>
        <sz val="10"/>
        <rFont val="맑은 고딕"/>
        <family val="0"/>
        <charset val="1"/>
      </rPr>
      <t xml:space="preserve">60-</t>
    </r>
    <r>
      <rPr>
        <sz val="10"/>
        <rFont val="WenQuanYi Zen Hei"/>
        <family val="2"/>
      </rPr>
      <t xml:space="preserve">살충</t>
    </r>
    <r>
      <rPr>
        <sz val="10"/>
        <rFont val="맑은 고딕"/>
        <family val="0"/>
        <charset val="1"/>
      </rPr>
      <t xml:space="preserve">-16</t>
    </r>
  </si>
  <si>
    <t xml:space="preserve">모두랑</t>
  </si>
  <si>
    <t xml:space="preserve">플루아지남 액상수화제</t>
  </si>
  <si>
    <t xml:space="preserve">살균</t>
  </si>
  <si>
    <t xml:space="preserve">발병 초부터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</si>
  <si>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살균</t>
    </r>
    <r>
      <rPr>
        <sz val="10"/>
        <rFont val="맑은 고딕"/>
        <family val="0"/>
        <charset val="1"/>
      </rPr>
      <t xml:space="preserve">-494</t>
    </r>
  </si>
  <si>
    <t xml:space="preserve">후론사이드</t>
  </si>
  <si>
    <t xml:space="preserve">플루아지남 수화제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</si>
  <si>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살균</t>
    </r>
    <r>
      <rPr>
        <sz val="10"/>
        <rFont val="맑은 고딕"/>
        <family val="0"/>
        <charset val="1"/>
      </rPr>
      <t xml:space="preserve">-261</t>
    </r>
  </si>
  <si>
    <r>
      <rPr>
        <sz val="10"/>
        <rFont val="WenQuanYi Zen Hei"/>
        <family val="2"/>
      </rPr>
      <t xml:space="preserve">사</t>
    </r>
    <r>
      <rPr>
        <sz val="10"/>
        <rFont val="맑은 고딕"/>
        <family val="0"/>
        <charset val="1"/>
      </rPr>
      <t xml:space="preserve">1+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5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</si>
  <si>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살균 병용성분</t>
    </r>
    <r>
      <rPr>
        <sz val="10"/>
        <rFont val="맑은 고딕"/>
        <family val="0"/>
        <charset val="1"/>
      </rPr>
      <t xml:space="preserve">/IRAC </t>
    </r>
    <r>
      <rPr>
        <sz val="10"/>
        <rFont val="WenQuanYi Zen Hei"/>
        <family val="2"/>
      </rPr>
      <t xml:space="preserve">비대상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트리아졸계 </t>
    </r>
    <r>
      <rPr>
        <sz val="10"/>
        <rFont val="맑은 고딕"/>
        <family val="0"/>
        <charset val="1"/>
      </rPr>
      <t xml:space="preserve">DMI(</t>
    </r>
    <r>
      <rPr>
        <sz val="10"/>
        <rFont val="WenQuanYi Zen Hei"/>
        <family val="2"/>
      </rPr>
      <t xml:space="preserve">테부코나졸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디페노코나졸</t>
    </r>
    <r>
      <rPr>
        <sz val="10"/>
        <rFont val="맑은 고딕"/>
        <family val="0"/>
        <charset val="1"/>
      </rPr>
      <t xml:space="preserve">) + [</t>
    </r>
    <r>
      <rPr>
        <sz val="10"/>
        <rFont val="WenQuanYi Zen Hei"/>
        <family val="2"/>
      </rPr>
      <t xml:space="preserve">살균 병용성분</t>
    </r>
    <r>
      <rPr>
        <sz val="10"/>
        <rFont val="맑은 고딕"/>
        <family val="0"/>
        <charset val="1"/>
      </rPr>
      <t xml:space="preserve">/IRAC </t>
    </r>
    <r>
      <rPr>
        <sz val="10"/>
        <rFont val="WenQuanYi Zen Hei"/>
        <family val="2"/>
      </rPr>
      <t xml:space="preserve">비대상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디니트로아닐린계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플루아지남</t>
    </r>
    <r>
      <rPr>
        <sz val="10"/>
        <rFont val="맑은 고딕"/>
        <family val="0"/>
        <charset val="1"/>
      </rPr>
      <t xml:space="preserve">)</t>
    </r>
  </si>
  <si>
    <t xml:space="preserve">바이블</t>
  </si>
  <si>
    <r>
      <rPr>
        <sz val="10"/>
        <rFont val="WenQuanYi Zen Hei"/>
        <family val="2"/>
      </rPr>
      <t xml:space="preserve">디페노코나졸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플루아지남 수화제</t>
    </r>
  </si>
  <si>
    <t xml:space="preserve">Difenoconazole+Fluazinam</t>
  </si>
  <si>
    <t xml:space="preserve">47(7+40)%</t>
  </si>
  <si>
    <r>
      <rPr>
        <sz val="10"/>
        <rFont val="맑은 고딕"/>
        <family val="0"/>
        <charset val="1"/>
      </rPr>
      <t xml:space="preserve">46-</t>
    </r>
    <r>
      <rPr>
        <sz val="10"/>
        <rFont val="WenQuanYi Zen Hei"/>
        <family val="2"/>
      </rPr>
      <t xml:space="preserve">살균</t>
    </r>
    <r>
      <rPr>
        <sz val="10"/>
        <rFont val="맑은 고딕"/>
        <family val="0"/>
        <charset val="1"/>
      </rPr>
      <t xml:space="preserve">-311</t>
    </r>
  </si>
  <si>
    <r>
      <rPr>
        <b val="true"/>
        <sz val="10"/>
        <color rgb="FFFFFFFF"/>
        <rFont val="WenQuanYi Zen Hei"/>
        <family val="2"/>
      </rPr>
      <t xml:space="preserve">설명 </t>
    </r>
    <r>
      <rPr>
        <b val="true"/>
        <sz val="10"/>
        <color rgb="FFFFFFFF"/>
        <rFont val="맑은 고딕"/>
        <family val="0"/>
        <charset val="1"/>
      </rPr>
      <t xml:space="preserve">(IRAC </t>
    </r>
    <r>
      <rPr>
        <b val="true"/>
        <sz val="10"/>
        <color rgb="FFFFFFFF"/>
        <rFont val="WenQuanYi Zen Hei"/>
        <family val="2"/>
      </rPr>
      <t xml:space="preserve">그룹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계열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대표 유효성분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</si>
  <si>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등록 제품 수</t>
  </si>
  <si>
    <r>
      <rPr>
        <b val="true"/>
        <sz val="10"/>
        <rFont val="맑은 고딕"/>
        <family val="0"/>
        <charset val="1"/>
      </rPr>
      <t xml:space="preserve">4a+</t>
    </r>
    <r>
      <rPr>
        <b val="true"/>
        <sz val="10"/>
        <rFont val="WenQuanYi Zen Hei"/>
        <family val="2"/>
      </rPr>
      <t xml:space="preserve">미분류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살충제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</si>
  <si>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6+</t>
    </r>
    <r>
      <rPr>
        <b val="true"/>
        <sz val="10"/>
        <rFont val="WenQuanYi Zen Hei"/>
        <family val="2"/>
      </rPr>
      <t xml:space="preserve">미분류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살충제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</si>
  <si>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29+</t>
    </r>
    <r>
      <rPr>
        <b val="true"/>
        <sz val="10"/>
        <rFont val="WenQuanYi Zen Hei"/>
        <family val="2"/>
      </rPr>
      <t xml:space="preserve">미분류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살충제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</si>
  <si>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가</t>
    </r>
    <r>
      <rPr>
        <b val="true"/>
        <sz val="10"/>
        <rFont val="맑은 고딕"/>
        <family val="0"/>
        <charset val="1"/>
      </rPr>
      <t xml:space="preserve">1+4a</t>
    </r>
  </si>
  <si>
    <r>
      <rPr>
        <b val="true"/>
        <sz val="10"/>
        <rFont val="WenQuanYi Zen Hei"/>
        <family val="2"/>
      </rPr>
      <t xml:space="preserve">다</t>
    </r>
    <r>
      <rPr>
        <b val="true"/>
        <sz val="10"/>
        <rFont val="맑은 고딕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</si>
  <si>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다</t>
    </r>
    <r>
      <rPr>
        <b val="true"/>
        <sz val="10"/>
        <rFont val="맑은 고딕"/>
        <family val="0"/>
        <charset val="1"/>
      </rPr>
      <t xml:space="preserve">5+4a</t>
    </r>
  </si>
  <si>
    <r>
      <rPr>
        <b val="true"/>
        <sz val="10"/>
        <rFont val="WenQuanYi Zen Hei"/>
        <family val="2"/>
      </rPr>
      <t xml:space="preserve">미분류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살충제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</si>
  <si>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미분류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살충제</t>
    </r>
    <r>
      <rPr>
        <b val="true"/>
        <sz val="10"/>
        <rFont val="맑은 고딕"/>
        <family val="0"/>
        <charset val="1"/>
      </rPr>
      <t xml:space="preserve">)+5</t>
    </r>
  </si>
  <si>
    <r>
      <rPr>
        <b val="true"/>
        <sz val="10"/>
        <rFont val="WenQuanYi Zen Hei"/>
        <family val="2"/>
      </rPr>
      <t xml:space="preserve">사</t>
    </r>
    <r>
      <rPr>
        <b val="true"/>
        <sz val="10"/>
        <rFont val="맑은 고딕"/>
        <family val="0"/>
        <charset val="1"/>
      </rPr>
      <t xml:space="preserve">1+16</t>
    </r>
  </si>
  <si>
    <r>
      <rPr>
        <b val="true"/>
        <sz val="10"/>
        <rFont val="WenQuanYi Zen Hei"/>
        <family val="2"/>
      </rPr>
      <t xml:space="preserve">사</t>
    </r>
    <r>
      <rPr>
        <b val="true"/>
        <sz val="10"/>
        <rFont val="맑은 고딕"/>
        <family val="0"/>
        <charset val="1"/>
      </rPr>
      <t xml:space="preserve">1+1b</t>
    </r>
  </si>
  <si>
    <r>
      <rPr>
        <b val="true"/>
        <sz val="10"/>
        <rFont val="WenQuanYi Zen Hei"/>
        <family val="2"/>
      </rPr>
      <t xml:space="preserve">사</t>
    </r>
    <r>
      <rPr>
        <b val="true"/>
        <sz val="10"/>
        <rFont val="맑은 고딕"/>
        <family val="0"/>
        <charset val="1"/>
      </rPr>
      <t xml:space="preserve">1+3a</t>
    </r>
  </si>
  <si>
    <r>
      <rPr>
        <b val="true"/>
        <sz val="10"/>
        <rFont val="WenQuanYi Zen Hei"/>
        <family val="2"/>
      </rPr>
      <t xml:space="preserve">사</t>
    </r>
    <r>
      <rPr>
        <b val="true"/>
        <sz val="10"/>
        <rFont val="맑은 고딕"/>
        <family val="0"/>
        <charset val="1"/>
      </rPr>
      <t xml:space="preserve">1+</t>
    </r>
    <r>
      <rPr>
        <b val="true"/>
        <sz val="10"/>
        <rFont val="WenQuanYi Zen Hei"/>
        <family val="2"/>
      </rPr>
      <t xml:space="preserve">다</t>
    </r>
    <r>
      <rPr>
        <b val="true"/>
        <sz val="10"/>
        <rFont val="맑은 고딕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</si>
  <si>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차</t>
    </r>
    <r>
      <rPr>
        <b val="true"/>
        <sz val="10"/>
        <rFont val="맑은 고딕"/>
        <family val="0"/>
        <charset val="1"/>
      </rPr>
      <t xml:space="preserve">2+29</t>
    </r>
  </si>
  <si>
    <r>
      <rPr>
        <b val="true"/>
        <sz val="10"/>
        <rFont val="맑은 고딕"/>
        <family val="0"/>
        <charset val="1"/>
      </rPr>
      <t xml:space="preserve">※ IRAC Mode of Action Classification v11.5 (Feb 2026), irac-online.org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</si>
  <si>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rFont val="WenQuanYi Zen Hei"/>
        <family val="2"/>
      </rPr>
      <t xml:space="preserve">※ 과실파리류 데이터는 원본에 등록번호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독성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안전사용기준 정보가 없어 해당 항목은 </t>
    </r>
    <r>
      <rPr>
        <b val="true"/>
        <sz val="10"/>
        <rFont val="맑은 고딕"/>
        <family val="0"/>
        <charset val="1"/>
      </rPr>
      <t xml:space="preserve">'-'</t>
    </r>
    <r>
      <rPr>
        <b val="true"/>
        <sz val="10"/>
        <rFont val="WenQuanYi Zen Hei"/>
        <family val="2"/>
      </rPr>
      <t xml:space="preserve">로 표시함</t>
    </r>
  </si>
  <si>
    <t xml:space="preserve">■ 사용 방법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</si>
  <si>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병해충 방제 가이드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 — 병해충 검색 → 방제 방법 확인</t>
    </r>
  </si>
  <si>
    <r>
      <rPr>
        <sz val="10"/>
        <rFont val="WenQuanYi Zen Hei"/>
        <family val="2"/>
      </rPr>
      <t xml:space="preserve">   ① 맨 위 노란 칸</t>
    </r>
    <r>
      <rPr>
        <sz val="10"/>
        <rFont val="맑은 고딕"/>
        <family val="0"/>
        <charset val="1"/>
      </rPr>
      <t xml:space="preserve">(🔎 </t>
    </r>
    <r>
      <rPr>
        <sz val="10"/>
        <rFont val="WenQuanYi Zen Hei"/>
        <family val="2"/>
      </rPr>
      <t xml:space="preserve">병해충 검색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누르고 ▼ 목록에서 병해충을 선택합니다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</si>
  <si>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   ② 아래에 사용할 약제가 우선순위 순서의 카드로 표시됩니다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카드마다 희석배수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사용량 → 살포 시기 → 살포 방법 → 횟수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수확 전 제한 → 주의사항 순서입니다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</si>
  <si>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   ③ 약제가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개를 넘으면 화면 아래에 안내가 나오며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나머지는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전체 방제 정보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시트에서 확인합니다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</si>
  <si>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전체 방제 정보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 — 원본 자료 전체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구매 필요 약제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유기농업자재 기타 효과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혼용 조합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확인결과 포함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모든 열에서 필터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검색할 수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</si>
  <si>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새 자료 추가</t>
    </r>
    <r>
      <rPr>
        <sz val="10"/>
        <rFont val="맑은 고딕"/>
        <family val="0"/>
        <charset val="1"/>
      </rPr>
      <t xml:space="preserve">: [</t>
    </r>
    <r>
      <rPr>
        <sz val="10"/>
        <rFont val="WenQuanYi Zen Hei"/>
        <family val="2"/>
      </rPr>
      <t xml:space="preserve">전체 방제 정보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표 바로 아래 행에 입력하면 표가 자동 확장되고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 카드에도 반영됩니다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정보 구분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추천 약제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로테이션</t>
    </r>
    <r>
      <rPr>
        <sz val="10"/>
        <rFont val="맑은 고딕"/>
        <family val="0"/>
        <charset val="1"/>
      </rPr>
      <t xml:space="preserve">)).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</si>
  <si>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살충제 등록정보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 — 참고자료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해충 등록정보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전체 목록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병해충명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작용기작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상표명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보유여부로 필터하면 로테이션 대체 약제를 찾을 수 있습니다</t>
    </r>
    <r>
      <rPr>
        <sz val="10"/>
        <rFont val="맑은 고딕"/>
        <family val="0"/>
        <charset val="1"/>
      </rPr>
      <t xml:space="preserve">. [</t>
    </r>
    <r>
      <rPr>
        <sz val="10"/>
        <rFont val="WenQuanYi Zen Hei"/>
        <family val="2"/>
      </rPr>
      <t xml:space="preserve">가이드 추천 순위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열에 값이 있으면 가이드에 나오는 약제입니다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</si>
  <si>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작용기작 코드 설명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시트 — 작용기작 코드</t>
    </r>
    <r>
      <rPr>
        <sz val="10"/>
        <rFont val="맑은 고딕"/>
        <family val="0"/>
        <charset val="1"/>
      </rPr>
      <t xml:space="preserve">(IRAC)</t>
    </r>
    <r>
      <rPr>
        <sz val="10"/>
        <rFont val="WenQuanYi Zen Hei"/>
        <family val="2"/>
      </rPr>
      <t xml:space="preserve">별 계열 설명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코드를 연속 사용하지 않도록 로테이션할 때 참고합니다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</si>
  <si>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필터 해제</t>
    </r>
    <r>
      <rPr>
        <sz val="10"/>
        <rFont val="맑은 고딕"/>
        <family val="0"/>
        <charset val="1"/>
      </rPr>
      <t xml:space="preserve">: [</t>
    </r>
    <r>
      <rPr>
        <sz val="10"/>
        <rFont val="WenQuanYi Zen Hei"/>
        <family val="2"/>
      </rPr>
      <t xml:space="preserve">데이터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탭 →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지우기</t>
    </r>
    <r>
      <rPr>
        <sz val="10"/>
        <rFont val="맑은 고딕"/>
        <family val="0"/>
        <charset val="1"/>
      </rPr>
      <t xml:space="preserve">].</t>
    </r>
  </si>
  <si>
    <t xml:space="preserve">■ 표시 규칙</t>
  </si>
  <si>
    <r>
      <rPr>
        <sz val="10"/>
        <rFont val="WenQuanYi Zen Hei"/>
        <family val="2"/>
      </rPr>
      <t xml:space="preserve">• 노란색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학교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연암대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약제   • 주황 바탕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주의사항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혼용 정보가 있는 칸   • 초록 머리글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사용 방법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희석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횟수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</si>
  <si>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• 원본에 값이 없는 칸은 빈칸으로 두었습니다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임의로 채우지 않음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원본 </t>
    </r>
    <r>
      <rPr>
        <sz val="10"/>
        <rFont val="맑은 고딕"/>
        <family val="0"/>
        <charset val="1"/>
      </rPr>
      <t xml:space="preserve">"-" </t>
    </r>
    <r>
      <rPr>
        <sz val="10"/>
        <rFont val="WenQuanYi Zen Hei"/>
        <family val="2"/>
      </rPr>
      <t xml:space="preserve">표기도 빈칸입니다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</si>
  <si>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• [</t>
    </r>
    <r>
      <rPr>
        <sz val="10"/>
        <rFont val="WenQuanYi Zen Hei"/>
        <family val="2"/>
      </rPr>
      <t xml:space="preserve">살포 시기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는 원본에 시기가 명시된 경우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정식기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발생초기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생육기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기재했고</t>
    </r>
    <r>
      <rPr>
        <sz val="10"/>
        <rFont val="맑은 고딕"/>
        <family val="0"/>
        <charset val="1"/>
      </rPr>
      <t xml:space="preserve">, [</t>
    </r>
    <r>
      <rPr>
        <sz val="10"/>
        <rFont val="WenQuanYi Zen Hei"/>
        <family val="2"/>
      </rPr>
      <t xml:space="preserve">수확 전 사용 제한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은 안전사용기준의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수확○일전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</si>
  <si>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• [</t>
    </r>
    <r>
      <rPr>
        <sz val="10"/>
        <rFont val="WenQuanYi Zen Hei"/>
        <family val="2"/>
      </rPr>
      <t xml:space="preserve">작물명</t>
    </r>
    <r>
      <rPr>
        <sz val="10"/>
        <rFont val="맑은 고딕"/>
        <family val="0"/>
        <charset val="1"/>
      </rPr>
      <t xml:space="preserve">] "</t>
    </r>
    <r>
      <rPr>
        <sz val="10"/>
        <rFont val="WenQuanYi Zen Hei"/>
        <family val="2"/>
      </rPr>
      <t xml:space="preserve">파프리카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원본 가이드 제목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파프리카 재배 현장 방제 가이드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유기농업자재는 원본 시험 작물을 적었습니다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</si>
  <si>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해충 약제의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사용량</t>
    </r>
    <r>
      <rPr>
        <sz val="10"/>
        <rFont val="맑은 고딕"/>
        <family val="0"/>
        <charset val="1"/>
      </rPr>
      <t xml:space="preserve">]·[</t>
    </r>
    <r>
      <rPr>
        <sz val="10"/>
        <rFont val="WenQuanYi Zen Hei"/>
        <family val="2"/>
      </rPr>
      <t xml:space="preserve">인축독성</t>
    </r>
    <r>
      <rPr>
        <sz val="10"/>
        <rFont val="맑은 고딕"/>
        <family val="0"/>
        <charset val="1"/>
      </rPr>
      <t xml:space="preserve">]·[</t>
    </r>
    <r>
      <rPr>
        <sz val="10"/>
        <rFont val="WenQuanYi Zen Hei"/>
        <family val="2"/>
      </rPr>
      <t xml:space="preserve">어독성</t>
    </r>
    <r>
      <rPr>
        <sz val="10"/>
        <rFont val="맑은 고딕"/>
        <family val="0"/>
        <charset val="1"/>
      </rPr>
      <t xml:space="preserve">]·[</t>
    </r>
    <r>
      <rPr>
        <sz val="10"/>
        <rFont val="WenQuanYi Zen Hei"/>
        <family val="2"/>
      </rPr>
      <t xml:space="preserve">등록 작물</t>
    </r>
    <r>
      <rPr>
        <sz val="10"/>
        <rFont val="맑은 고딕"/>
        <family val="0"/>
        <charset val="1"/>
      </rPr>
      <t xml:space="preserve">]·[</t>
    </r>
    <r>
      <rPr>
        <sz val="10"/>
        <rFont val="WenQuanYi Zen Hei"/>
        <family val="2"/>
      </rPr>
      <t xml:space="preserve">등록번호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와 비어 있던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살포 시기</t>
    </r>
    <r>
      <rPr>
        <sz val="10"/>
        <rFont val="맑은 고딕"/>
        <family val="0"/>
        <charset val="1"/>
      </rPr>
      <t xml:space="preserve">](</t>
    </r>
    <r>
      <rPr>
        <sz val="10"/>
        <rFont val="WenQuanYi Zen Hei"/>
        <family val="2"/>
      </rPr>
      <t xml:space="preserve">사용적기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참고자료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살충제 등록정보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같은 병해충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상표명 건을 찾아 채웠습니다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병해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참고자료에 없어 비어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</si>
  <si>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가이드 값과 참고자료 등록정보가 다르면 값을 바꾸지 않고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주의사항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참고자료 등록정보와 상이 — …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양쪽 값을 적었습니다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</si>
  <si>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WenQuanYi Zen Hei"/>
        <family val="2"/>
      </rPr>
      <t xml:space="preserve">■ 분류 값 목록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드롭다운 원본 — 새 값이 필요하면 각 목록 아래 빈칸에 추가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</si>
  <si>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병해충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조회용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</si>
  <si>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진딧물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목화진딧물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</si>
  <si>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2"/>
        <color rgb="FF1F3864"/>
        <rFont val="WenQuanYi Zen Hei"/>
        <family val="2"/>
      </rPr>
      <t xml:space="preserve">■ 원본 가이드 안내</t>
    </r>
    <r>
      <rPr>
        <b val="true"/>
        <sz val="12"/>
        <color rgb="FF1F3864"/>
        <rFont val="맑은 고딕"/>
        <family val="0"/>
        <charset val="1"/>
      </rPr>
      <t xml:space="preserve">·</t>
    </r>
    <r>
      <rPr>
        <b val="true"/>
        <sz val="12"/>
        <color rgb="FF1F3864"/>
        <rFont val="WenQuanYi Zen Hei"/>
        <family val="2"/>
      </rPr>
      <t xml:space="preserve">참고 사항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원문 그대로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</si>
  <si>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세부 위치</t>
  </si>
  <si>
    <t xml:space="preserve">내용</t>
  </si>
  <si>
    <t xml:space="preserve">개요</t>
  </si>
  <si>
    <t xml:space="preserve">파프리카 재배 현장 방제 가이드</t>
  </si>
  <si>
    <t xml:space="preserve">연암대학교 스마트팜 유리온실</t>
  </si>
  <si>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학교 보유 약제 ② 여러 병해충에 겸용 가능한 약제</t>
    </r>
  </si>
  <si>
    <r>
      <rPr>
        <sz val="10"/>
        <rFont val="WenQuanYi Zen Hei"/>
        <family val="2"/>
      </rPr>
      <t xml:space="preserve">같은 작용기작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연속 사용하면 저항성이 생기니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회 이상 살포 시 표의 </t>
    </r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순위로 바꿔가며 로테이션</t>
    </r>
  </si>
  <si>
    <r>
      <rPr>
        <sz val="10"/>
        <rFont val="WenQuanYi Zen Hei"/>
        <family val="2"/>
      </rPr>
      <t xml:space="preserve">구매 약제 전체 목록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추천표 중 학교 미보유분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</si>
  <si>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총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개 — 뒤쪽 병해충별 추천표에 나온 약제 중 현재 연암대 재고에 없는 것을 전부 모았습니다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구매 시 참고하세요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</si>
  <si>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유기농업자재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친환경 공시자재</t>
    </r>
    <r>
      <rPr>
        <sz val="10"/>
        <rFont val="맑은 고딕"/>
        <family val="0"/>
        <charset val="1"/>
      </rPr>
      <t xml:space="preserve">)_</t>
    </r>
    <r>
      <rPr>
        <sz val="10"/>
        <rFont val="WenQuanYi Zen Hei"/>
        <family val="2"/>
      </rPr>
      <t xml:space="preserve">보조 방제수단</t>
    </r>
  </si>
  <si>
    <r>
      <rPr>
        <sz val="10"/>
        <rFont val="맑은 고딕"/>
        <family val="0"/>
        <charset val="1"/>
      </rPr>
      <t xml:space="preserve">PART 3. </t>
    </r>
    <r>
      <rPr>
        <sz val="10"/>
        <rFont val="WenQuanYi Zen Hei"/>
        <family val="2"/>
      </rPr>
      <t xml:space="preserve">유기농업자재</t>
    </r>
  </si>
  <si>
    <t xml:space="preserve">선정 기준</t>
  </si>
  <si>
    <r>
      <rPr>
        <sz val="10"/>
        <rFont val="WenQuanYi Zen Hei"/>
        <family val="2"/>
      </rPr>
      <t xml:space="preserve">① 이 가이드가 다루는 고추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온실가루이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실제 방제시험 데이터가 있는 제품만</t>
    </r>
  </si>
  <si>
    <r>
      <rPr>
        <sz val="10"/>
        <rFont val="WenQuanYi Zen Hei"/>
        <family val="2"/>
      </rPr>
      <t xml:space="preserve">② 국립농산물품질관리원 공시자재</t>
    </r>
    <r>
      <rPr>
        <sz val="10"/>
        <rFont val="맑은 고딕"/>
        <family val="0"/>
        <charset val="1"/>
      </rPr>
      <t xml:space="preserve">(naqs.go.kr)</t>
    </r>
    <r>
      <rPr>
        <sz val="10"/>
        <rFont val="WenQuanYi Zen Hei"/>
        <family val="2"/>
      </rPr>
      <t xml:space="preserve">에 정식 등재된 것만 — 출처 불명확한 자료는 제외</t>
    </r>
  </si>
  <si>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제품은 국립농산물품질관리원 유기농업자재 공시현황</t>
    </r>
    <r>
      <rPr>
        <sz val="10"/>
        <rFont val="맑은 고딕"/>
        <family val="0"/>
        <charset val="1"/>
      </rPr>
      <t xml:space="preserve">(naqs.go.kr)</t>
    </r>
    <r>
      <rPr>
        <sz val="10"/>
        <rFont val="WenQuanYi Zen Hei"/>
        <family val="2"/>
      </rPr>
      <t xml:space="preserve">에 등재된 병해충관리용 공시자재입니다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정식 등록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농약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아니라 효능시험을 거쳐 공시된 친환경 자재이며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 가이드의 고추 재배 병해충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온실가루이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직접 관련된 항목만 정리했습니다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무농약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유기재배 인증 포장이나 수확 임박 시기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로테이션 보조 수단으로 참고하시기 바랍니다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</si>
  <si>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⚠ 화학농약이 아닌 유기농업자재입니다 — 등록 농약과 안전사용기준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법적 지위가 다릅니다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표시구분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농약효과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효능시험 결과일 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농약등록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과는 별개이며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제품 모두 농약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비료 등록여부는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</si>
  <si>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한방싹충도사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병해충관리용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</si>
  <si>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고추 관련 사용법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발생초기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배 희석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경엽처리 — 무처리구 대비 방제가 </t>
    </r>
    <r>
      <rPr>
        <sz val="10"/>
        <rFont val="맑은 고딕"/>
        <family val="0"/>
        <charset val="1"/>
      </rPr>
      <t xml:space="preserve">61.7%</t>
    </r>
  </si>
  <si>
    <r>
      <rPr>
        <sz val="10"/>
        <rFont val="WenQuanYi Zen Hei"/>
        <family val="2"/>
      </rPr>
      <t xml:space="preserve">그 외 방제효과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딸기 점박이응애 </t>
    </r>
    <r>
      <rPr>
        <sz val="10"/>
        <rFont val="맑은 고딕"/>
        <family val="0"/>
        <charset val="1"/>
      </rPr>
      <t xml:space="preserve">67.5% · </t>
    </r>
    <r>
      <rPr>
        <sz val="10"/>
        <rFont val="WenQuanYi Zen Hei"/>
        <family val="2"/>
      </rPr>
      <t xml:space="preserve">배 조팝나무진딧물 </t>
    </r>
    <r>
      <rPr>
        <sz val="10"/>
        <rFont val="맑은 고딕"/>
        <family val="0"/>
        <charset val="1"/>
      </rPr>
      <t xml:space="preserve">77.4% · </t>
    </r>
    <r>
      <rPr>
        <sz val="10"/>
        <rFont val="WenQuanYi Zen Hei"/>
        <family val="2"/>
      </rPr>
      <t xml:space="preserve">양배추 배추흰나비 </t>
    </r>
    <r>
      <rPr>
        <sz val="10"/>
        <rFont val="맑은 고딕"/>
        <family val="0"/>
        <charset val="1"/>
      </rPr>
      <t xml:space="preserve">65.9% · </t>
    </r>
    <r>
      <rPr>
        <sz val="10"/>
        <rFont val="WenQuanYi Zen Hei"/>
        <family val="2"/>
      </rPr>
      <t xml:space="preserve">복숭아 복숭아순나방 </t>
    </r>
    <r>
      <rPr>
        <sz val="10"/>
        <rFont val="맑은 고딕"/>
        <family val="0"/>
        <charset val="1"/>
      </rPr>
      <t xml:space="preserve">60.0% · </t>
    </r>
    <r>
      <rPr>
        <sz val="10"/>
        <rFont val="WenQuanYi Zen Hei"/>
        <family val="2"/>
      </rPr>
      <t xml:space="preserve">포도 꽃매미 </t>
    </r>
    <r>
      <rPr>
        <sz val="10"/>
        <rFont val="맑은 고딕"/>
        <family val="0"/>
        <charset val="1"/>
      </rPr>
      <t xml:space="preserve">62.8% · </t>
    </r>
    <r>
      <rPr>
        <sz val="10"/>
        <rFont val="WenQuanYi Zen Hei"/>
        <family val="2"/>
      </rPr>
      <t xml:space="preserve">사과 갈색날개매미충 </t>
    </r>
    <r>
      <rPr>
        <sz val="10"/>
        <rFont val="맑은 고딕"/>
        <family val="0"/>
        <charset val="1"/>
      </rPr>
      <t xml:space="preserve">65.8% · </t>
    </r>
    <r>
      <rPr>
        <sz val="10"/>
        <rFont val="WenQuanYi Zen Hei"/>
        <family val="2"/>
      </rPr>
      <t xml:space="preserve">오이 온실가루이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감귤 이세리아깍지벌레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이상</t>
    </r>
  </si>
  <si>
    <r>
      <rPr>
        <sz val="10"/>
        <rFont val="WenQuanYi Zen Hei"/>
        <family val="2"/>
      </rPr>
      <t xml:space="preserve">뉴응칠이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병해충관리용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</si>
  <si>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고추 관련 사용법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복숭아혹진딧물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생육기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배 희석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경엽처리 — 무처리구 대비 방제가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</t>
    </r>
  </si>
  <si>
    <r>
      <rPr>
        <sz val="10"/>
        <rFont val="WenQuanYi Zen Hei"/>
        <family val="2"/>
      </rPr>
      <t xml:space="preserve">그 외 방제효과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오이 시험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꽃노랑총채벌레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아메리카잎굴파리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온실가루이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흰가루병 — 무처리구 대비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블루베리 미국선녀벌레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</t>
    </r>
  </si>
  <si>
    <r>
      <rPr>
        <sz val="10"/>
        <rFont val="WenQuanYi Zen Hei"/>
        <family val="2"/>
      </rPr>
      <t xml:space="preserve">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접촉성 제제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잎 뒷면까지 흠뻑 살포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강알칼리성 제제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석회보르도액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유황합제 혼용 금지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꿀벌 활동에 영향 가능</t>
    </r>
  </si>
  <si>
    <r>
      <rPr>
        <sz val="10"/>
        <rFont val="WenQuanYi Zen Hei"/>
        <family val="2"/>
      </rPr>
      <t xml:space="preserve">자료 출처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국립농산물품질관리원 유기농업자재 공시현황</t>
    </r>
    <r>
      <rPr>
        <sz val="10"/>
        <rFont val="맑은 고딕"/>
        <family val="0"/>
        <charset val="1"/>
      </rPr>
      <t xml:space="preserve">(naqs.go.kr), </t>
    </r>
    <r>
      <rPr>
        <sz val="10"/>
        <rFont val="WenQuanYi Zen Hei"/>
        <family val="2"/>
      </rPr>
      <t xml:space="preserve">조회일 </t>
    </r>
    <r>
      <rPr>
        <sz val="10"/>
        <rFont val="맑은 고딕"/>
        <family val="0"/>
        <charset val="1"/>
      </rPr>
      <t xml:space="preserve">2026-09-18. </t>
    </r>
    <r>
      <rPr>
        <sz val="10"/>
        <rFont val="WenQuanYi Zen Hei"/>
        <family val="2"/>
      </rPr>
      <t xml:space="preserve">실제 사용 전 최신 공시정보 재확인 요망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</si>
  <si>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PART 4. </t>
    </r>
    <r>
      <rPr>
        <sz val="10"/>
        <rFont val="WenQuanYi Zen Hei"/>
        <family val="2"/>
      </rPr>
      <t xml:space="preserve">혼용 가능 조합</t>
    </r>
  </si>
  <si>
    <t xml:space="preserve">① 가이드의 교내 보유 약제 살충제를 기준 축으로 삼음 — 학교가 실제로 쓸 확률이 가장 높은 제품이라서</t>
  </si>
  <si>
    <r>
      <rPr>
        <sz val="10"/>
        <rFont val="WenQuanYi Zen Hei"/>
        <family val="2"/>
      </rPr>
      <t xml:space="preserve">② 제조사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자료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혼용정보 도구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“혼용가능</t>
    </r>
    <r>
      <rPr>
        <sz val="10"/>
        <rFont val="맑은 고딕"/>
        <family val="0"/>
        <charset val="1"/>
      </rPr>
      <t xml:space="preserve">(○)”</t>
    </r>
    <r>
      <rPr>
        <sz val="10"/>
        <rFont val="WenQuanYi Zen Hei"/>
        <family val="2"/>
      </rPr>
      <t xml:space="preserve">로 명시된 조합만 — 추정이나 일반론은 배제</t>
    </r>
  </si>
  <si>
    <t xml:space="preserve">③ 궁합이 확인된 살균제가 이 가이드에 이미 나오는 제품일 때만 우선 표기 — 가이드 밖 제품과의 궁합은 실용성이 낮음</t>
  </si>
  <si>
    <r>
      <rPr>
        <sz val="10"/>
        <rFont val="WenQuanYi Zen Hei"/>
        <family val="2"/>
      </rPr>
      <t xml:space="preserve">④ 못 찾은 건 억지로 채우지 않고 “미확인”으로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버픽스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무름반점뚝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강철비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</si>
  <si>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경농 혼용안내</t>
    </r>
    <r>
      <rPr>
        <sz val="10"/>
        <rFont val="맑은 고딕"/>
        <family val="0"/>
        <charset val="1"/>
      </rPr>
      <t xml:space="preserve">(knco.co.kr, </t>
    </r>
    <r>
      <rPr>
        <sz val="10"/>
        <rFont val="WenQuanYi Zen Hei"/>
        <family val="2"/>
      </rPr>
      <t xml:space="preserve">고추 기준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학교 최우선 살충제 모스피란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아세타미프리드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조회한 결과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아래 살균제와는 동시 살포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탱크믹스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가능하다고 나온다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이 가이드에 이미 나오는 제품들이다</t>
    </r>
    <r>
      <rPr>
        <sz val="10"/>
        <rFont val="맑은 고딕"/>
        <family val="0"/>
        <charset val="1"/>
      </rPr>
      <t xml:space="preserve">.</t>
    </r>
  </si>
  <si>
    <t xml:space="preserve">확인된 조합</t>
  </si>
  <si>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개는 모두 경농 제품이라 같은 회사 조회 결과 안에서 확인이 된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스포르곤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코니도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타스타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강철비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쏘버린처럼 다른 회사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팜한농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바이엘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신젠타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제품은 이 방식으로는 조회되지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회사가 다르면 각 제조사 홈페이지 혼용정보나 고객센터로 직접 확인해야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안 된 조합은 섞지 않는 게 원칙이다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</si>
  <si>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제조사별 혼용정보 조회처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경농 </t>
    </r>
    <r>
      <rPr>
        <sz val="10"/>
        <rFont val="맑은 고딕"/>
        <family val="0"/>
        <charset val="1"/>
      </rPr>
      <t xml:space="preserve">knco.co.kr/product/product_09 · </t>
    </r>
    <r>
      <rPr>
        <sz val="10"/>
        <rFont val="WenQuanYi Zen Hei"/>
        <family val="2"/>
      </rPr>
      <t xml:space="preserve">팜한농 </t>
    </r>
    <r>
      <rPr>
        <sz val="10"/>
        <rFont val="맑은 고딕"/>
        <family val="0"/>
        <charset val="1"/>
      </rPr>
      <t xml:space="preserve">farmhannong.com/kor/product/mix-info · </t>
    </r>
    <r>
      <rPr>
        <sz val="10"/>
        <rFont val="WenQuanYi Zen Hei"/>
        <family val="2"/>
      </rPr>
      <t xml:space="preserve">한국삼공 </t>
    </r>
    <r>
      <rPr>
        <sz val="10"/>
        <rFont val="맑은 고딕"/>
        <family val="0"/>
        <charset val="1"/>
      </rPr>
      <t xml:space="preserve">30agro.co.kr · </t>
    </r>
    <r>
      <rPr>
        <sz val="10"/>
        <rFont val="WenQuanYi Zen Hei"/>
        <family val="2"/>
      </rPr>
      <t xml:space="preserve">신젠타코리아 </t>
    </r>
    <r>
      <rPr>
        <sz val="10"/>
        <rFont val="맑은 고딕"/>
        <family val="0"/>
        <charset val="1"/>
      </rPr>
      <t xml:space="preserve">syngenta.co.kr</t>
    </r>
  </si>
  <si>
    <r>
      <rPr>
        <sz val="10"/>
        <rFont val="WenQuanYi Zen Hei"/>
        <family val="2"/>
      </rPr>
      <t xml:space="preserve">조회일 </t>
    </r>
    <r>
      <rPr>
        <sz val="10"/>
        <rFont val="맑은 고딕"/>
        <family val="0"/>
        <charset val="1"/>
      </rPr>
      <t xml:space="preserve">2026-09-18</t>
    </r>
  </si>
  <si>
    <r>
      <rPr>
        <sz val="10"/>
        <rFont val="WenQuanYi Zen Hei"/>
        <family val="2"/>
      </rPr>
      <t xml:space="preserve">바이엘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코니도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타스타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공식 혼용정보</t>
    </r>
  </si>
  <si>
    <r>
      <rPr>
        <sz val="10"/>
        <rFont val="WenQuanYi Zen Hei"/>
        <family val="2"/>
      </rPr>
      <t xml:space="preserve">팜한농 혼용정보</t>
    </r>
    <r>
      <rPr>
        <sz val="10"/>
        <rFont val="맑은 고딕"/>
        <family val="0"/>
        <charset val="1"/>
      </rPr>
      <t xml:space="preserve">(farmhannong.com, </t>
    </r>
    <r>
      <rPr>
        <sz val="10"/>
        <rFont val="WenQuanYi Zen Hei"/>
        <family val="2"/>
      </rPr>
      <t xml:space="preserve">고추 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조회 결과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코니도는 살균제 벨쿠트와 짝이 맞고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타스타는 고추에서 같이 쓸 살균제가 공식적으로 하나도 없다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</si>
  <si>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스포르곤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팜한농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이 표에서 바이고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시반토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신기록</t>
    </r>
    <r>
      <rPr>
        <sz val="10"/>
        <rFont val="맑은 고딕"/>
        <family val="0"/>
        <charset val="1"/>
      </rPr>
      <t xml:space="preserve">-D </t>
    </r>
    <r>
      <rPr>
        <sz val="10"/>
        <rFont val="WenQuanYi Zen Hei"/>
        <family val="2"/>
      </rPr>
      <t xml:space="preserve">같은 다른 바이엘 살충제와는 짝이 맞지만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가이드가 쓰는 모스피란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코니도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타스타 중 누구와도 짝으로 나오지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쏘버린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팜한농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카보설판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정식할 때 흙에 뿌리는 입제라 이 혼용정보표 자체에 없다 — 원래 스프레이통에 섞어 쓰는 제품이 아니다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</si>
  <si>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버픽스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동방아그로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무름반점뚝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대유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강철비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인바이오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제조사는 확인했지만 온라인에 공개된 혼용정보 도구가 없어 짝을 못 찾았다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세 개는 쓰기 전에 제조사 고객센터에 직접 물어봐야 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</si>
  <si>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: farmhannong.com/kor/product/mix-info (</t>
    </r>
    <r>
      <rPr>
        <sz val="10"/>
        <rFont val="WenQuanYi Zen Hei"/>
        <family val="2"/>
      </rPr>
      <t xml:space="preserve">바이엘 혼용기술정보 </t>
    </r>
    <r>
      <rPr>
        <sz val="10"/>
        <rFont val="맑은 고딕"/>
        <family val="0"/>
        <charset val="1"/>
      </rPr>
      <t xml:space="preserve">2025), </t>
    </r>
    <r>
      <rPr>
        <sz val="10"/>
        <rFont val="WenQuanYi Zen Hei"/>
        <family val="2"/>
      </rPr>
      <t xml:space="preserve">조회일 </t>
    </r>
    <r>
      <rPr>
        <sz val="10"/>
        <rFont val="맑은 고딕"/>
        <family val="0"/>
        <charset val="1"/>
      </rPr>
      <t xml:space="preserve">2026-09-18</t>
    </r>
  </si>
  <si>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버픽스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무름반점뚝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강철비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끝까지 확인한 결과</t>
    </r>
  </si>
  <si>
    <r>
      <rPr>
        <sz val="10"/>
        <rFont val="WenQuanYi Zen Hei"/>
        <family val="2"/>
      </rPr>
      <t xml:space="preserve">제조사를 알아낸 뒤 각 회사 홈페이지의 혼용정보를 끝까지 뒤졌다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결과는 아래와 같다 — 도구가 없어서 못 찾은 게 아니라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도구는 있는데 그 안에 이 제품 자체가 없는 경우가 대부분이다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</si>
  <si>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셋 다 온라인에 공개된 자료로는 답이 안 나온다는 뜻이다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이상은 제조사 고객센터에 직접 전화해서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저 살균제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살충제랑 섞어도 되나요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물어보는 수밖에 없다 — 동방아그로 </t>
    </r>
    <r>
      <rPr>
        <sz val="10"/>
        <rFont val="맑은 고딕"/>
        <family val="0"/>
        <charset val="1"/>
      </rPr>
      <t xml:space="preserve">1644-7337 · </t>
    </r>
    <r>
      <rPr>
        <sz val="10"/>
        <rFont val="WenQuanYi Zen Hei"/>
        <family val="2"/>
      </rPr>
      <t xml:space="preserve">대유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인바이오 </t>
    </r>
    <r>
      <rPr>
        <sz val="10"/>
        <rFont val="맑은 고딕"/>
        <family val="0"/>
        <charset val="1"/>
      </rPr>
      <t xml:space="preserve">031-477-6011.</t>
    </r>
  </si>
  <si>
    <r>
      <rPr>
        <sz val="10"/>
        <rFont val="WenQuanYi Zen Hei"/>
        <family val="2"/>
      </rPr>
      <t xml:space="preserve">확인 경로</t>
    </r>
    <r>
      <rPr>
        <sz val="10"/>
        <rFont val="맑은 고딕"/>
        <family val="0"/>
        <charset val="1"/>
      </rPr>
      <t xml:space="preserve">: dongbangagro.co.kr/product_combined.php · dae-yu.co.kr · enbio.co.kr(</t>
    </r>
    <r>
      <rPr>
        <sz val="10"/>
        <rFont val="WenQuanYi Zen Hei"/>
        <family val="2"/>
      </rPr>
      <t xml:space="preserve">혼용정보 게시판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살균제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살충제 혼용가부표 전체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조회일 </t>
    </r>
    <r>
      <rPr>
        <sz val="10"/>
        <rFont val="맑은 고딕"/>
        <family val="0"/>
        <charset val="1"/>
      </rPr>
      <t xml:space="preserve">2026-09-18</t>
    </r>
  </si>
  <si>
    <r>
      <rPr>
        <b val="true"/>
        <sz val="12"/>
        <color rgb="FF1F3864"/>
        <rFont val="WenQuanYi Zen Hei"/>
        <family val="2"/>
      </rPr>
      <t xml:space="preserve">■ 참고자료 — 연암대 보유 살충제 중 등록정보</t>
    </r>
    <r>
      <rPr>
        <b val="true"/>
        <sz val="12"/>
        <color rgb="FF1F3864"/>
        <rFont val="맑은 고딕"/>
        <family val="0"/>
        <charset val="1"/>
      </rPr>
      <t xml:space="preserve">(8</t>
    </r>
    <r>
      <rPr>
        <b val="true"/>
        <sz val="12"/>
        <color rgb="FF1F3864"/>
        <rFont val="WenQuanYi Zen Hei"/>
        <family val="2"/>
      </rPr>
      <t xml:space="preserve">개 해충</t>
    </r>
    <r>
      <rPr>
        <b val="true"/>
        <sz val="12"/>
        <color rgb="FF1F3864"/>
        <rFont val="맑은 고딕"/>
        <family val="0"/>
        <charset val="1"/>
      </rPr>
      <t xml:space="preserve">)</t>
    </r>
    <r>
      <rPr>
        <b val="true"/>
        <sz val="12"/>
        <color rgb="FF1F3864"/>
        <rFont val="WenQuanYi Zen Hei"/>
        <family val="2"/>
      </rPr>
      <t xml:space="preserve">에서 매칭되지 않은 상표명 </t>
    </r>
    <r>
      <rPr>
        <b val="true"/>
        <sz val="12"/>
        <color rgb="FF1F3864"/>
        <rFont val="맑은 고딕"/>
        <family val="0"/>
        <charset val="1"/>
      </rPr>
      <t xml:space="preserve">(18</t>
    </r>
    <r>
      <rPr>
        <b val="true"/>
        <sz val="12"/>
        <color rgb="FF1F3864"/>
        <rFont val="WenQuanYi Zen Hei"/>
        <family val="2"/>
      </rPr>
      <t xml:space="preserve">개</t>
    </r>
    <r>
      <rPr>
        <b val="true"/>
        <sz val="12"/>
        <color rgb="FF1F3864"/>
        <rFont val="맑은 고딕"/>
        <family val="0"/>
        <charset val="1"/>
      </rPr>
      <t xml:space="preserve">, </t>
    </r>
    <r>
      <rPr>
        <b val="true"/>
        <sz val="12"/>
        <color rgb="FF1F3864"/>
        <rFont val="WenQuanYi Zen Hei"/>
        <family val="2"/>
      </rPr>
      <t xml:space="preserve">살균제 제외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</si>
  <si>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helpspread</t>
  </si>
  <si>
    <t xml:space="preserve">갤럭시</t>
  </si>
  <si>
    <t xml:space="preserve">노몰트</t>
  </si>
  <si>
    <t xml:space="preserve">노블레스</t>
  </si>
  <si>
    <t xml:space="preserve">바람탄</t>
  </si>
  <si>
    <t xml:space="preserve">보스</t>
  </si>
  <si>
    <t xml:space="preserve">살비왕</t>
  </si>
  <si>
    <t xml:space="preserve">스마트킬</t>
  </si>
  <si>
    <t xml:space="preserve">쓰리쿠션</t>
  </si>
  <si>
    <t xml:space="preserve">알지오</t>
  </si>
  <si>
    <t xml:space="preserve">어트랙커</t>
  </si>
  <si>
    <t xml:space="preserve">이지피오</t>
  </si>
  <si>
    <t xml:space="preserve">총채싹</t>
  </si>
  <si>
    <r>
      <rPr>
        <sz val="10"/>
        <rFont val="WenQuanYi Zen Hei"/>
        <family val="2"/>
      </rPr>
      <t xml:space="preserve">총채싹</t>
    </r>
    <r>
      <rPr>
        <sz val="10"/>
        <rFont val="맑은 고딕"/>
        <family val="0"/>
        <charset val="1"/>
      </rPr>
      <t xml:space="preserve">+</t>
    </r>
  </si>
  <si>
    <t xml:space="preserve">총채카트</t>
  </si>
  <si>
    <t xml:space="preserve">캡킹</t>
  </si>
  <si>
    <t xml:space="preserve">트리보</t>
  </si>
  <si>
    <t xml:space="preserve">파워샷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</si>
</sst>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@"/>
    <numFmt numFmtId="167" formatCode="0&quot;순위&quot;"/>
    <numFmt numFmtId="168" formatCode="#,##0\배"/>
    <numFmt numFmtId="169" formatCode="0\회"/>
    <numFmt numFmtId="170" formatCode="#,##0\원"/>
    <numFmt numFmtId="171" formatCode="yyyy\-mm\-dd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WenQuanYi Zen Hei"/>
      <family val="2"/>
    </font>
    <font>
      <sz val="11"/>
      <color theme="1"/>
      <name val="WenQuanYi Zen Hei"/>
      <family val="2"/>
    </font>
    <font>
      <sz val="10"/>
      <color rgb="FF7F7F7F"/>
      <name val="WenQuanYi Zen Hei"/>
      <family val="2"/>
    </font>
    <font>
      <sz val="10"/>
      <color rgb="FF7F7F7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8"/>
      <color rgb="FF1F3864"/>
      <name val="WenQuanYi Zen Hei"/>
      <family val="2"/>
    </font>
    <font>
      <b val="true"/>
      <sz val="18"/>
      <color rgb="FF1F3864"/>
      <name val="맑은 고딕"/>
      <family val="0"/>
      <charset val="1"/>
    </font>
    <font>
      <sz val="9"/>
      <color rgb="FF7F7F7F"/>
      <name val="WenQuanYi Zen Hei"/>
      <family val="2"/>
    </font>
    <font>
      <sz val="9"/>
      <color rgb="FF7F7F7F"/>
      <name val="맑은 고딕"/>
      <family val="0"/>
      <charset val="1"/>
    </font>
    <font>
      <b val="true"/>
      <sz val="22"/>
      <color rgb="FFFFFFFF"/>
      <name val="WenQuanYi Zen Hei"/>
      <family val="2"/>
    </font>
    <font>
      <b val="true"/>
      <sz val="14"/>
      <color rgb="FF1F4E78"/>
      <name val="WenQuanYi Zen Hei"/>
      <family val="2"/>
    </font>
    <font>
      <sz val="10"/>
      <color rgb="FF595959"/>
      <name val="WenQuanYi Zen Hei"/>
      <family val="2"/>
    </font>
    <font>
      <b val="true"/>
      <sz val="10"/>
      <color rgb="FF843C0C"/>
      <name val="WenQuanYi Zen Hei"/>
      <family val="2"/>
    </font>
    <font>
      <b val="true"/>
      <sz val="10"/>
      <color rgb="FF843C0C"/>
      <name val="맑은 고딕"/>
      <family val="0"/>
      <charset val="1"/>
    </font>
    <font>
      <b val="true"/>
      <sz val="15"/>
      <color rgb="FFFFFFFF"/>
      <name val="맑은 고딕"/>
      <family val="0"/>
      <charset val="1"/>
    </font>
    <font>
      <b val="true"/>
      <sz val="9"/>
      <color rgb="FF595959"/>
      <name val="WenQuanYi Zen Hei"/>
      <family val="2"/>
    </font>
    <font>
      <b val="true"/>
      <sz val="9"/>
      <color rgb="FF595959"/>
      <name val="맑은 고딕"/>
      <family val="0"/>
      <charset val="1"/>
    </font>
    <font>
      <b val="true"/>
      <sz val="10"/>
      <color rgb="FF385723"/>
      <name val="WenQuanYi Zen Hei"/>
      <family val="2"/>
    </font>
    <font>
      <b val="true"/>
      <sz val="15"/>
      <color rgb="FF1F4E78"/>
      <name val="맑은 고딕"/>
      <family val="0"/>
      <charset val="1"/>
    </font>
    <font>
      <b val="true"/>
      <sz val="10"/>
      <color rgb="FF385723"/>
      <name val="맑은 고딕"/>
      <family val="0"/>
      <charset val="1"/>
    </font>
    <font>
      <b val="true"/>
      <sz val="12"/>
      <name val="WenQuanYi Zen Hei"/>
      <family val="2"/>
    </font>
    <font>
      <b val="true"/>
      <sz val="12"/>
      <name val="맑은 고딕"/>
      <family val="0"/>
      <charset val="1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color rgb="FF595959"/>
      <name val="WenQuanYi Zen Hei"/>
      <family val="2"/>
    </font>
    <font>
      <b val="true"/>
      <sz val="10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color rgb="FF1F4E78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color rgb="FF1F4E78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2"/>
      <color rgb="FF1F3864"/>
      <name val="맑은 고딕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2CC"/>
        <bgColor rgb="FFFCEBDD"/>
      </patternFill>
    </fill>
    <fill>
      <patternFill patternType="solid">
        <fgColor rgb="FFDDEBF7"/>
        <bgColor rgb="FFF2F2F2"/>
      </patternFill>
    </fill>
    <fill>
      <patternFill patternType="solid">
        <fgColor rgb="FFFBEEE6"/>
        <bgColor rgb="FFFCEBDD"/>
      </patternFill>
    </fill>
    <fill>
      <patternFill patternType="solid">
        <fgColor rgb="FF1F4E78"/>
        <bgColor rgb="FF1F3864"/>
      </patternFill>
    </fill>
    <fill>
      <patternFill patternType="solid">
        <fgColor rgb="FF385723"/>
        <bgColor rgb="FF595959"/>
      </patternFill>
    </fill>
    <fill>
      <patternFill patternType="solid">
        <fgColor rgb="FF843C0C"/>
        <bgColor rgb="FF7F6000"/>
      </patternFill>
    </fill>
    <fill>
      <patternFill patternType="solid">
        <fgColor rgb="FF595959"/>
        <bgColor rgb="FF38572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4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5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6" fontId="2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9" fontId="2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2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2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0" fontId="2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6" fontId="3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rgb="FF1F4E78"/>
        </patternFill>
      </fill>
    </dxf>
    <dxf>
      <fill>
        <patternFill>
          <bgColor rgb="FFDDEB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C00000"/>
      </font>
    </dxf>
    <dxf>
      <fill>
        <patternFill>
          <bgColor rgb="FFF3F8EE"/>
        </patternFill>
      </fill>
      <border diagonalUp="false" diagonalDown="false">
        <left/>
        <right/>
        <top/>
        <bottom style="hair">
          <color rgb="FFC9D8BC"/>
        </bottom>
        <diagonal/>
      </border>
    </dxf>
    <dxf>
      <fill>
        <patternFill>
          <bgColor rgb="FFFCEBDD"/>
        </patternFill>
      </fill>
      <border diagonalUp="false" diagonalDown="false">
        <left/>
        <right/>
        <top/>
        <bottom style="hair">
          <color rgb="FFF4B183"/>
        </bottom>
        <diagonal/>
      </border>
    </dxf>
    <dxf>
      <fill>
        <patternFill>
          <bgColor rgb="FFF2F2F2"/>
        </patternFill>
      </fill>
      <border diagonalUp="false" diagonalDown="false">
        <left/>
        <right/>
        <top/>
        <bottom style="thin">
          <color rgb="FF9DB3CC"/>
        </bottom>
        <diagonal/>
      </border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85723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>
          <bgColor rgb="FFFFF2CC"/>
        </patternFill>
      </fill>
    </dxf>
    <dxf>
      <font>
        <color rgb="FF843C0C"/>
      </font>
      <fill>
        <patternFill>
          <bgColor rgb="FFFCE4D6"/>
        </patternFill>
      </fill>
    </dxf>
    <dxf>
      <fill>
        <patternFill patternType="solid">
          <fgColor rgb="FFDDEBF7"/>
          <bgColor rgb="FF000000"/>
        </patternFill>
      </fill>
    </dxf>
    <dxf>
      <font>
        <b val="1"/>
        <color rgb="FF1F4E78"/>
      </font>
      <fill>
        <patternFill>
          <bgColor rgb="FFDDEBF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9D8B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8EE"/>
      <rgbColor rgb="FFF2F2F2"/>
      <rgbColor rgb="FFFCEBDD"/>
      <rgbColor rgb="FF9DB3CC"/>
      <rgbColor rgb="FFFCE4D6"/>
      <rgbColor rgb="FFFBEEE6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843C0C"/>
      <rgbColor rgb="FF993366"/>
      <rgbColor rgb="FF1F4E78"/>
      <rgbColor rgb="FF3857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살충제등록정보" displayName="살충제등록정보" ref="A1:AA823" headerRowCount="1" totalsRowCount="0" totalsRowShown="0">
  <autoFilter ref="A1:AA823"/>
  <tableColumns count="27">
    <tableColumn id="1" name="번호"/>
    <tableColumn id="2" name="병해충명"/>
    <tableColumn id="3" name="작용기작"/>
    <tableColumn id="4" name="작용기작 설명"/>
    <tableColumn id="5" name="작물명"/>
    <tableColumn id="6" name="상표명"/>
    <tableColumn id="7" name="품목명"/>
    <tableColumn id="8" name="일반명(유효성분)"/>
    <tableColumn id="9" name="유효성분 함유량"/>
    <tableColumn id="10" name="연암대 보유여부"/>
    <tableColumn id="11" name="선발 표시"/>
    <tableColumn id="12" name="가이드 추천 순위"/>
    <tableColumn id="13" name="용도"/>
    <tableColumn id="14" name="희석배수"/>
    <tableColumn id="15" name="사용량"/>
    <tableColumn id="16" name="사용적기"/>
    <tableColumn id="17" name="사용방법"/>
    <tableColumn id="18" name="안전사용기준(시기)"/>
    <tableColumn id="19" name="안전사용기준(횟수)"/>
    <tableColumn id="20" name="제형"/>
    <tableColumn id="21" name="인축독성"/>
    <tableColumn id="22" name="어독성"/>
    <tableColumn id="23" name="구분"/>
    <tableColumn id="24" name="법인명(상호명)"/>
    <tableColumn id="25" name="등록번호"/>
    <tableColumn id="26" name="등록일"/>
    <tableColumn id="27" name="참고자료 시트"/>
  </tableColumns>
</table>
</file>

<file path=xl/tables/table2.xml><?xml version="1.0" encoding="utf-8"?>
<table xmlns="http://schemas.openxmlformats.org/spreadsheetml/2006/main" id="2" name="작용기작코드" displayName="작용기작코드" ref="A1:C120" headerRowCount="1" totalsRowCount="0" totalsRowShown="0">
  <autoFilter ref="A1:C120"/>
  <tableColumns count="3">
    <tableColumn id="1" name="작용기작"/>
    <tableColumn id="2" name="설명 (IRAC 그룹 / 계열 / 대표 유효성분)"/>
    <tableColumn id="3" name="등록 제품 수"/>
  </tableColumns>
</table>
</file>

<file path=xl/tables/table3.xml><?xml version="1.0" encoding="utf-8"?>
<table xmlns="http://schemas.openxmlformats.org/spreadsheetml/2006/main" id="3" name="전체방제정보" displayName="전체방제정보" ref="A1:AY95" headerRowCount="1" totalsRowCount="0" totalsRowShown="0">
  <autoFilter ref="A1:AY95"/>
  <tableColumns count="51">
    <tableColumn id="1" name="번호"/>
    <tableColumn id="2" name="정보 구분"/>
    <tableColumn id="3" name="작물명"/>
    <tableColumn id="4" name="병해충 구분"/>
    <tableColumn id="5" name="병해충명"/>
    <tableColumn id="6" name="순위"/>
    <tableColumn id="7" name="약제명"/>
    <tableColumn id="8" name="제형"/>
    <tableColumn id="9" name="학교 보유"/>
    <tableColumn id="10" name="방제 구분"/>
    <tableColumn id="11" name="희석배수"/>
    <tableColumn id="12" name="사용량"/>
    <tableColumn id="13" name="살포 방법"/>
    <tableColumn id="14" name="살포 시기"/>
    <tableColumn id="15" name="사용 제한(수확 전)"/>
    <tableColumn id="16" name="살포 횟수(최대)"/>
    <tableColumn id="17" name="살포 간격"/>
    <tableColumn id="18" name="주의사항"/>
    <tableColumn id="19" name="혼용 정보"/>
    <tableColumn id="20" name="인축독성"/>
    <tableColumn id="21" name="어독성"/>
    <tableColumn id="22" name="유효성분"/>
    <tableColumn id="23" name="작용기작"/>
    <tableColumn id="24" name="작용기작 설명"/>
    <tableColumn id="25" name="겸용 대상(전체)"/>
    <tableColumn id="26" name="혼용 상대 약제"/>
    <tableColumn id="27" name="혼용 가능 여부"/>
    <tableColumn id="28" name="방제가(효과)"/>
    <tableColumn id="29" name="제조사·공시사업자"/>
    <tableColumn id="30" name="등록 작물"/>
    <tableColumn id="31" name="등록번호"/>
    <tableColumn id="32" name="등록 건수"/>
    <tableColumn id="33" name="연락처"/>
    <tableColumn id="34" name="관련 정보"/>
    <tableColumn id="35" name="비고"/>
    <tableColumn id="36" name="공시번호"/>
    <tableColumn id="37" name="자재구분"/>
    <tableColumn id="38" name="자재명"/>
    <tableColumn id="39" name="가격(500mL)"/>
    <tableColumn id="40" name="등재일자"/>
    <tableColumn id="41" name="공시 시작일"/>
    <tableColumn id="42" name="공시 종료일"/>
    <tableColumn id="43" name="사업자등록번호"/>
    <tableColumn id="44" name="책임보험 가입여부"/>
    <tableColumn id="45" name="사업장/제조장"/>
    <tableColumn id="46" name="농약/비료 등록여부"/>
    <tableColumn id="47" name="약제명(원문)"/>
    <tableColumn id="48" name="안전사용기준(원문)"/>
    <tableColumn id="49" name="원본 위치"/>
    <tableColumn id="50" name="출처"/>
    <tableColumn id="51" name="자료 조회일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Z3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7"/>
    <col collapsed="false" customWidth="true" hidden="false" outlineLevel="0" max="3" min="3" style="0" width="36"/>
    <col collapsed="false" customWidth="true" hidden="false" outlineLevel="0" max="4" min="4" style="0" width="2"/>
    <col collapsed="false" customWidth="true" hidden="false" outlineLevel="0" max="5" min="5" style="0" width="17"/>
    <col collapsed="false" customWidth="true" hidden="false" outlineLevel="0" max="6" min="6" style="0" width="36"/>
    <col collapsed="false" customWidth="true" hidden="false" outlineLevel="0" max="7" min="7" style="0" width="2"/>
    <col collapsed="false" customWidth="true" hidden="false" outlineLevel="0" max="8" min="8" style="0" width="17"/>
    <col collapsed="false" customWidth="true" hidden="false" outlineLevel="0" max="9" min="9" style="0" width="36"/>
    <col collapsed="false" customWidth="true" hidden="false" outlineLevel="0" max="10" min="10" style="0" width="2"/>
    <col collapsed="false" customWidth="true" hidden="true" outlineLevel="0" max="26" min="26" style="0" width="13"/>
  </cols>
  <sheetData>
    <row r="1" customFormat="false" ht="36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Z1" s="2" t="s">
        <v>1</v>
      </c>
    </row>
    <row r="2" customFormat="false" ht="15" hidden="false" customHeight="false" outlineLevel="0" collapsed="false">
      <c r="B2" s="3" t="s">
        <v>2</v>
      </c>
      <c r="C2" s="3"/>
      <c r="D2" s="3"/>
      <c r="E2" s="3"/>
      <c r="F2" s="3"/>
      <c r="G2" s="3"/>
      <c r="H2" s="3"/>
      <c r="I2" s="3"/>
      <c r="Z2" s="2" t="n">
        <f aca="false">IFERROR(IF(SUMPRODUCT(SMALL(('전체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정보'!$B$2:$B$3000="유기농업자재")))*1000000,1))&gt;=1000000,0,SUMPRODUCT(SMALL(('전체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정보'!$B$2:$B$3000="유기농업자재")))*1000000,1))),0)</f>
        <v>42</v>
      </c>
    </row>
    <row r="3" customFormat="false" ht="7.5" hidden="false" customHeight="true" outlineLevel="0" collapsed="false">
      <c r="Z3" s="0" t="n">
        <f aca="false">IFERROR(IF(SUMPRODUCT(SMALL(('전체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정보'!$B$2:$B$3000="유기농업자재")))*1000000,2))&gt;=1000000,0,SUMPRODUCT(SMALL(('전체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정보'!$B$2:$B$3000="유기농업자재")))*1000000,2))),0)</f>
        <v>43</v>
      </c>
    </row>
    <row r="4" customFormat="false" ht="39.75" hidden="false" customHeight="true" outlineLevel="0" collapsed="false">
      <c r="B4" s="4" t="s">
        <v>3</v>
      </c>
      <c r="C4" s="5" t="s">
        <v>4</v>
      </c>
      <c r="D4" s="5"/>
      <c r="E4" s="5"/>
      <c r="F4" s="5"/>
      <c r="H4" s="6" t="s">
        <v>5</v>
      </c>
      <c r="I4" s="6"/>
      <c r="Z4" s="2" t="n">
        <f aca="false">IFERROR(IF(SUMPRODUCT(SMALL(('전체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정보'!$B$2:$B$3000="유기농업자재")))*1000000,3))&gt;=1000000,0,SUMPRODUCT(SMALL(('전체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정보'!$B$2:$B$3000="유기농업자재")))*1000000,3))),0)</f>
        <v>0</v>
      </c>
    </row>
    <row r="5" customFormat="false" ht="9.75" hidden="false" customHeight="true" outlineLevel="0" collapsed="false">
      <c r="Z5" s="0" t="n">
        <f aca="false">IFERROR(IF(SUMPRODUCT(SMALL(('전체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정보'!$B$2:$B$3000="유기농업자재")))*1000000,4))&gt;=1000000,0,SUMPRODUCT(SMALL(('전체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정보'!$B$2:$B$3000="유기농업자재")))*1000000,4))),0)</f>
        <v>0</v>
      </c>
    </row>
    <row r="6" customFormat="false" ht="42" hidden="false" customHeight="true" outlineLevel="0" collapsed="false">
      <c r="B6" s="7" t="str">
        <f aca="false">IF($C$4="","🐛 위에서 병해충을 선택하세요","🐛 "&amp;$C$4&amp;"  방제 방법")</f>
        <v>🐛 진딧물(목화진딧물, 복숭아혹진딧물)  방제 방법</v>
      </c>
      <c r="C6" s="7"/>
      <c r="D6" s="7"/>
      <c r="E6" s="7"/>
      <c r="F6" s="7"/>
      <c r="G6" s="7"/>
      <c r="H6" s="7"/>
      <c r="I6" s="7"/>
      <c r="Z6" s="2" t="n">
        <f aca="false">IFERROR(IF(SUMPRODUCT(SMALL(('전체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정보'!$B$2:$B$3000="유기농업자재")))*1000000,5))&gt;=1000000,0,SUMPRODUCT(SMALL(('전체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정보'!$B$2:$B$3000="유기농업자재")))*1000000,5))),0)</f>
        <v>0</v>
      </c>
    </row>
    <row r="7" customFormat="false" ht="33.75" hidden="false" customHeight="true" outlineLevel="0" collapsed="false">
      <c r="B7" s="8" t="str">
        <f aca="false">IF($Z$8=0,"","💊 사용할 약제 "&amp;$Z$8&amp;"개 (우선순위 순)  ▶  "&amp;IF($Z$2=0,"",""&amp;INDEX('전체 방제 정보'!$G$2:$G$3000,$Z$2))&amp;IF($Z$3=0,"","   ·   "&amp;INDEX('전체 방제 정보'!$G$2:$G$3000,$Z$3))&amp;IF($Z$4=0,"","   ·   "&amp;INDEX('전체 방제 정보'!$G$2:$G$3000,$Z$4))&amp;IF($Z$5=0,"","   ·   "&amp;INDEX('전체 방제 정보'!$G$2:$G$3000,$Z$5))&amp;IF($Z$6=0,"","   ·   "&amp;INDEX('전체 방제 정보'!$G$2:$G$3000,$Z$6))&amp;IF($Z$7=0,"","   ·   "&amp;INDEX('전체 방제 정보'!$G$2:$G$3000,$Z$7)))</f>
        <v>💊 사용할 약제 2개 (우선순위 순)  ▶  아라치   ·   주렁</v>
      </c>
      <c r="C7" s="8"/>
      <c r="D7" s="8"/>
      <c r="E7" s="8"/>
      <c r="F7" s="8"/>
      <c r="G7" s="8"/>
      <c r="H7" s="8"/>
      <c r="I7" s="8"/>
      <c r="Z7" s="2" t="n">
        <f aca="false">IFERROR(IF(SUMPRODUCT(SMALL(('전체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정보'!$B$2:$B$3000="유기농업자재")))*1000000,6))&gt;=1000000,0,SUMPRODUCT(SMALL(('전체 방제 정보'!$E$2:$E$3000=$C$4)*(('전체 방제 정보'!$B$2:$B$3000="추천 약제(로테이션)")+('전체 방제 정보'!$B$2:$B$3000="유기농업자재"))*(ROW('전체 방제 정보'!$E$2:$E$3000)-1)+(1-('전체 방제 정보'!$E$2:$E$3000=$C$4)*(('전체 방제 정보'!$B$2:$B$3000="추천 약제(로테이션)")+('전체 방제 정보'!$B$2:$B$3000="유기농업자재")))*1000000,6))),0)</f>
        <v>0</v>
      </c>
    </row>
    <row r="8" customFormat="false" ht="19.5" hidden="false" customHeight="true" outlineLevel="0" collapsed="false">
      <c r="B8" s="9" t="str">
        <f aca="false">IF($C$4="","",IF(COUNTIFS('살충제 등록정보'!$B$2:$B$3000,$C$4)=0,"📚 참고자료(살충제 등록정보)는 해충 등록정보만 수록 — 이 병해충은 원본 가이드 기준으로 표시","📚 참고자료(살충제 등록정보)에 이 병해충 등록 약제 "&amp;COUNTIFS('살충제 등록정보'!$B$2:$B$3000,$C$4)&amp;"건 · 그중 학교 보유 "&amp;COUNTIFS('살충제 등록정보'!$B$2:$B$3000,$C$4,'살충제 등록정보'!$J$2:$J$3000,"보유")&amp;"건  →  대체 약제는 [살충제 등록정보] 시트에서 병해충명으로 필터"))</f>
        <v>📚 참고자료(살충제 등록정보)에 이 병해충 등록 약제 14건 · 그중 학교 보유 1건  →  대체 약제는 [살충제 등록정보] 시트에서 병해충명으로 필터</v>
      </c>
      <c r="C8" s="9"/>
      <c r="D8" s="9"/>
      <c r="E8" s="9"/>
      <c r="F8" s="9"/>
      <c r="G8" s="9"/>
      <c r="H8" s="9"/>
      <c r="I8" s="9"/>
      <c r="Z8" s="2" t="n">
        <f aca="false">SUMPRODUCT(('전체 방제 정보'!$E$2:$E$3000=$C$4)*(('전체 방제 정보'!$B$2:$B$3000="추천 약제(로테이션)")+('전체 방제 정보'!$B$2:$B$3000="유기농업자재")))</f>
        <v>2</v>
      </c>
    </row>
    <row r="9" customFormat="false" ht="24" hidden="false" customHeight="true" outlineLevel="0" collapsed="false">
      <c r="B9" s="10" t="s">
        <v>6</v>
      </c>
      <c r="C9" s="10"/>
      <c r="D9" s="10"/>
      <c r="E9" s="10"/>
      <c r="F9" s="10"/>
      <c r="G9" s="10"/>
      <c r="H9" s="10"/>
      <c r="I9" s="10"/>
    </row>
    <row r="10" customFormat="false" ht="9.75" hidden="false" customHeight="true" outlineLevel="0" collapsed="false"/>
    <row r="11" customFormat="false" ht="33.75" hidden="false" customHeight="true" outlineLevel="0" collapsed="false">
      <c r="B11" s="11" t="str">
        <f aca="false">IF($Z$2=0,"",IF(INDEX('전체 방제 정보'!$J$2:$J$3000,$Z$2)="유기농업자재","🌿 보조 · ",IF(INDEX('전체 방제 정보'!$F$2:$F$3000,$Z$2)="","💊 ","💊 "&amp;INDEX('전체 방제 정보'!$F$2:$F$3000,$Z$2)&amp;"순위 · "))&amp;INDEX('전체 방제 정보'!$G$2:$G$3000,$Z$2)&amp;IF(INDEX('전체 방제 정보'!$H$2:$H$3000,$Z$2)="",""," ("&amp;INDEX('전체 방제 정보'!$H$2:$H$3000,$Z$2)&amp;")"))</f>
        <v>💊 1순위 · 아라치 (입상수화제)</v>
      </c>
      <c r="C11" s="11"/>
      <c r="E11" s="11" t="str">
        <f aca="false">IF($Z$3=0,"",IF(INDEX('전체 방제 정보'!$J$2:$J$3000,$Z$3)="유기농업자재","🌿 보조 · ",IF(INDEX('전체 방제 정보'!$F$2:$F$3000,$Z$3)="","💊 ","💊 "&amp;INDEX('전체 방제 정보'!$F$2:$F$3000,$Z$3)&amp;"순위 · "))&amp;INDEX('전체 방제 정보'!$G$2:$G$3000,$Z$3)&amp;IF(INDEX('전체 방제 정보'!$H$2:$H$3000,$Z$3)="",""," ("&amp;INDEX('전체 방제 정보'!$H$2:$H$3000,$Z$3)&amp;")"))</f>
        <v>💊 2순위 · 주렁 (유제)</v>
      </c>
      <c r="F11" s="11"/>
      <c r="H11" s="11" t="str">
        <f aca="false">IF($Z$4=0,"",IF(INDEX('전체 방제 정보'!$J$2:$J$3000,$Z$4)="유기농업자재","🌿 보조 · ",IF(INDEX('전체 방제 정보'!$F$2:$F$3000,$Z$4)="","💊 ","💊 "&amp;INDEX('전체 방제 정보'!$F$2:$F$3000,$Z$4)&amp;"순위 · "))&amp;INDEX('전체 방제 정보'!$G$2:$G$3000,$Z$4)&amp;IF(INDEX('전체 방제 정보'!$H$2:$H$3000,$Z$4)="",""," ("&amp;INDEX('전체 방제 정보'!$H$2:$H$3000,$Z$4)&amp;")"))</f>
        <v/>
      </c>
      <c r="I11" s="11"/>
    </row>
    <row r="12" customFormat="false" ht="18" hidden="false" customHeight="true" outlineLevel="0" collapsed="false">
      <c r="B12" s="12" t="str">
        <f aca="false">IF($Z$2=0,"",IF(INDEX('전체 방제 정보'!$I$2:$I$3000,$Z$2)="보유","✔ 학교 보유 약제",IF(INDEX('전체 방제 정보'!$I$2:$I$3000,$Z$2)="미보유","✖ 학교 미보유 · 구매 필요",IF(INDEX('전체 방제 정보'!$J$2:$J$3000,$Z$2)="유기농업자재","유기농업자재(친환경 공시자재)","")))&amp;IF(INDEX('전체 방제 정보'!$C$2:$C$3000,$Z$2)="","","   ·   작물: "&amp;INDEX('전체 방제 정보'!$C$2:$C$3000,$Z$2)))</f>
        <v>✖ 학교 미보유 · 구매 필요   ·   작물: 파프리카</v>
      </c>
      <c r="C12" s="12"/>
      <c r="E12" s="12" t="str">
        <f aca="false">IF($Z$3=0,"",IF(INDEX('전체 방제 정보'!$I$2:$I$3000,$Z$3)="보유","✔ 학교 보유 약제",IF(INDEX('전체 방제 정보'!$I$2:$I$3000,$Z$3)="미보유","✖ 학교 미보유 · 구매 필요",IF(INDEX('전체 방제 정보'!$J$2:$J$3000,$Z$3)="유기농업자재","유기농업자재(친환경 공시자재)","")))&amp;IF(INDEX('전체 방제 정보'!$C$2:$C$3000,$Z$3)="","","   ·   작물: "&amp;INDEX('전체 방제 정보'!$C$2:$C$3000,$Z$3)))</f>
        <v>✖ 학교 미보유 · 구매 필요   ·   작물: 파프리카</v>
      </c>
      <c r="F12" s="12"/>
      <c r="H12" s="13" t="str">
        <f aca="false">IF($Z$4=0,"",IF(INDEX('전체 방제 정보'!$I$2:$I$3000,$Z$4)="보유","✔ 학교 보유 약제",IF(INDEX('전체 방제 정보'!$I$2:$I$3000,$Z$4)="미보유","✖ 학교 미보유 · 구매 필요",IF(INDEX('전체 방제 정보'!$J$2:$J$3000,$Z$4)="유기농업자재","유기농업자재(친환경 공시자재)","")))&amp;IF(INDEX('전체 방제 정보'!$C$2:$C$3000,$Z$4)="","","   ·   작물: "&amp;INDEX('전체 방제 정보'!$C$2:$C$3000,$Z$4)))</f>
        <v/>
      </c>
      <c r="I12" s="13"/>
    </row>
    <row r="13" customFormat="false" ht="30" hidden="false" customHeight="true" outlineLevel="0" collapsed="false">
      <c r="B13" s="14" t="str">
        <f aca="false">IF($Z$2=0,"","📏 희석배수 · 사용량")</f>
        <v>📏 희석배수 · 사용량</v>
      </c>
      <c r="C13" s="15" t="str">
        <f aca="false">IF($Z$2=0,"",IF(AND(INDEX('전체 방제 정보'!$K$2:$K$3000,$Z$2)="",INDEX('전체 방제 정보'!$L$2:$L$3000,$Z$2)=""),"미기재",IF(INDEX('전체 방제 정보'!$K$2:$K$3000,$Z$2)="","",TEXT(INDEX('전체 방제 정보'!$K$2:$K$3000,$Z$2),"#,##0")&amp;"배 희석")&amp;IF(AND(INDEX('전체 방제 정보'!$K$2:$K$3000,$Z$2)&lt;&gt;"",INDEX('전체 방제 정보'!$L$2:$L$3000,$Z$2)&lt;&gt;"")," / ","")&amp;INDEX('전체 방제 정보'!$L$2:$L$3000,$Z$2)))</f>
        <v>2,000배 희석</v>
      </c>
      <c r="E13" s="14" t="str">
        <f aca="false">IF($Z$3=0,"","📏 희석배수 · 사용량")</f>
        <v>📏 희석배수 · 사용량</v>
      </c>
      <c r="F13" s="15" t="str">
        <f aca="false">IF($Z$3=0,"",IF(AND(INDEX('전체 방제 정보'!$K$2:$K$3000,$Z$3)="",INDEX('전체 방제 정보'!$L$2:$L$3000,$Z$3)=""),"미기재",IF(INDEX('전체 방제 정보'!$K$2:$K$3000,$Z$3)="","",TEXT(INDEX('전체 방제 정보'!$K$2:$K$3000,$Z$3),"#,##0")&amp;"배 희석")&amp;IF(AND(INDEX('전체 방제 정보'!$K$2:$K$3000,$Z$3)&lt;&gt;"",INDEX('전체 방제 정보'!$L$2:$L$3000,$Z$3)&lt;&gt;"")," / ","")&amp;INDEX('전체 방제 정보'!$L$2:$L$3000,$Z$3)))</f>
        <v>1,000배 희석</v>
      </c>
      <c r="H13" s="16" t="str">
        <f aca="false">IF($Z$4=0,"","📏 희석배수 · 사용량")</f>
        <v/>
      </c>
      <c r="I13" s="15" t="str">
        <f aca="false">IF($Z$4=0,"",IF(AND(INDEX('전체 방제 정보'!$K$2:$K$3000,$Z$4)="",INDEX('전체 방제 정보'!$L$2:$L$3000,$Z$4)=""),"미기재",IF(INDEX('전체 방제 정보'!$K$2:$K$3000,$Z$4)="","",TEXT(INDEX('전체 방제 정보'!$K$2:$K$3000,$Z$4),"#,##0")&amp;"배 희석")&amp;IF(AND(INDEX('전체 방제 정보'!$K$2:$K$3000,$Z$4)&lt;&gt;"",INDEX('전체 방제 정보'!$L$2:$L$3000,$Z$4)&lt;&gt;"")," / ","")&amp;INDEX('전체 방제 정보'!$L$2:$L$3000,$Z$4)))</f>
        <v/>
      </c>
    </row>
    <row r="14" customFormat="false" ht="25.5" hidden="false" customHeight="true" outlineLevel="0" collapsed="false">
      <c r="B14" s="14" t="str">
        <f aca="false">IF($Z$2=0,"","📅 살포 시기")</f>
        <v>📅 살포 시기</v>
      </c>
      <c r="C14" s="17" t="str">
        <f aca="false">IF($Z$2=0,"",IF(INDEX('전체 방제 정보'!$N$2:$N$3000,$Z$2)="","미기재",INDEX('전체 방제 정보'!$N$2:$N$3000,$Z$2)))</f>
        <v>발생 초부터</v>
      </c>
      <c r="E14" s="14" t="str">
        <f aca="false">IF($Z$3=0,"","📅 살포 시기")</f>
        <v>📅 살포 시기</v>
      </c>
      <c r="F14" s="17" t="str">
        <f aca="false">IF($Z$3=0,"",IF(INDEX('전체 방제 정보'!$N$2:$N$3000,$Z$3)="","미기재",INDEX('전체 방제 정보'!$N$2:$N$3000,$Z$3)))</f>
        <v>발생 초부터</v>
      </c>
      <c r="H14" s="16" t="str">
        <f aca="false">IF($Z$4=0,"","📅 살포 시기")</f>
        <v/>
      </c>
      <c r="I14" s="18" t="str">
        <f aca="false">IF($Z$4=0,"",IF(INDEX('전체 방제 정보'!$N$2:$N$3000,$Z$4)="","미기재",INDEX('전체 방제 정보'!$N$2:$N$3000,$Z$4)))</f>
        <v/>
      </c>
    </row>
    <row r="15" customFormat="false" ht="25.5" hidden="false" customHeight="true" outlineLevel="0" collapsed="false">
      <c r="B15" s="14" t="str">
        <f aca="false">IF($Z$2=0,"","💦 살포 방법")</f>
        <v>💦 살포 방법</v>
      </c>
      <c r="C15" s="17" t="str">
        <f aca="false">IF($Z$2=0,"",IF(INDEX('전체 방제 정보'!$M$2:$M$3000,$Z$2)="","미기재",INDEX('전체 방제 정보'!$M$2:$M$3000,$Z$2)))</f>
        <v>경엽처리</v>
      </c>
      <c r="E15" s="14" t="str">
        <f aca="false">IF($Z$3=0,"","💦 살포 방법")</f>
        <v>💦 살포 방법</v>
      </c>
      <c r="F15" s="17" t="str">
        <f aca="false">IF($Z$3=0,"",IF(INDEX('전체 방제 정보'!$M$2:$M$3000,$Z$3)="","미기재",INDEX('전체 방제 정보'!$M$2:$M$3000,$Z$3)))</f>
        <v>경엽처리</v>
      </c>
      <c r="H15" s="16" t="str">
        <f aca="false">IF($Z$4=0,"","💦 살포 방법")</f>
        <v/>
      </c>
      <c r="I15" s="18" t="str">
        <f aca="false">IF($Z$4=0,"",IF(INDEX('전체 방제 정보'!$M$2:$M$3000,$Z$4)="","미기재",INDEX('전체 방제 정보'!$M$2:$M$3000,$Z$4)))</f>
        <v/>
      </c>
    </row>
    <row r="16" customFormat="false" ht="25.5" hidden="false" customHeight="true" outlineLevel="0" collapsed="false">
      <c r="B16" s="14" t="str">
        <f aca="false">IF($Z$2=0,"","🔁 횟수 · 수확 전 제한")</f>
        <v>🔁 횟수 · 수확 전 제한</v>
      </c>
      <c r="C16" s="19" t="str">
        <f aca="false">IF($Z$2=0,"",IF(AND(INDEX('전체 방제 정보'!$P$2:$P$3000,$Z$2)="",INDEX('전체 방제 정보'!$O$2:$O$3000,$Z$2)="",INDEX('전체 방제 정보'!$Q$2:$Q$3000,$Z$2)=""),"미기재",MID(IF(INDEX('전체 방제 정보'!$P$2:$P$3000,$Z$2)="",""," · 최대 "&amp;INDEX('전체 방제 정보'!$P$2:$P$3000,$Z$2)&amp;"회")&amp;IF(INDEX('전체 방제 정보'!$O$2:$O$3000,$Z$2)="",""," · "&amp;INDEX('전체 방제 정보'!$O$2:$O$3000,$Z$2)&amp;"까지 사용")&amp;IF(INDEX('전체 방제 정보'!$Q$2:$Q$3000,$Z$2)="",""," · "&amp;INDEX('전체 방제 정보'!$Q$2:$Q$3000,$Z$2)),4,200)))</f>
        <v>최대 3회 · 수확3일전까지 사용</v>
      </c>
      <c r="E16" s="14" t="str">
        <f aca="false">IF($Z$3=0,"","🔁 횟수 · 수확 전 제한")</f>
        <v>🔁 횟수 · 수확 전 제한</v>
      </c>
      <c r="F16" s="19" t="str">
        <f aca="false">IF($Z$3=0,"",IF(AND(INDEX('전체 방제 정보'!$P$2:$P$3000,$Z$3)="",INDEX('전체 방제 정보'!$O$2:$O$3000,$Z$3)="",INDEX('전체 방제 정보'!$Q$2:$Q$3000,$Z$3)=""),"미기재",MID(IF(INDEX('전체 방제 정보'!$P$2:$P$3000,$Z$3)="",""," · 최대 "&amp;INDEX('전체 방제 정보'!$P$2:$P$3000,$Z$3)&amp;"회")&amp;IF(INDEX('전체 방제 정보'!$O$2:$O$3000,$Z$3)="",""," · "&amp;INDEX('전체 방제 정보'!$O$2:$O$3000,$Z$3)&amp;"까지 사용")&amp;IF(INDEX('전체 방제 정보'!$Q$2:$Q$3000,$Z$3)="",""," · "&amp;INDEX('전체 방제 정보'!$Q$2:$Q$3000,$Z$3)),4,200)))</f>
        <v>최대 3회 · 수확2일전까지 사용</v>
      </c>
      <c r="H16" s="16" t="str">
        <f aca="false">IF($Z$4=0,"","🔁 횟수 · 수확 전 제한")</f>
        <v/>
      </c>
      <c r="I16" s="20" t="str">
        <f aca="false">IF($Z$4=0,"",IF(AND(INDEX('전체 방제 정보'!$P$2:$P$3000,$Z$4)="",INDEX('전체 방제 정보'!$O$2:$O$3000,$Z$4)="",INDEX('전체 방제 정보'!$Q$2:$Q$3000,$Z$4)=""),"미기재",MID(IF(INDEX('전체 방제 정보'!$P$2:$P$3000,$Z$4)="",""," · 최대 "&amp;INDEX('전체 방제 정보'!$P$2:$P$3000,$Z$4)&amp;"회")&amp;IF(INDEX('전체 방제 정보'!$O$2:$O$3000,$Z$4)="",""," · "&amp;INDEX('전체 방제 정보'!$O$2:$O$3000,$Z$4)&amp;"까지 사용")&amp;IF(INDEX('전체 방제 정보'!$Q$2:$Q$3000,$Z$4)="",""," · "&amp;INDEX('전체 방제 정보'!$Q$2:$Q$3000,$Z$4)),4,200)))</f>
        <v/>
      </c>
    </row>
    <row r="17" customFormat="false" ht="78" hidden="false" customHeight="true" outlineLevel="0" collapsed="false">
      <c r="B17" s="21" t="str">
        <f aca="false">IF($Z$2=0,"","⚠️ 주의사항")</f>
        <v>⚠️ 주의사항</v>
      </c>
      <c r="C17" s="19" t="str">
        <f aca="false">IF($Z$2=0,"",IF(INDEX('전체 방제 정보'!$R$2:$R$3000,$Z$2)="","미기재",INDEX('전체 방제 정보'!$R$2:$R$3000,$Z$2)))</f>
        <v>가이드 추천문에는 사용방법 '훈연처리', 안전사용기준 '수확2일전 / 2회'(으)로 표기 — 원본 내 표기 상이, 확인 필요 / 참고자료 등록정보와 상이 — 희석배수 가이드 2,000배 / 등록 4,000배</v>
      </c>
      <c r="E17" s="21" t="str">
        <f aca="false">IF($Z$3=0,"","⚠️ 주의사항")</f>
        <v>⚠️ 주의사항</v>
      </c>
      <c r="F17" s="19" t="str">
        <f aca="false">IF($Z$3=0,"",IF(INDEX('전체 방제 정보'!$R$2:$R$3000,$Z$3)="","미기재",INDEX('전체 방제 정보'!$R$2:$R$3000,$Z$3)))</f>
        <v>참고자료 등록정보와 상이 — 안전사용 시기 가이드 수확2일전 / 등록 수확5일전</v>
      </c>
      <c r="H17" s="22" t="str">
        <f aca="false">IF($Z$4=0,"","⚠️ 주의사항")</f>
        <v/>
      </c>
      <c r="I17" s="20" t="str">
        <f aca="false">IF($Z$4=0,"",IF(INDEX('전체 방제 정보'!$R$2:$R$3000,$Z$4)="","미기재",INDEX('전체 방제 정보'!$R$2:$R$3000,$Z$4)))</f>
        <v/>
      </c>
    </row>
    <row r="18" customFormat="false" ht="39.75" hidden="false" customHeight="true" outlineLevel="0" collapsed="false">
      <c r="B18" s="21" t="str">
        <f aca="false">IF($Z$2=0,"","🧪 혼용 정보")</f>
        <v>🧪 혼용 정보</v>
      </c>
      <c r="C18" s="19" t="str">
        <f aca="false">IF($Z$2=0,"",IF(INDEX('전체 방제 정보'!$S$2:$S$3000,$Z$2)="","미기재",INDEX('전체 방제 정보'!$S$2:$S$3000,$Z$2)))</f>
        <v>미기재</v>
      </c>
      <c r="E18" s="21" t="str">
        <f aca="false">IF($Z$3=0,"","🧪 혼용 정보")</f>
        <v>🧪 혼용 정보</v>
      </c>
      <c r="F18" s="19" t="str">
        <f aca="false">IF($Z$3=0,"",IF(INDEX('전체 방제 정보'!$S$2:$S$3000,$Z$3)="","미기재",INDEX('전체 방제 정보'!$S$2:$S$3000,$Z$3)))</f>
        <v>미기재</v>
      </c>
      <c r="H18" s="22" t="str">
        <f aca="false">IF($Z$4=0,"","🧪 혼용 정보")</f>
        <v/>
      </c>
      <c r="I18" s="20" t="str">
        <f aca="false">IF($Z$4=0,"",IF(INDEX('전체 방제 정보'!$S$2:$S$3000,$Z$4)="","미기재",INDEX('전체 방제 정보'!$S$2:$S$3000,$Z$4)))</f>
        <v/>
      </c>
    </row>
    <row r="19" customFormat="false" ht="43.5" hidden="false" customHeight="true" outlineLevel="0" collapsed="false">
      <c r="B19" s="23" t="str">
        <f aca="false">IF($Z$2=0,"","ℹ️ 성분 · 기작 · 독성")</f>
        <v>ℹ️ 성분 · 기작 · 독성</v>
      </c>
      <c r="C19" s="24" t="str">
        <f aca="false">IF($Z$2=0,"","유효성분: "&amp;IF(INDEX('전체 방제 정보'!$V$2:$V$3000,$Z$2)="","미기재",INDEX('전체 방제 정보'!$V$2:$V$3000,$Z$2))&amp;"   |   작용기작: "&amp;IF(INDEX('전체 방제 정보'!$W$2:$W$3000,$Z$2)="","미기재",INDEX('전체 방제 정보'!$W$2:$W$3000,$Z$2))&amp;IF(INDEX('전체 방제 정보'!$T$2:$T$3000,$Z$2)="","","   |   인축독성 "&amp;INDEX('전체 방제 정보'!$T$2:$T$3000,$Z$2)&amp;" · 어독성 "&amp;INDEX('전체 방제 정보'!$U$2:$U$3000,$Z$2)))</f>
        <v>유효성분: Thiamethoxam   |   작용기작: 4a   |   인축독성 Ⅳ급(저독성) · 어독성 Ⅲ급</v>
      </c>
      <c r="E19" s="23" t="str">
        <f aca="false">IF($Z$3=0,"","ℹ️ 성분 · 기작 · 독성")</f>
        <v>ℹ️ 성분 · 기작 · 독성</v>
      </c>
      <c r="F19" s="24" t="str">
        <f aca="false">IF($Z$3=0,"","유효성분: "&amp;IF(INDEX('전체 방제 정보'!$V$2:$V$3000,$Z$3)="","미기재",INDEX('전체 방제 정보'!$V$2:$V$3000,$Z$3))&amp;"   |   작용기작: "&amp;IF(INDEX('전체 방제 정보'!$W$2:$W$3000,$Z$3)="","미기재",INDEX('전체 방제 정보'!$W$2:$W$3000,$Z$3))&amp;IF(INDEX('전체 방제 정보'!$T$2:$T$3000,$Z$3)="","","   |   인축독성 "&amp;INDEX('전체 방제 정보'!$T$2:$T$3000,$Z$3)&amp;" · 어독성 "&amp;INDEX('전체 방제 정보'!$U$2:$U$3000,$Z$3)))</f>
        <v>유효성분: Lambda-cyhalothrin   |   작용기작: 3a   |   인축독성 Ⅳ급(저독성) · 어독성 Ⅱ급</v>
      </c>
      <c r="H19" s="25" t="str">
        <f aca="false">IF($Z$4=0,"","ℹ️ 성분 · 기작 · 독성")</f>
        <v/>
      </c>
      <c r="I19" s="26" t="str">
        <f aca="false">IF($Z$4=0,"","유효성분: "&amp;IF(INDEX('전체 방제 정보'!$V$2:$V$3000,$Z$4)="","미기재",INDEX('전체 방제 정보'!$V$2:$V$3000,$Z$4))&amp;"   |   작용기작: "&amp;IF(INDEX('전체 방제 정보'!$W$2:$W$3000,$Z$4)="","미기재",INDEX('전체 방제 정보'!$W$2:$W$3000,$Z$4))&amp;IF(INDEX('전체 방제 정보'!$T$2:$T$3000,$Z$4)="","","   |   인축독성 "&amp;INDEX('전체 방제 정보'!$T$2:$T$3000,$Z$4)&amp;" · 어독성 "&amp;INDEX('전체 방제 정보'!$U$2:$U$3000,$Z$4)))</f>
        <v/>
      </c>
    </row>
    <row r="20" customFormat="false" ht="13.5" hidden="false" customHeight="true" outlineLevel="0" collapsed="false"/>
    <row r="21" customFormat="false" ht="33.75" hidden="false" customHeight="true" outlineLevel="0" collapsed="false">
      <c r="B21" s="11" t="str">
        <f aca="false">IF($Z$5=0,"",IF(INDEX('전체 방제 정보'!$J$2:$J$3000,$Z$5)="유기농업자재","🌿 보조 · ",IF(INDEX('전체 방제 정보'!$F$2:$F$3000,$Z$5)="","💊 ","💊 "&amp;INDEX('전체 방제 정보'!$F$2:$F$3000,$Z$5)&amp;"순위 · "))&amp;INDEX('전체 방제 정보'!$G$2:$G$3000,$Z$5)&amp;IF(INDEX('전체 방제 정보'!$H$2:$H$3000,$Z$5)="",""," ("&amp;INDEX('전체 방제 정보'!$H$2:$H$3000,$Z$5)&amp;")"))</f>
        <v/>
      </c>
      <c r="C21" s="11"/>
      <c r="E21" s="11" t="str">
        <f aca="false">IF($Z$6=0,"",IF(INDEX('전체 방제 정보'!$J$2:$J$3000,$Z$6)="유기농업자재","🌿 보조 · ",IF(INDEX('전체 방제 정보'!$F$2:$F$3000,$Z$6)="","💊 ","💊 "&amp;INDEX('전체 방제 정보'!$F$2:$F$3000,$Z$6)&amp;"순위 · "))&amp;INDEX('전체 방제 정보'!$G$2:$G$3000,$Z$6)&amp;IF(INDEX('전체 방제 정보'!$H$2:$H$3000,$Z$6)="",""," ("&amp;INDEX('전체 방제 정보'!$H$2:$H$3000,$Z$6)&amp;")"))</f>
        <v/>
      </c>
      <c r="F21" s="11"/>
      <c r="H21" s="11" t="str">
        <f aca="false">IF($Z$7=0,"",IF(INDEX('전체 방제 정보'!$J$2:$J$3000,$Z$7)="유기농업자재","🌿 보조 · ",IF(INDEX('전체 방제 정보'!$F$2:$F$3000,$Z$7)="","💊 ","💊 "&amp;INDEX('전체 방제 정보'!$F$2:$F$3000,$Z$7)&amp;"순위 · "))&amp;INDEX('전체 방제 정보'!$G$2:$G$3000,$Z$7)&amp;IF(INDEX('전체 방제 정보'!$H$2:$H$3000,$Z$7)="",""," ("&amp;INDEX('전체 방제 정보'!$H$2:$H$3000,$Z$7)&amp;")"))</f>
        <v/>
      </c>
      <c r="I21" s="11"/>
    </row>
    <row r="22" customFormat="false" ht="18" hidden="false" customHeight="true" outlineLevel="0" collapsed="false">
      <c r="B22" s="13" t="str">
        <f aca="false">IF($Z$5=0,"",IF(INDEX('전체 방제 정보'!$I$2:$I$3000,$Z$5)="보유","✔ 학교 보유 약제",IF(INDEX('전체 방제 정보'!$I$2:$I$3000,$Z$5)="미보유","✖ 학교 미보유 · 구매 필요",IF(INDEX('전체 방제 정보'!$J$2:$J$3000,$Z$5)="유기농업자재","유기농업자재(친환경 공시자재)","")))&amp;IF(INDEX('전체 방제 정보'!$C$2:$C$3000,$Z$5)="","","   ·   작물: "&amp;INDEX('전체 방제 정보'!$C$2:$C$3000,$Z$5)))</f>
        <v/>
      </c>
      <c r="C22" s="13"/>
      <c r="E22" s="13" t="str">
        <f aca="false">IF($Z$6=0,"",IF(INDEX('전체 방제 정보'!$I$2:$I$3000,$Z$6)="보유","✔ 학교 보유 약제",IF(INDEX('전체 방제 정보'!$I$2:$I$3000,$Z$6)="미보유","✖ 학교 미보유 · 구매 필요",IF(INDEX('전체 방제 정보'!$J$2:$J$3000,$Z$6)="유기농업자재","유기농업자재(친환경 공시자재)","")))&amp;IF(INDEX('전체 방제 정보'!$C$2:$C$3000,$Z$6)="","","   ·   작물: "&amp;INDEX('전체 방제 정보'!$C$2:$C$3000,$Z$6)))</f>
        <v/>
      </c>
      <c r="F22" s="13"/>
      <c r="H22" s="13" t="str">
        <f aca="false">IF($Z$7=0,"",IF(INDEX('전체 방제 정보'!$I$2:$I$3000,$Z$7)="보유","✔ 학교 보유 약제",IF(INDEX('전체 방제 정보'!$I$2:$I$3000,$Z$7)="미보유","✖ 학교 미보유 · 구매 필요",IF(INDEX('전체 방제 정보'!$J$2:$J$3000,$Z$7)="유기농업자재","유기농업자재(친환경 공시자재)","")))&amp;IF(INDEX('전체 방제 정보'!$C$2:$C$3000,$Z$7)="","","   ·   작물: "&amp;INDEX('전체 방제 정보'!$C$2:$C$3000,$Z$7)))</f>
        <v/>
      </c>
      <c r="I22" s="13"/>
    </row>
    <row r="23" customFormat="false" ht="30" hidden="false" customHeight="true" outlineLevel="0" collapsed="false">
      <c r="B23" s="16" t="str">
        <f aca="false">IF($Z$5=0,"","📏 희석배수 · 사용량")</f>
        <v/>
      </c>
      <c r="C23" s="15" t="str">
        <f aca="false">IF($Z$5=0,"",IF(AND(INDEX('전체 방제 정보'!$K$2:$K$3000,$Z$5)="",INDEX('전체 방제 정보'!$L$2:$L$3000,$Z$5)=""),"미기재",IF(INDEX('전체 방제 정보'!$K$2:$K$3000,$Z$5)="","",TEXT(INDEX('전체 방제 정보'!$K$2:$K$3000,$Z$5),"#,##0")&amp;"배 희석")&amp;IF(AND(INDEX('전체 방제 정보'!$K$2:$K$3000,$Z$5)&lt;&gt;"",INDEX('전체 방제 정보'!$L$2:$L$3000,$Z$5)&lt;&gt;"")," / ","")&amp;INDEX('전체 방제 정보'!$L$2:$L$3000,$Z$5)))</f>
        <v/>
      </c>
      <c r="E23" s="16" t="str">
        <f aca="false">IF($Z$6=0,"","📏 희석배수 · 사용량")</f>
        <v/>
      </c>
      <c r="F23" s="15" t="str">
        <f aca="false">IF($Z$6=0,"",IF(AND(INDEX('전체 방제 정보'!$K$2:$K$3000,$Z$6)="",INDEX('전체 방제 정보'!$L$2:$L$3000,$Z$6)=""),"미기재",IF(INDEX('전체 방제 정보'!$K$2:$K$3000,$Z$6)="","",TEXT(INDEX('전체 방제 정보'!$K$2:$K$3000,$Z$6),"#,##0")&amp;"배 희석")&amp;IF(AND(INDEX('전체 방제 정보'!$K$2:$K$3000,$Z$6)&lt;&gt;"",INDEX('전체 방제 정보'!$L$2:$L$3000,$Z$6)&lt;&gt;"")," / ","")&amp;INDEX('전체 방제 정보'!$L$2:$L$3000,$Z$6)))</f>
        <v/>
      </c>
      <c r="H23" s="16" t="str">
        <f aca="false">IF($Z$7=0,"","📏 희석배수 · 사용량")</f>
        <v/>
      </c>
      <c r="I23" s="15" t="str">
        <f aca="false">IF($Z$7=0,"",IF(AND(INDEX('전체 방제 정보'!$K$2:$K$3000,$Z$7)="",INDEX('전체 방제 정보'!$L$2:$L$3000,$Z$7)=""),"미기재",IF(INDEX('전체 방제 정보'!$K$2:$K$3000,$Z$7)="","",TEXT(INDEX('전체 방제 정보'!$K$2:$K$3000,$Z$7),"#,##0")&amp;"배 희석")&amp;IF(AND(INDEX('전체 방제 정보'!$K$2:$K$3000,$Z$7)&lt;&gt;"",INDEX('전체 방제 정보'!$L$2:$L$3000,$Z$7)&lt;&gt;"")," / ","")&amp;INDEX('전체 방제 정보'!$L$2:$L$3000,$Z$7)))</f>
        <v/>
      </c>
    </row>
    <row r="24" customFormat="false" ht="25.5" hidden="false" customHeight="true" outlineLevel="0" collapsed="false">
      <c r="B24" s="16" t="str">
        <f aca="false">IF($Z$5=0,"","📅 살포 시기")</f>
        <v/>
      </c>
      <c r="C24" s="18" t="str">
        <f aca="false">IF($Z$5=0,"",IF(INDEX('전체 방제 정보'!$N$2:$N$3000,$Z$5)="","미기재",INDEX('전체 방제 정보'!$N$2:$N$3000,$Z$5)))</f>
        <v/>
      </c>
      <c r="E24" s="16" t="str">
        <f aca="false">IF($Z$6=0,"","📅 살포 시기")</f>
        <v/>
      </c>
      <c r="F24" s="18" t="str">
        <f aca="false">IF($Z$6=0,"",IF(INDEX('전체 방제 정보'!$N$2:$N$3000,$Z$6)="","미기재",INDEX('전체 방제 정보'!$N$2:$N$3000,$Z$6)))</f>
        <v/>
      </c>
      <c r="H24" s="16" t="str">
        <f aca="false">IF($Z$7=0,"","📅 살포 시기")</f>
        <v/>
      </c>
      <c r="I24" s="18" t="str">
        <f aca="false">IF($Z$7=0,"",IF(INDEX('전체 방제 정보'!$N$2:$N$3000,$Z$7)="","미기재",INDEX('전체 방제 정보'!$N$2:$N$3000,$Z$7)))</f>
        <v/>
      </c>
    </row>
    <row r="25" customFormat="false" ht="25.5" hidden="false" customHeight="true" outlineLevel="0" collapsed="false">
      <c r="B25" s="16" t="str">
        <f aca="false">IF($Z$5=0,"","💦 살포 방법")</f>
        <v/>
      </c>
      <c r="C25" s="18" t="str">
        <f aca="false">IF($Z$5=0,"",IF(INDEX('전체 방제 정보'!$M$2:$M$3000,$Z$5)="","미기재",INDEX('전체 방제 정보'!$M$2:$M$3000,$Z$5)))</f>
        <v/>
      </c>
      <c r="E25" s="16" t="str">
        <f aca="false">IF($Z$6=0,"","💦 살포 방법")</f>
        <v/>
      </c>
      <c r="F25" s="18" t="str">
        <f aca="false">IF($Z$6=0,"",IF(INDEX('전체 방제 정보'!$M$2:$M$3000,$Z$6)="","미기재",INDEX('전체 방제 정보'!$M$2:$M$3000,$Z$6)))</f>
        <v/>
      </c>
      <c r="H25" s="16" t="str">
        <f aca="false">IF($Z$7=0,"","💦 살포 방법")</f>
        <v/>
      </c>
      <c r="I25" s="18" t="str">
        <f aca="false">IF($Z$7=0,"",IF(INDEX('전체 방제 정보'!$M$2:$M$3000,$Z$7)="","미기재",INDEX('전체 방제 정보'!$M$2:$M$3000,$Z$7)))</f>
        <v/>
      </c>
    </row>
    <row r="26" customFormat="false" ht="25.5" hidden="false" customHeight="true" outlineLevel="0" collapsed="false">
      <c r="B26" s="16" t="str">
        <f aca="false">IF($Z$5=0,"","🔁 횟수 · 수확 전 제한")</f>
        <v/>
      </c>
      <c r="C26" s="20" t="str">
        <f aca="false">IF($Z$5=0,"",IF(AND(INDEX('전체 방제 정보'!$P$2:$P$3000,$Z$5)="",INDEX('전체 방제 정보'!$O$2:$O$3000,$Z$5)="",INDEX('전체 방제 정보'!$Q$2:$Q$3000,$Z$5)=""),"미기재",MID(IF(INDEX('전체 방제 정보'!$P$2:$P$3000,$Z$5)="",""," · 최대 "&amp;INDEX('전체 방제 정보'!$P$2:$P$3000,$Z$5)&amp;"회")&amp;IF(INDEX('전체 방제 정보'!$O$2:$O$3000,$Z$5)="",""," · "&amp;INDEX('전체 방제 정보'!$O$2:$O$3000,$Z$5)&amp;"까지 사용")&amp;IF(INDEX('전체 방제 정보'!$Q$2:$Q$3000,$Z$5)="",""," · "&amp;INDEX('전체 방제 정보'!$Q$2:$Q$3000,$Z$5)),4,200)))</f>
        <v/>
      </c>
      <c r="E26" s="16" t="str">
        <f aca="false">IF($Z$6=0,"","🔁 횟수 · 수확 전 제한")</f>
        <v/>
      </c>
      <c r="F26" s="20" t="str">
        <f aca="false">IF($Z$6=0,"",IF(AND(INDEX('전체 방제 정보'!$P$2:$P$3000,$Z$6)="",INDEX('전체 방제 정보'!$O$2:$O$3000,$Z$6)="",INDEX('전체 방제 정보'!$Q$2:$Q$3000,$Z$6)=""),"미기재",MID(IF(INDEX('전체 방제 정보'!$P$2:$P$3000,$Z$6)="",""," · 최대 "&amp;INDEX('전체 방제 정보'!$P$2:$P$3000,$Z$6)&amp;"회")&amp;IF(INDEX('전체 방제 정보'!$O$2:$O$3000,$Z$6)="",""," · "&amp;INDEX('전체 방제 정보'!$O$2:$O$3000,$Z$6)&amp;"까지 사용")&amp;IF(INDEX('전체 방제 정보'!$Q$2:$Q$3000,$Z$6)="",""," · "&amp;INDEX('전체 방제 정보'!$Q$2:$Q$3000,$Z$6)),4,200)))</f>
        <v/>
      </c>
      <c r="H26" s="16" t="str">
        <f aca="false">IF($Z$7=0,"","🔁 횟수 · 수확 전 제한")</f>
        <v/>
      </c>
      <c r="I26" s="20" t="str">
        <f aca="false">IF($Z$7=0,"",IF(AND(INDEX('전체 방제 정보'!$P$2:$P$3000,$Z$7)="",INDEX('전체 방제 정보'!$O$2:$O$3000,$Z$7)="",INDEX('전체 방제 정보'!$Q$2:$Q$3000,$Z$7)=""),"미기재",MID(IF(INDEX('전체 방제 정보'!$P$2:$P$3000,$Z$7)="",""," · 최대 "&amp;INDEX('전체 방제 정보'!$P$2:$P$3000,$Z$7)&amp;"회")&amp;IF(INDEX('전체 방제 정보'!$O$2:$O$3000,$Z$7)="",""," · "&amp;INDEX('전체 방제 정보'!$O$2:$O$3000,$Z$7)&amp;"까지 사용")&amp;IF(INDEX('전체 방제 정보'!$Q$2:$Q$3000,$Z$7)="",""," · "&amp;INDEX('전체 방제 정보'!$Q$2:$Q$3000,$Z$7)),4,200)))</f>
        <v/>
      </c>
    </row>
    <row r="27" customFormat="false" ht="78" hidden="false" customHeight="true" outlineLevel="0" collapsed="false">
      <c r="B27" s="22" t="str">
        <f aca="false">IF($Z$5=0,"","⚠️ 주의사항")</f>
        <v/>
      </c>
      <c r="C27" s="20" t="str">
        <f aca="false">IF($Z$5=0,"",IF(INDEX('전체 방제 정보'!$R$2:$R$3000,$Z$5)="","미기재",INDEX('전체 방제 정보'!$R$2:$R$3000,$Z$5)))</f>
        <v/>
      </c>
      <c r="E27" s="22" t="str">
        <f aca="false">IF($Z$6=0,"","⚠️ 주의사항")</f>
        <v/>
      </c>
      <c r="F27" s="20" t="str">
        <f aca="false">IF($Z$6=0,"",IF(INDEX('전체 방제 정보'!$R$2:$R$3000,$Z$6)="","미기재",INDEX('전체 방제 정보'!$R$2:$R$3000,$Z$6)))</f>
        <v/>
      </c>
      <c r="H27" s="22" t="str">
        <f aca="false">IF($Z$7=0,"","⚠️ 주의사항")</f>
        <v/>
      </c>
      <c r="I27" s="20" t="str">
        <f aca="false">IF($Z$7=0,"",IF(INDEX('전체 방제 정보'!$R$2:$R$3000,$Z$7)="","미기재",INDEX('전체 방제 정보'!$R$2:$R$3000,$Z$7)))</f>
        <v/>
      </c>
    </row>
    <row r="28" customFormat="false" ht="39.75" hidden="false" customHeight="true" outlineLevel="0" collapsed="false">
      <c r="B28" s="22" t="str">
        <f aca="false">IF($Z$5=0,"","🧪 혼용 정보")</f>
        <v/>
      </c>
      <c r="C28" s="20" t="str">
        <f aca="false">IF($Z$5=0,"",IF(INDEX('전체 방제 정보'!$S$2:$S$3000,$Z$5)="","미기재",INDEX('전체 방제 정보'!$S$2:$S$3000,$Z$5)))</f>
        <v/>
      </c>
      <c r="E28" s="22" t="str">
        <f aca="false">IF($Z$6=0,"","🧪 혼용 정보")</f>
        <v/>
      </c>
      <c r="F28" s="20" t="str">
        <f aca="false">IF($Z$6=0,"",IF(INDEX('전체 방제 정보'!$S$2:$S$3000,$Z$6)="","미기재",INDEX('전체 방제 정보'!$S$2:$S$3000,$Z$6)))</f>
        <v/>
      </c>
      <c r="H28" s="22" t="str">
        <f aca="false">IF($Z$7=0,"","🧪 혼용 정보")</f>
        <v/>
      </c>
      <c r="I28" s="20" t="str">
        <f aca="false">IF($Z$7=0,"",IF(INDEX('전체 방제 정보'!$S$2:$S$3000,$Z$7)="","미기재",INDEX('전체 방제 정보'!$S$2:$S$3000,$Z$7)))</f>
        <v/>
      </c>
    </row>
    <row r="29" customFormat="false" ht="43.5" hidden="false" customHeight="true" outlineLevel="0" collapsed="false">
      <c r="B29" s="25" t="str">
        <f aca="false">IF($Z$5=0,"","ℹ️ 성분 · 기작 · 독성")</f>
        <v/>
      </c>
      <c r="C29" s="26" t="str">
        <f aca="false">IF($Z$5=0,"","유효성분: "&amp;IF(INDEX('전체 방제 정보'!$V$2:$V$3000,$Z$5)="","미기재",INDEX('전체 방제 정보'!$V$2:$V$3000,$Z$5))&amp;"   |   작용기작: "&amp;IF(INDEX('전체 방제 정보'!$W$2:$W$3000,$Z$5)="","미기재",INDEX('전체 방제 정보'!$W$2:$W$3000,$Z$5))&amp;IF(INDEX('전체 방제 정보'!$T$2:$T$3000,$Z$5)="","","   |   인축독성 "&amp;INDEX('전체 방제 정보'!$T$2:$T$3000,$Z$5)&amp;" · 어독성 "&amp;INDEX('전체 방제 정보'!$U$2:$U$3000,$Z$5)))</f>
        <v/>
      </c>
      <c r="E29" s="25" t="str">
        <f aca="false">IF($Z$6=0,"","ℹ️ 성분 · 기작 · 독성")</f>
        <v/>
      </c>
      <c r="F29" s="26" t="str">
        <f aca="false">IF($Z$6=0,"","유효성분: "&amp;IF(INDEX('전체 방제 정보'!$V$2:$V$3000,$Z$6)="","미기재",INDEX('전체 방제 정보'!$V$2:$V$3000,$Z$6))&amp;"   |   작용기작: "&amp;IF(INDEX('전체 방제 정보'!$W$2:$W$3000,$Z$6)="","미기재",INDEX('전체 방제 정보'!$W$2:$W$3000,$Z$6))&amp;IF(INDEX('전체 방제 정보'!$T$2:$T$3000,$Z$6)="","","   |   인축독성 "&amp;INDEX('전체 방제 정보'!$T$2:$T$3000,$Z$6)&amp;" · 어독성 "&amp;INDEX('전체 방제 정보'!$U$2:$U$3000,$Z$6)))</f>
        <v/>
      </c>
      <c r="H29" s="25" t="str">
        <f aca="false">IF($Z$7=0,"","ℹ️ 성분 · 기작 · 독성")</f>
        <v/>
      </c>
      <c r="I29" s="26" t="str">
        <f aca="false">IF($Z$7=0,"","유효성분: "&amp;IF(INDEX('전체 방제 정보'!$V$2:$V$3000,$Z$7)="","미기재",INDEX('전체 방제 정보'!$V$2:$V$3000,$Z$7))&amp;"   |   작용기작: "&amp;IF(INDEX('전체 방제 정보'!$W$2:$W$3000,$Z$7)="","미기재",INDEX('전체 방제 정보'!$W$2:$W$3000,$Z$7))&amp;IF(INDEX('전체 방제 정보'!$T$2:$T$3000,$Z$7)="","","   |   인축독성 "&amp;INDEX('전체 방제 정보'!$T$2:$T$3000,$Z$7)&amp;" · 어독성 "&amp;INDEX('전체 방제 정보'!$U$2:$U$3000,$Z$7)))</f>
        <v/>
      </c>
    </row>
    <row r="31" customFormat="false" ht="15" hidden="false" customHeight="false" outlineLevel="0" collapsed="false">
      <c r="B31" s="27" t="str">
        <f aca="false">IF($Z$8&gt;6,"➕ 외 "&amp;($Z$8-6)&amp;"개 약제는 [전체 방제 정보] 시트에서 병해충명으로 필터해 확인하세요.","")</f>
        <v/>
      </c>
      <c r="C31" s="27"/>
      <c r="D31" s="27"/>
      <c r="E31" s="27"/>
      <c r="F31" s="27"/>
      <c r="G31" s="27"/>
      <c r="H31" s="27"/>
      <c r="I31" s="27"/>
    </row>
    <row r="32" customFormat="false" ht="15" hidden="false" customHeight="true" outlineLevel="0" collapsed="false">
      <c r="B32" s="28" t="s">
        <v>7</v>
      </c>
      <c r="C32" s="28"/>
      <c r="D32" s="28"/>
      <c r="E32" s="28"/>
      <c r="F32" s="28"/>
      <c r="G32" s="28"/>
      <c r="H32" s="28"/>
      <c r="I32" s="28"/>
    </row>
    <row r="33" customFormat="false" ht="15" hidden="false" customHeight="false" outlineLevel="0" collapsed="false">
      <c r="B33" s="28"/>
      <c r="C33" s="28"/>
      <c r="D33" s="28"/>
      <c r="E33" s="28"/>
      <c r="F33" s="28"/>
      <c r="G33" s="28"/>
      <c r="H33" s="28"/>
      <c r="I33" s="28"/>
    </row>
  </sheetData>
  <mergeCells count="22">
    <mergeCell ref="B1:I1"/>
    <mergeCell ref="B2:I2"/>
    <mergeCell ref="C4:F4"/>
    <mergeCell ref="H4:I4"/>
    <mergeCell ref="B6:I6"/>
    <mergeCell ref="B7:I7"/>
    <mergeCell ref="B8:I8"/>
    <mergeCell ref="B9:I9"/>
    <mergeCell ref="B11:C11"/>
    <mergeCell ref="E11:F11"/>
    <mergeCell ref="H11:I11"/>
    <mergeCell ref="B12:C12"/>
    <mergeCell ref="E12:F12"/>
    <mergeCell ref="H12:I12"/>
    <mergeCell ref="B21:C21"/>
    <mergeCell ref="E21:F21"/>
    <mergeCell ref="H21:I21"/>
    <mergeCell ref="B22:C22"/>
    <mergeCell ref="E22:F22"/>
    <mergeCell ref="H22:I22"/>
    <mergeCell ref="B31:I31"/>
    <mergeCell ref="B32:I33"/>
  </mergeCells>
  <conditionalFormatting sqref="B11:C11">
    <cfRule type="expression" priority="2" aboveAverage="0" equalAverage="0" bottom="0" percent="0" rank="0" text="" dxfId="0">
      <formula>LEN($B$11)&gt;0</formula>
    </cfRule>
  </conditionalFormatting>
  <conditionalFormatting sqref="B12:C12">
    <cfRule type="expression" priority="3" aboveAverage="0" equalAverage="0" bottom="0" percent="0" rank="0" text="" dxfId="1">
      <formula>LEN($B$11)&gt;0</formula>
    </cfRule>
    <cfRule type="expression" priority="4" aboveAverage="0" equalAverage="0" bottom="0" percent="0" rank="0" text="" dxfId="2">
      <formula>LEFT($B$12,1)="✔"</formula>
    </cfRule>
    <cfRule type="expression" priority="5" aboveAverage="0" equalAverage="0" bottom="0" percent="0" rank="0" text="" dxfId="3">
      <formula>LEFT($B$12,1)="✖"</formula>
    </cfRule>
  </conditionalFormatting>
  <conditionalFormatting sqref="B13:C16">
    <cfRule type="expression" priority="6" aboveAverage="0" equalAverage="0" bottom="0" percent="0" rank="0" text="" dxfId="4">
      <formula>LEN($B$11)&gt;0</formula>
    </cfRule>
  </conditionalFormatting>
  <conditionalFormatting sqref="B17:C18">
    <cfRule type="expression" priority="7" aboveAverage="0" equalAverage="0" bottom="0" percent="0" rank="0" text="" dxfId="5">
      <formula>LEN($B$11)&gt;0</formula>
    </cfRule>
  </conditionalFormatting>
  <conditionalFormatting sqref="B19:C19">
    <cfRule type="expression" priority="8" aboveAverage="0" equalAverage="0" bottom="0" percent="0" rank="0" text="" dxfId="6">
      <formula>LEN($B$11)&gt;0</formula>
    </cfRule>
  </conditionalFormatting>
  <conditionalFormatting sqref="C17">
    <cfRule type="expression" priority="9" aboveAverage="0" equalAverage="0" bottom="0" percent="0" rank="0" text="" dxfId="3">
      <formula>AND(LEN($C$17)&gt;0,$C$17&lt;&gt;"미기재")</formula>
    </cfRule>
  </conditionalFormatting>
  <conditionalFormatting sqref="E11:F11">
    <cfRule type="expression" priority="10" aboveAverage="0" equalAverage="0" bottom="0" percent="0" rank="0" text="" dxfId="0">
      <formula>LEN($E$11)&gt;0</formula>
    </cfRule>
  </conditionalFormatting>
  <conditionalFormatting sqref="E12:F12">
    <cfRule type="expression" priority="11" aboveAverage="0" equalAverage="0" bottom="0" percent="0" rank="0" text="" dxfId="1">
      <formula>LEN($E$11)&gt;0</formula>
    </cfRule>
    <cfRule type="expression" priority="12" aboveAverage="0" equalAverage="0" bottom="0" percent="0" rank="0" text="" dxfId="2">
      <formula>LEFT($E$12,1)="✔"</formula>
    </cfRule>
    <cfRule type="expression" priority="13" aboveAverage="0" equalAverage="0" bottom="0" percent="0" rank="0" text="" dxfId="3">
      <formula>LEFT($E$12,1)="✖"</formula>
    </cfRule>
  </conditionalFormatting>
  <conditionalFormatting sqref="E13:F16">
    <cfRule type="expression" priority="14" aboveAverage="0" equalAverage="0" bottom="0" percent="0" rank="0" text="" dxfId="4">
      <formula>LEN($E$11)&gt;0</formula>
    </cfRule>
  </conditionalFormatting>
  <conditionalFormatting sqref="E17:F18">
    <cfRule type="expression" priority="15" aboveAverage="0" equalAverage="0" bottom="0" percent="0" rank="0" text="" dxfId="5">
      <formula>LEN($E$11)&gt;0</formula>
    </cfRule>
  </conditionalFormatting>
  <conditionalFormatting sqref="E19:F19">
    <cfRule type="expression" priority="16" aboveAverage="0" equalAverage="0" bottom="0" percent="0" rank="0" text="" dxfId="6">
      <formula>LEN($E$11)&gt;0</formula>
    </cfRule>
  </conditionalFormatting>
  <conditionalFormatting sqref="F17">
    <cfRule type="expression" priority="17" aboveAverage="0" equalAverage="0" bottom="0" percent="0" rank="0" text="" dxfId="3">
      <formula>AND(LEN($F$17)&gt;0,$F$17&lt;&gt;"미기재")</formula>
    </cfRule>
  </conditionalFormatting>
  <conditionalFormatting sqref="H11:I11">
    <cfRule type="expression" priority="18" aboveAverage="0" equalAverage="0" bottom="0" percent="0" rank="0" text="" dxfId="0">
      <formula>LEN($H$11)&gt;0</formula>
    </cfRule>
  </conditionalFormatting>
  <conditionalFormatting sqref="H12:I12">
    <cfRule type="expression" priority="19" aboveAverage="0" equalAverage="0" bottom="0" percent="0" rank="0" text="" dxfId="1">
      <formula>LEN($H$11)&gt;0</formula>
    </cfRule>
    <cfRule type="expression" priority="20" aboveAverage="0" equalAverage="0" bottom="0" percent="0" rank="0" text="" dxfId="2">
      <formula>LEFT($H$12,1)="✔"</formula>
    </cfRule>
    <cfRule type="expression" priority="21" aboveAverage="0" equalAverage="0" bottom="0" percent="0" rank="0" text="" dxfId="3">
      <formula>LEFT($H$12,1)="✖"</formula>
    </cfRule>
  </conditionalFormatting>
  <conditionalFormatting sqref="H13:I16">
    <cfRule type="expression" priority="22" aboveAverage="0" equalAverage="0" bottom="0" percent="0" rank="0" text="" dxfId="4">
      <formula>LEN($H$11)&gt;0</formula>
    </cfRule>
  </conditionalFormatting>
  <conditionalFormatting sqref="H17:I18">
    <cfRule type="expression" priority="23" aboveAverage="0" equalAverage="0" bottom="0" percent="0" rank="0" text="" dxfId="5">
      <formula>LEN($H$11)&gt;0</formula>
    </cfRule>
  </conditionalFormatting>
  <conditionalFormatting sqref="H19:I19">
    <cfRule type="expression" priority="24" aboveAverage="0" equalAverage="0" bottom="0" percent="0" rank="0" text="" dxfId="6">
      <formula>LEN($H$11)&gt;0</formula>
    </cfRule>
  </conditionalFormatting>
  <conditionalFormatting sqref="I17">
    <cfRule type="expression" priority="25" aboveAverage="0" equalAverage="0" bottom="0" percent="0" rank="0" text="" dxfId="3">
      <formula>AND(LEN($I$17)&gt;0,$I$17&lt;&gt;"미기재")</formula>
    </cfRule>
  </conditionalFormatting>
  <conditionalFormatting sqref="B21:C21">
    <cfRule type="expression" priority="26" aboveAverage="0" equalAverage="0" bottom="0" percent="0" rank="0" text="" dxfId="0">
      <formula>LEN($B$21)&gt;0</formula>
    </cfRule>
  </conditionalFormatting>
  <conditionalFormatting sqref="B22:C22">
    <cfRule type="expression" priority="27" aboveAverage="0" equalAverage="0" bottom="0" percent="0" rank="0" text="" dxfId="1">
      <formula>LEN($B$21)&gt;0</formula>
    </cfRule>
    <cfRule type="expression" priority="28" aboveAverage="0" equalAverage="0" bottom="0" percent="0" rank="0" text="" dxfId="2">
      <formula>LEFT($B$22,1)="✔"</formula>
    </cfRule>
    <cfRule type="expression" priority="29" aboveAverage="0" equalAverage="0" bottom="0" percent="0" rank="0" text="" dxfId="3">
      <formula>LEFT($B$22,1)="✖"</formula>
    </cfRule>
  </conditionalFormatting>
  <conditionalFormatting sqref="B23:C26">
    <cfRule type="expression" priority="30" aboveAverage="0" equalAverage="0" bottom="0" percent="0" rank="0" text="" dxfId="4">
      <formula>LEN($B$21)&gt;0</formula>
    </cfRule>
  </conditionalFormatting>
  <conditionalFormatting sqref="B27:C28">
    <cfRule type="expression" priority="31" aboveAverage="0" equalAverage="0" bottom="0" percent="0" rank="0" text="" dxfId="5">
      <formula>LEN($B$21)&gt;0</formula>
    </cfRule>
  </conditionalFormatting>
  <conditionalFormatting sqref="B29:C29">
    <cfRule type="expression" priority="32" aboveAverage="0" equalAverage="0" bottom="0" percent="0" rank="0" text="" dxfId="6">
      <formula>LEN($B$21)&gt;0</formula>
    </cfRule>
  </conditionalFormatting>
  <conditionalFormatting sqref="C27">
    <cfRule type="expression" priority="33" aboveAverage="0" equalAverage="0" bottom="0" percent="0" rank="0" text="" dxfId="3">
      <formula>AND(LEN($C$27)&gt;0,$C$27&lt;&gt;"미기재")</formula>
    </cfRule>
  </conditionalFormatting>
  <conditionalFormatting sqref="E21:F21">
    <cfRule type="expression" priority="34" aboveAverage="0" equalAverage="0" bottom="0" percent="0" rank="0" text="" dxfId="0">
      <formula>LEN($E$21)&gt;0</formula>
    </cfRule>
  </conditionalFormatting>
  <conditionalFormatting sqref="E22:F22">
    <cfRule type="expression" priority="35" aboveAverage="0" equalAverage="0" bottom="0" percent="0" rank="0" text="" dxfId="1">
      <formula>LEN($E$21)&gt;0</formula>
    </cfRule>
    <cfRule type="expression" priority="36" aboveAverage="0" equalAverage="0" bottom="0" percent="0" rank="0" text="" dxfId="2">
      <formula>LEFT($E$22,1)="✔"</formula>
    </cfRule>
    <cfRule type="expression" priority="37" aboveAverage="0" equalAverage="0" bottom="0" percent="0" rank="0" text="" dxfId="3">
      <formula>LEFT($E$22,1)="✖"</formula>
    </cfRule>
  </conditionalFormatting>
  <conditionalFormatting sqref="E23:F26">
    <cfRule type="expression" priority="38" aboveAverage="0" equalAverage="0" bottom="0" percent="0" rank="0" text="" dxfId="4">
      <formula>LEN($E$21)&gt;0</formula>
    </cfRule>
  </conditionalFormatting>
  <conditionalFormatting sqref="E27:F28">
    <cfRule type="expression" priority="39" aboveAverage="0" equalAverage="0" bottom="0" percent="0" rank="0" text="" dxfId="5">
      <formula>LEN($E$21)&gt;0</formula>
    </cfRule>
  </conditionalFormatting>
  <conditionalFormatting sqref="E29:F29">
    <cfRule type="expression" priority="40" aboveAverage="0" equalAverage="0" bottom="0" percent="0" rank="0" text="" dxfId="6">
      <formula>LEN($E$21)&gt;0</formula>
    </cfRule>
  </conditionalFormatting>
  <conditionalFormatting sqref="F27">
    <cfRule type="expression" priority="41" aboveAverage="0" equalAverage="0" bottom="0" percent="0" rank="0" text="" dxfId="3">
      <formula>AND(LEN($F$27)&gt;0,$F$27&lt;&gt;"미기재")</formula>
    </cfRule>
  </conditionalFormatting>
  <conditionalFormatting sqref="H21:I21">
    <cfRule type="expression" priority="42" aboveAverage="0" equalAverage="0" bottom="0" percent="0" rank="0" text="" dxfId="0">
      <formula>LEN($H$21)&gt;0</formula>
    </cfRule>
  </conditionalFormatting>
  <conditionalFormatting sqref="H22:I22">
    <cfRule type="expression" priority="43" aboveAverage="0" equalAverage="0" bottom="0" percent="0" rank="0" text="" dxfId="1">
      <formula>LEN($H$21)&gt;0</formula>
    </cfRule>
    <cfRule type="expression" priority="44" aboveAverage="0" equalAverage="0" bottom="0" percent="0" rank="0" text="" dxfId="2">
      <formula>LEFT($H$22,1)="✔"</formula>
    </cfRule>
    <cfRule type="expression" priority="45" aboveAverage="0" equalAverage="0" bottom="0" percent="0" rank="0" text="" dxfId="3">
      <formula>LEFT($H$22,1)="✖"</formula>
    </cfRule>
  </conditionalFormatting>
  <conditionalFormatting sqref="H23:I26">
    <cfRule type="expression" priority="46" aboveAverage="0" equalAverage="0" bottom="0" percent="0" rank="0" text="" dxfId="4">
      <formula>LEN($H$21)&gt;0</formula>
    </cfRule>
  </conditionalFormatting>
  <conditionalFormatting sqref="H27:I28">
    <cfRule type="expression" priority="47" aboveAverage="0" equalAverage="0" bottom="0" percent="0" rank="0" text="" dxfId="5">
      <formula>LEN($H$21)&gt;0</formula>
    </cfRule>
  </conditionalFormatting>
  <conditionalFormatting sqref="H29:I29">
    <cfRule type="expression" priority="48" aboveAverage="0" equalAverage="0" bottom="0" percent="0" rank="0" text="" dxfId="6">
      <formula>LEN($H$21)&gt;0</formula>
    </cfRule>
  </conditionalFormatting>
  <conditionalFormatting sqref="I27">
    <cfRule type="expression" priority="49" aboveAverage="0" equalAverage="0" bottom="0" percent="0" rank="0" text="" dxfId="3">
      <formula>AND(LEN($I$27)&gt;0,$I$27&lt;&gt;"미기재")</formula>
    </cfRule>
  </conditionalFormatting>
  <dataValidations count="1">
    <dataValidation allowBlank="true" errorStyle="stop" operator="between" prompt="▼ 목록에서 병해충을 선택하세요." promptTitle="병해충 선택" showDropDown="false" showErrorMessage="false" showInputMessage="true" sqref="C4" type="list">
      <formula1>목록_병해충조회용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9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20"/>
    <col collapsed="false" customWidth="true" hidden="false" outlineLevel="0" max="6" min="6" style="0" width="6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18" min="18" style="0" width="44"/>
    <col collapsed="false" customWidth="true" hidden="false" outlineLevel="0" max="19" min="19" style="0" width="34"/>
    <col collapsed="false" customWidth="true" hidden="false" outlineLevel="0" max="20" min="20" style="0" width="12"/>
    <col collapsed="false" customWidth="true" hidden="false" outlineLevel="0" max="21" min="21" style="0" width="8"/>
    <col collapsed="false" customWidth="true" hidden="false" outlineLevel="0" max="22" min="22" style="0" width="30"/>
    <col collapsed="false" customWidth="true" hidden="false" outlineLevel="0" max="23" min="23" style="0" width="12"/>
    <col collapsed="false" customWidth="true" hidden="false" outlineLevel="0" max="24" min="24" style="0" width="40"/>
    <col collapsed="false" customWidth="true" hidden="false" outlineLevel="0" max="25" min="25" style="0" width="36"/>
    <col collapsed="false" customWidth="true" hidden="false" outlineLevel="0" max="27" min="26" style="0" width="13"/>
    <col collapsed="false" customWidth="true" hidden="false" outlineLevel="0" max="28" min="28" style="0" width="11"/>
    <col collapsed="false" customWidth="true" hidden="false" outlineLevel="0" max="29" min="29" style="0" width="20"/>
    <col collapsed="false" customWidth="true" hidden="false" outlineLevel="0" max="30" min="30" style="0" width="16"/>
    <col collapsed="false" customWidth="true" hidden="false" outlineLevel="0" max="31" min="31" style="0" width="13"/>
    <col collapsed="false" customWidth="true" hidden="false" outlineLevel="0" max="32" min="32" style="0" width="9"/>
    <col collapsed="false" customWidth="true" hidden="false" outlineLevel="0" max="33" min="33" style="0" width="13"/>
    <col collapsed="false" customWidth="true" hidden="false" outlineLevel="0" max="34" min="34" style="0" width="50"/>
    <col collapsed="false" customWidth="true" hidden="false" outlineLevel="0" max="35" min="35" style="0" width="36"/>
    <col collapsed="false" customWidth="true" hidden="false" outlineLevel="0" max="36" min="36" style="0" width="22"/>
    <col collapsed="false" customWidth="true" hidden="false" outlineLevel="0" max="37" min="37" style="0" width="12"/>
    <col collapsed="false" customWidth="true" hidden="false" outlineLevel="0" max="38" min="38" style="0" width="18"/>
    <col collapsed="false" customWidth="true" hidden="false" outlineLevel="0" max="42" min="39" style="0" width="11"/>
    <col collapsed="false" customWidth="true" hidden="false" outlineLevel="0" max="43" min="43" style="0" width="14"/>
    <col collapsed="false" customWidth="true" hidden="false" outlineLevel="0" max="44" min="44" style="0" width="12"/>
    <col collapsed="false" customWidth="true" hidden="false" outlineLevel="0" max="45" min="45" style="0" width="34"/>
    <col collapsed="false" customWidth="true" hidden="false" outlineLevel="0" max="46" min="46" style="0" width="12"/>
    <col collapsed="false" customWidth="true" hidden="false" outlineLevel="0" max="47" min="47" style="0" width="22"/>
    <col collapsed="false" customWidth="true" hidden="false" outlineLevel="0" max="48" min="48" style="0" width="16"/>
    <col collapsed="false" customWidth="true" hidden="false" outlineLevel="0" max="49" min="49" style="0" width="30"/>
    <col collapsed="false" customWidth="true" hidden="false" outlineLevel="0" max="50" min="50" style="0" width="34"/>
    <col collapsed="false" customWidth="true" hidden="false" outlineLevel="0" max="51" min="51" style="0" width="11"/>
  </cols>
  <sheetData>
    <row r="1" customFormat="false" ht="33.75" hidden="false" customHeight="true" outlineLevel="0" collapsed="false">
      <c r="A1" s="29" t="s">
        <v>8</v>
      </c>
      <c r="B1" s="29" t="s">
        <v>9</v>
      </c>
      <c r="C1" s="29" t="s">
        <v>10</v>
      </c>
      <c r="D1" s="29" t="s">
        <v>11</v>
      </c>
      <c r="E1" s="29" t="s">
        <v>12</v>
      </c>
      <c r="F1" s="30" t="s">
        <v>13</v>
      </c>
      <c r="G1" s="30" t="s">
        <v>14</v>
      </c>
      <c r="H1" s="30" t="s">
        <v>15</v>
      </c>
      <c r="I1" s="30" t="s">
        <v>16</v>
      </c>
      <c r="J1" s="30" t="s">
        <v>17</v>
      </c>
      <c r="K1" s="31" t="s">
        <v>18</v>
      </c>
      <c r="L1" s="31" t="s">
        <v>19</v>
      </c>
      <c r="M1" s="31" t="s">
        <v>20</v>
      </c>
      <c r="N1" s="31" t="s">
        <v>21</v>
      </c>
      <c r="O1" s="31" t="s">
        <v>22</v>
      </c>
      <c r="P1" s="31" t="s">
        <v>23</v>
      </c>
      <c r="Q1" s="31" t="s">
        <v>24</v>
      </c>
      <c r="R1" s="32" t="s">
        <v>25</v>
      </c>
      <c r="S1" s="32" t="s">
        <v>26</v>
      </c>
      <c r="T1" s="32" t="s">
        <v>27</v>
      </c>
      <c r="U1" s="32" t="s">
        <v>28</v>
      </c>
      <c r="V1" s="33" t="s">
        <v>29</v>
      </c>
      <c r="W1" s="33" t="s">
        <v>30</v>
      </c>
      <c r="X1" s="33" t="s">
        <v>31</v>
      </c>
      <c r="Y1" s="33" t="s">
        <v>32</v>
      </c>
      <c r="Z1" s="33" t="s">
        <v>33</v>
      </c>
      <c r="AA1" s="33" t="s">
        <v>34</v>
      </c>
      <c r="AB1" s="33" t="s">
        <v>35</v>
      </c>
      <c r="AC1" s="33" t="s">
        <v>36</v>
      </c>
      <c r="AD1" s="33" t="s">
        <v>37</v>
      </c>
      <c r="AE1" s="33" t="s">
        <v>38</v>
      </c>
      <c r="AF1" s="33" t="s">
        <v>39</v>
      </c>
      <c r="AG1" s="33" t="s">
        <v>40</v>
      </c>
      <c r="AH1" s="33" t="s">
        <v>41</v>
      </c>
      <c r="AI1" s="33" t="s">
        <v>42</v>
      </c>
      <c r="AJ1" s="33" t="s">
        <v>43</v>
      </c>
      <c r="AK1" s="33" t="s">
        <v>44</v>
      </c>
      <c r="AL1" s="33" t="s">
        <v>45</v>
      </c>
      <c r="AM1" s="33" t="s">
        <v>46</v>
      </c>
      <c r="AN1" s="33" t="s">
        <v>47</v>
      </c>
      <c r="AO1" s="33" t="s">
        <v>48</v>
      </c>
      <c r="AP1" s="33" t="s">
        <v>49</v>
      </c>
      <c r="AQ1" s="33" t="s">
        <v>50</v>
      </c>
      <c r="AR1" s="33" t="s">
        <v>51</v>
      </c>
      <c r="AS1" s="33" t="s">
        <v>52</v>
      </c>
      <c r="AT1" s="33" t="s">
        <v>53</v>
      </c>
      <c r="AU1" s="33" t="s">
        <v>54</v>
      </c>
      <c r="AV1" s="33" t="s">
        <v>55</v>
      </c>
      <c r="AW1" s="33" t="s">
        <v>56</v>
      </c>
      <c r="AX1" s="33" t="s">
        <v>57</v>
      </c>
      <c r="AY1" s="33" t="s">
        <v>58</v>
      </c>
    </row>
    <row r="2" customFormat="false" ht="49.5" hidden="false" customHeight="true" outlineLevel="0" collapsed="false">
      <c r="A2" s="34" t="n">
        <v>1</v>
      </c>
      <c r="B2" s="35" t="s">
        <v>59</v>
      </c>
      <c r="C2" s="36" t="s">
        <v>60</v>
      </c>
      <c r="D2" s="36" t="s">
        <v>61</v>
      </c>
      <c r="E2" s="37" t="s">
        <v>62</v>
      </c>
      <c r="F2" s="38" t="n">
        <v>1</v>
      </c>
      <c r="G2" s="39" t="s">
        <v>63</v>
      </c>
      <c r="H2" s="36" t="s">
        <v>64</v>
      </c>
      <c r="I2" s="36" t="s">
        <v>65</v>
      </c>
      <c r="J2" s="36" t="s">
        <v>66</v>
      </c>
      <c r="K2" s="40" t="n">
        <v>2000</v>
      </c>
      <c r="L2" s="41"/>
      <c r="M2" s="35" t="s">
        <v>67</v>
      </c>
      <c r="N2" s="41"/>
      <c r="O2" s="35" t="s">
        <v>68</v>
      </c>
      <c r="P2" s="42" t="n">
        <v>3</v>
      </c>
      <c r="Q2" s="36"/>
      <c r="R2" s="43" t="s">
        <v>69</v>
      </c>
      <c r="S2" s="43" t="s">
        <v>70</v>
      </c>
      <c r="T2" s="35"/>
      <c r="U2" s="36"/>
      <c r="V2" s="44" t="s">
        <v>71</v>
      </c>
      <c r="W2" s="35" t="s">
        <v>72</v>
      </c>
      <c r="X2" s="43"/>
      <c r="Y2" s="43" t="s">
        <v>73</v>
      </c>
      <c r="Z2" s="35"/>
      <c r="AA2" s="45"/>
      <c r="AB2" s="36"/>
      <c r="AC2" s="35"/>
      <c r="AD2" s="35"/>
      <c r="AE2" s="35"/>
      <c r="AF2" s="36"/>
      <c r="AG2" s="35"/>
      <c r="AH2" s="44" t="s">
        <v>74</v>
      </c>
      <c r="AI2" s="43"/>
      <c r="AJ2" s="35"/>
      <c r="AK2" s="35"/>
      <c r="AL2" s="35"/>
      <c r="AM2" s="46"/>
      <c r="AN2" s="47"/>
      <c r="AO2" s="47"/>
      <c r="AP2" s="47"/>
      <c r="AQ2" s="35"/>
      <c r="AR2" s="36"/>
      <c r="AS2" s="43"/>
      <c r="AT2" s="36"/>
      <c r="AU2" s="43" t="s">
        <v>75</v>
      </c>
      <c r="AV2" s="35" t="s">
        <v>76</v>
      </c>
      <c r="AW2" s="44" t="s">
        <v>77</v>
      </c>
      <c r="AX2" s="43"/>
      <c r="AY2" s="47"/>
    </row>
    <row r="3" customFormat="false" ht="49.5" hidden="false" customHeight="true" outlineLevel="0" collapsed="false">
      <c r="A3" s="34" t="n">
        <v>2</v>
      </c>
      <c r="B3" s="35" t="s">
        <v>59</v>
      </c>
      <c r="C3" s="36" t="s">
        <v>60</v>
      </c>
      <c r="D3" s="36" t="s">
        <v>61</v>
      </c>
      <c r="E3" s="37" t="s">
        <v>78</v>
      </c>
      <c r="F3" s="38" t="n">
        <v>1</v>
      </c>
      <c r="G3" s="39" t="s">
        <v>79</v>
      </c>
      <c r="H3" s="36" t="s">
        <v>64</v>
      </c>
      <c r="I3" s="36" t="s">
        <v>80</v>
      </c>
      <c r="J3" s="36" t="s">
        <v>66</v>
      </c>
      <c r="K3" s="40" t="n">
        <v>2000</v>
      </c>
      <c r="L3" s="35"/>
      <c r="M3" s="35" t="s">
        <v>67</v>
      </c>
      <c r="N3" s="35"/>
      <c r="O3" s="35" t="s">
        <v>68</v>
      </c>
      <c r="P3" s="42" t="n">
        <v>3</v>
      </c>
      <c r="Q3" s="36"/>
      <c r="R3" s="43"/>
      <c r="S3" s="43" t="s">
        <v>81</v>
      </c>
      <c r="T3" s="35"/>
      <c r="U3" s="36"/>
      <c r="V3" s="44" t="s">
        <v>82</v>
      </c>
      <c r="W3" s="35" t="s">
        <v>83</v>
      </c>
      <c r="X3" s="43"/>
      <c r="Y3" s="43" t="s">
        <v>84</v>
      </c>
      <c r="Z3" s="35"/>
      <c r="AA3" s="45"/>
      <c r="AB3" s="36"/>
      <c r="AC3" s="35"/>
      <c r="AD3" s="35"/>
      <c r="AE3" s="35"/>
      <c r="AF3" s="36"/>
      <c r="AG3" s="35"/>
      <c r="AH3" s="44" t="s">
        <v>85</v>
      </c>
      <c r="AI3" s="43"/>
      <c r="AJ3" s="35"/>
      <c r="AK3" s="35"/>
      <c r="AL3" s="35"/>
      <c r="AM3" s="46"/>
      <c r="AN3" s="47"/>
      <c r="AO3" s="47"/>
      <c r="AP3" s="47"/>
      <c r="AQ3" s="35"/>
      <c r="AR3" s="36"/>
      <c r="AS3" s="43"/>
      <c r="AT3" s="36"/>
      <c r="AU3" s="43" t="s">
        <v>86</v>
      </c>
      <c r="AV3" s="35" t="s">
        <v>87</v>
      </c>
      <c r="AW3" s="44" t="s">
        <v>88</v>
      </c>
      <c r="AX3" s="43"/>
      <c r="AY3" s="47"/>
    </row>
    <row r="4" customFormat="false" ht="34.5" hidden="false" customHeight="true" outlineLevel="0" collapsed="false">
      <c r="A4" s="34" t="n">
        <v>3</v>
      </c>
      <c r="B4" s="35" t="s">
        <v>59</v>
      </c>
      <c r="C4" s="36" t="s">
        <v>60</v>
      </c>
      <c r="D4" s="36" t="s">
        <v>61</v>
      </c>
      <c r="E4" s="37" t="s">
        <v>78</v>
      </c>
      <c r="F4" s="38" t="n">
        <v>2</v>
      </c>
      <c r="G4" s="39" t="s">
        <v>89</v>
      </c>
      <c r="H4" s="36" t="s">
        <v>90</v>
      </c>
      <c r="I4" s="36" t="s">
        <v>80</v>
      </c>
      <c r="J4" s="36" t="s">
        <v>66</v>
      </c>
      <c r="K4" s="40" t="n">
        <v>2000</v>
      </c>
      <c r="L4" s="35"/>
      <c r="M4" s="35" t="s">
        <v>67</v>
      </c>
      <c r="N4" s="35"/>
      <c r="O4" s="35" t="s">
        <v>91</v>
      </c>
      <c r="P4" s="42" t="n">
        <v>2</v>
      </c>
      <c r="Q4" s="36"/>
      <c r="R4" s="43"/>
      <c r="S4" s="43" t="s">
        <v>70</v>
      </c>
      <c r="T4" s="35"/>
      <c r="U4" s="36"/>
      <c r="V4" s="44" t="s">
        <v>92</v>
      </c>
      <c r="W4" s="35" t="s">
        <v>93</v>
      </c>
      <c r="X4" s="43"/>
      <c r="Y4" s="43" t="s">
        <v>94</v>
      </c>
      <c r="Z4" s="35"/>
      <c r="AA4" s="45"/>
      <c r="AB4" s="36"/>
      <c r="AC4" s="35"/>
      <c r="AD4" s="35"/>
      <c r="AE4" s="35"/>
      <c r="AF4" s="36"/>
      <c r="AG4" s="35"/>
      <c r="AH4" s="43"/>
      <c r="AI4" s="43"/>
      <c r="AJ4" s="35"/>
      <c r="AK4" s="35"/>
      <c r="AL4" s="35"/>
      <c r="AM4" s="46"/>
      <c r="AN4" s="47"/>
      <c r="AO4" s="47"/>
      <c r="AP4" s="47"/>
      <c r="AQ4" s="35"/>
      <c r="AR4" s="36"/>
      <c r="AS4" s="43"/>
      <c r="AT4" s="36"/>
      <c r="AU4" s="43" t="s">
        <v>95</v>
      </c>
      <c r="AV4" s="35" t="s">
        <v>96</v>
      </c>
      <c r="AW4" s="44" t="s">
        <v>88</v>
      </c>
      <c r="AX4" s="43"/>
      <c r="AY4" s="47"/>
    </row>
    <row r="5" customFormat="false" ht="34.5" hidden="false" customHeight="true" outlineLevel="0" collapsed="false">
      <c r="A5" s="34" t="n">
        <v>4</v>
      </c>
      <c r="B5" s="35" t="s">
        <v>59</v>
      </c>
      <c r="C5" s="36" t="s">
        <v>60</v>
      </c>
      <c r="D5" s="36" t="s">
        <v>61</v>
      </c>
      <c r="E5" s="37" t="s">
        <v>78</v>
      </c>
      <c r="F5" s="38" t="n">
        <v>3</v>
      </c>
      <c r="G5" s="39" t="s">
        <v>97</v>
      </c>
      <c r="H5" s="36" t="s">
        <v>98</v>
      </c>
      <c r="I5" s="36" t="s">
        <v>65</v>
      </c>
      <c r="J5" s="36" t="s">
        <v>66</v>
      </c>
      <c r="K5" s="40" t="n">
        <v>2000</v>
      </c>
      <c r="L5" s="35"/>
      <c r="M5" s="35" t="s">
        <v>67</v>
      </c>
      <c r="N5" s="35"/>
      <c r="O5" s="35" t="s">
        <v>91</v>
      </c>
      <c r="P5" s="42" t="n">
        <v>4</v>
      </c>
      <c r="Q5" s="36"/>
      <c r="R5" s="43"/>
      <c r="S5" s="43"/>
      <c r="T5" s="35"/>
      <c r="U5" s="36"/>
      <c r="V5" s="44" t="s">
        <v>99</v>
      </c>
      <c r="W5" s="35" t="s">
        <v>100</v>
      </c>
      <c r="X5" s="44" t="s">
        <v>101</v>
      </c>
      <c r="Y5" s="43" t="s">
        <v>102</v>
      </c>
      <c r="Z5" s="35"/>
      <c r="AA5" s="45"/>
      <c r="AB5" s="36"/>
      <c r="AC5" s="35"/>
      <c r="AD5" s="35"/>
      <c r="AE5" s="35"/>
      <c r="AF5" s="36"/>
      <c r="AG5" s="35"/>
      <c r="AH5" s="43"/>
      <c r="AI5" s="43"/>
      <c r="AJ5" s="35"/>
      <c r="AK5" s="35"/>
      <c r="AL5" s="35"/>
      <c r="AM5" s="46"/>
      <c r="AN5" s="47"/>
      <c r="AO5" s="47"/>
      <c r="AP5" s="47"/>
      <c r="AQ5" s="35"/>
      <c r="AR5" s="36"/>
      <c r="AS5" s="43"/>
      <c r="AT5" s="36"/>
      <c r="AU5" s="43" t="s">
        <v>103</v>
      </c>
      <c r="AV5" s="35" t="s">
        <v>104</v>
      </c>
      <c r="AW5" s="44" t="s">
        <v>88</v>
      </c>
      <c r="AX5" s="43"/>
      <c r="AY5" s="47"/>
    </row>
    <row r="6" customFormat="false" ht="34.5" hidden="false" customHeight="true" outlineLevel="0" collapsed="false">
      <c r="A6" s="34" t="n">
        <v>5</v>
      </c>
      <c r="B6" s="35" t="s">
        <v>59</v>
      </c>
      <c r="C6" s="36" t="s">
        <v>60</v>
      </c>
      <c r="D6" s="36" t="s">
        <v>61</v>
      </c>
      <c r="E6" s="37" t="s">
        <v>78</v>
      </c>
      <c r="F6" s="38" t="n">
        <v>4</v>
      </c>
      <c r="G6" s="39" t="s">
        <v>105</v>
      </c>
      <c r="H6" s="36" t="s">
        <v>64</v>
      </c>
      <c r="I6" s="36" t="s">
        <v>65</v>
      </c>
      <c r="J6" s="36" t="s">
        <v>66</v>
      </c>
      <c r="K6" s="40" t="n">
        <v>1000</v>
      </c>
      <c r="L6" s="35"/>
      <c r="M6" s="35" t="s">
        <v>67</v>
      </c>
      <c r="N6" s="35"/>
      <c r="O6" s="35" t="s">
        <v>68</v>
      </c>
      <c r="P6" s="42" t="n">
        <v>3</v>
      </c>
      <c r="Q6" s="36"/>
      <c r="R6" s="43"/>
      <c r="S6" s="43"/>
      <c r="T6" s="35"/>
      <c r="U6" s="36"/>
      <c r="V6" s="44" t="s">
        <v>106</v>
      </c>
      <c r="W6" s="35" t="s">
        <v>107</v>
      </c>
      <c r="X6" s="43"/>
      <c r="Y6" s="43" t="s">
        <v>108</v>
      </c>
      <c r="Z6" s="35"/>
      <c r="AA6" s="45"/>
      <c r="AB6" s="36"/>
      <c r="AC6" s="35"/>
      <c r="AD6" s="35"/>
      <c r="AE6" s="35"/>
      <c r="AF6" s="36"/>
      <c r="AG6" s="35"/>
      <c r="AH6" s="43"/>
      <c r="AI6" s="43"/>
      <c r="AJ6" s="35"/>
      <c r="AK6" s="35"/>
      <c r="AL6" s="35"/>
      <c r="AM6" s="46"/>
      <c r="AN6" s="47"/>
      <c r="AO6" s="47"/>
      <c r="AP6" s="47"/>
      <c r="AQ6" s="35"/>
      <c r="AR6" s="36"/>
      <c r="AS6" s="43"/>
      <c r="AT6" s="36"/>
      <c r="AU6" s="43" t="s">
        <v>109</v>
      </c>
      <c r="AV6" s="35" t="s">
        <v>87</v>
      </c>
      <c r="AW6" s="44" t="s">
        <v>88</v>
      </c>
      <c r="AX6" s="43"/>
      <c r="AY6" s="47"/>
    </row>
    <row r="7" customFormat="false" ht="49.5" hidden="false" customHeight="true" outlineLevel="0" collapsed="false">
      <c r="A7" s="34" t="n">
        <v>6</v>
      </c>
      <c r="B7" s="35" t="s">
        <v>59</v>
      </c>
      <c r="C7" s="36" t="s">
        <v>60</v>
      </c>
      <c r="D7" s="36" t="s">
        <v>61</v>
      </c>
      <c r="E7" s="37" t="s">
        <v>110</v>
      </c>
      <c r="F7" s="38" t="n">
        <v>1</v>
      </c>
      <c r="G7" s="39" t="s">
        <v>111</v>
      </c>
      <c r="H7" s="36" t="s">
        <v>98</v>
      </c>
      <c r="I7" s="36" t="s">
        <v>65</v>
      </c>
      <c r="J7" s="36" t="s">
        <v>66</v>
      </c>
      <c r="K7" s="40" t="n">
        <v>1000</v>
      </c>
      <c r="L7" s="35"/>
      <c r="M7" s="35" t="s">
        <v>112</v>
      </c>
      <c r="N7" s="35"/>
      <c r="O7" s="35" t="s">
        <v>113</v>
      </c>
      <c r="P7" s="42" t="n">
        <v>3</v>
      </c>
      <c r="Q7" s="36"/>
      <c r="R7" s="43"/>
      <c r="S7" s="43" t="s">
        <v>114</v>
      </c>
      <c r="T7" s="35"/>
      <c r="U7" s="36"/>
      <c r="V7" s="44" t="s">
        <v>115</v>
      </c>
      <c r="W7" s="35" t="s">
        <v>116</v>
      </c>
      <c r="X7" s="43"/>
      <c r="Y7" s="43" t="s">
        <v>117</v>
      </c>
      <c r="Z7" s="35"/>
      <c r="AA7" s="45"/>
      <c r="AB7" s="36"/>
      <c r="AC7" s="35"/>
      <c r="AD7" s="35"/>
      <c r="AE7" s="35"/>
      <c r="AF7" s="36"/>
      <c r="AG7" s="35"/>
      <c r="AH7" s="44" t="s">
        <v>118</v>
      </c>
      <c r="AI7" s="43"/>
      <c r="AJ7" s="35"/>
      <c r="AK7" s="35"/>
      <c r="AL7" s="35"/>
      <c r="AM7" s="46"/>
      <c r="AN7" s="47"/>
      <c r="AO7" s="47"/>
      <c r="AP7" s="47"/>
      <c r="AQ7" s="35"/>
      <c r="AR7" s="36"/>
      <c r="AS7" s="43"/>
      <c r="AT7" s="36"/>
      <c r="AU7" s="43" t="s">
        <v>119</v>
      </c>
      <c r="AV7" s="35" t="s">
        <v>120</v>
      </c>
      <c r="AW7" s="44" t="s">
        <v>121</v>
      </c>
      <c r="AX7" s="43"/>
      <c r="AY7" s="47"/>
    </row>
    <row r="8" customFormat="false" ht="34.5" hidden="false" customHeight="true" outlineLevel="0" collapsed="false">
      <c r="A8" s="34" t="n">
        <v>7</v>
      </c>
      <c r="B8" s="35" t="s">
        <v>59</v>
      </c>
      <c r="C8" s="36" t="s">
        <v>60</v>
      </c>
      <c r="D8" s="36" t="s">
        <v>61</v>
      </c>
      <c r="E8" s="37" t="s">
        <v>110</v>
      </c>
      <c r="F8" s="38" t="n">
        <v>2</v>
      </c>
      <c r="G8" s="39" t="s">
        <v>122</v>
      </c>
      <c r="H8" s="36" t="s">
        <v>64</v>
      </c>
      <c r="I8" s="36" t="s">
        <v>65</v>
      </c>
      <c r="J8" s="36" t="s">
        <v>66</v>
      </c>
      <c r="K8" s="40" t="n">
        <v>4000</v>
      </c>
      <c r="L8" s="35"/>
      <c r="M8" s="35" t="s">
        <v>112</v>
      </c>
      <c r="N8" s="35"/>
      <c r="O8" s="35" t="s">
        <v>68</v>
      </c>
      <c r="P8" s="42" t="n">
        <v>3</v>
      </c>
      <c r="Q8" s="36"/>
      <c r="R8" s="43"/>
      <c r="S8" s="43"/>
      <c r="T8" s="35"/>
      <c r="U8" s="36"/>
      <c r="V8" s="44" t="s">
        <v>123</v>
      </c>
      <c r="W8" s="35" t="s">
        <v>72</v>
      </c>
      <c r="X8" s="43"/>
      <c r="Y8" s="43" t="s">
        <v>124</v>
      </c>
      <c r="Z8" s="35"/>
      <c r="AA8" s="45"/>
      <c r="AB8" s="36"/>
      <c r="AC8" s="35"/>
      <c r="AD8" s="35"/>
      <c r="AE8" s="35"/>
      <c r="AF8" s="36"/>
      <c r="AG8" s="35"/>
      <c r="AH8" s="43"/>
      <c r="AI8" s="43"/>
      <c r="AJ8" s="35"/>
      <c r="AK8" s="35"/>
      <c r="AL8" s="35"/>
      <c r="AM8" s="46"/>
      <c r="AN8" s="47"/>
      <c r="AO8" s="47"/>
      <c r="AP8" s="47"/>
      <c r="AQ8" s="35"/>
      <c r="AR8" s="36"/>
      <c r="AS8" s="43"/>
      <c r="AT8" s="36"/>
      <c r="AU8" s="43" t="s">
        <v>125</v>
      </c>
      <c r="AV8" s="35" t="s">
        <v>87</v>
      </c>
      <c r="AW8" s="44" t="s">
        <v>121</v>
      </c>
      <c r="AX8" s="43"/>
      <c r="AY8" s="47"/>
    </row>
    <row r="9" customFormat="false" ht="49.5" hidden="false" customHeight="true" outlineLevel="0" collapsed="false">
      <c r="A9" s="34" t="n">
        <v>8</v>
      </c>
      <c r="B9" s="35" t="s">
        <v>59</v>
      </c>
      <c r="C9" s="36" t="s">
        <v>60</v>
      </c>
      <c r="D9" s="36" t="s">
        <v>61</v>
      </c>
      <c r="E9" s="37" t="s">
        <v>126</v>
      </c>
      <c r="F9" s="38" t="n">
        <v>1</v>
      </c>
      <c r="G9" s="39" t="s">
        <v>111</v>
      </c>
      <c r="H9" s="36" t="s">
        <v>127</v>
      </c>
      <c r="I9" s="36" t="s">
        <v>65</v>
      </c>
      <c r="J9" s="36" t="s">
        <v>66</v>
      </c>
      <c r="K9" s="40" t="n">
        <v>1000</v>
      </c>
      <c r="L9" s="35"/>
      <c r="M9" s="35" t="s">
        <v>112</v>
      </c>
      <c r="N9" s="35"/>
      <c r="O9" s="35" t="s">
        <v>113</v>
      </c>
      <c r="P9" s="42" t="n">
        <v>3</v>
      </c>
      <c r="Q9" s="36"/>
      <c r="R9" s="43" t="s">
        <v>69</v>
      </c>
      <c r="S9" s="43" t="s">
        <v>114</v>
      </c>
      <c r="T9" s="35"/>
      <c r="U9" s="36"/>
      <c r="V9" s="44" t="s">
        <v>115</v>
      </c>
      <c r="W9" s="35" t="s">
        <v>116</v>
      </c>
      <c r="X9" s="43"/>
      <c r="Y9" s="43" t="s">
        <v>128</v>
      </c>
      <c r="Z9" s="35"/>
      <c r="AA9" s="45"/>
      <c r="AB9" s="36"/>
      <c r="AC9" s="35"/>
      <c r="AD9" s="35"/>
      <c r="AE9" s="35"/>
      <c r="AF9" s="36"/>
      <c r="AG9" s="35"/>
      <c r="AH9" s="44" t="s">
        <v>118</v>
      </c>
      <c r="AI9" s="43"/>
      <c r="AJ9" s="35"/>
      <c r="AK9" s="35"/>
      <c r="AL9" s="35"/>
      <c r="AM9" s="46"/>
      <c r="AN9" s="47"/>
      <c r="AO9" s="47"/>
      <c r="AP9" s="47"/>
      <c r="AQ9" s="35"/>
      <c r="AR9" s="36"/>
      <c r="AS9" s="43"/>
      <c r="AT9" s="36"/>
      <c r="AU9" s="43" t="s">
        <v>129</v>
      </c>
      <c r="AV9" s="35" t="s">
        <v>120</v>
      </c>
      <c r="AW9" s="44" t="s">
        <v>130</v>
      </c>
      <c r="AX9" s="43"/>
      <c r="AY9" s="47"/>
    </row>
    <row r="10" customFormat="false" ht="49.5" hidden="false" customHeight="true" outlineLevel="0" collapsed="false">
      <c r="A10" s="34" t="n">
        <v>9</v>
      </c>
      <c r="B10" s="35" t="s">
        <v>59</v>
      </c>
      <c r="C10" s="36" t="s">
        <v>60</v>
      </c>
      <c r="D10" s="36" t="s">
        <v>61</v>
      </c>
      <c r="E10" s="37" t="s">
        <v>131</v>
      </c>
      <c r="F10" s="38" t="n">
        <v>1</v>
      </c>
      <c r="G10" s="39" t="s">
        <v>132</v>
      </c>
      <c r="H10" s="36" t="s">
        <v>98</v>
      </c>
      <c r="I10" s="36" t="s">
        <v>80</v>
      </c>
      <c r="J10" s="36" t="s">
        <v>66</v>
      </c>
      <c r="K10" s="40" t="n">
        <v>1000</v>
      </c>
      <c r="L10" s="35"/>
      <c r="M10" s="35" t="s">
        <v>67</v>
      </c>
      <c r="N10" s="35"/>
      <c r="O10" s="35" t="s">
        <v>113</v>
      </c>
      <c r="P10" s="42" t="n">
        <v>3</v>
      </c>
      <c r="Q10" s="36"/>
      <c r="R10" s="43"/>
      <c r="S10" s="43" t="s">
        <v>133</v>
      </c>
      <c r="T10" s="35"/>
      <c r="U10" s="36"/>
      <c r="V10" s="44" t="s">
        <v>134</v>
      </c>
      <c r="W10" s="35" t="s">
        <v>135</v>
      </c>
      <c r="X10" s="43"/>
      <c r="Y10" s="43" t="s">
        <v>131</v>
      </c>
      <c r="Z10" s="35"/>
      <c r="AA10" s="45"/>
      <c r="AB10" s="36"/>
      <c r="AC10" s="35"/>
      <c r="AD10" s="35"/>
      <c r="AE10" s="35"/>
      <c r="AF10" s="36"/>
      <c r="AG10" s="35"/>
      <c r="AH10" s="44" t="s">
        <v>136</v>
      </c>
      <c r="AI10" s="43"/>
      <c r="AJ10" s="35"/>
      <c r="AK10" s="35"/>
      <c r="AL10" s="35"/>
      <c r="AM10" s="46"/>
      <c r="AN10" s="47"/>
      <c r="AO10" s="47"/>
      <c r="AP10" s="47"/>
      <c r="AQ10" s="35"/>
      <c r="AR10" s="36"/>
      <c r="AS10" s="43"/>
      <c r="AT10" s="36"/>
      <c r="AU10" s="43" t="s">
        <v>137</v>
      </c>
      <c r="AV10" s="35" t="s">
        <v>120</v>
      </c>
      <c r="AW10" s="44" t="s">
        <v>138</v>
      </c>
      <c r="AX10" s="43"/>
      <c r="AY10" s="47"/>
    </row>
    <row r="11" customFormat="false" ht="34.5" hidden="false" customHeight="true" outlineLevel="0" collapsed="false">
      <c r="A11" s="34" t="n">
        <v>10</v>
      </c>
      <c r="B11" s="35" t="s">
        <v>59</v>
      </c>
      <c r="C11" s="36" t="s">
        <v>60</v>
      </c>
      <c r="D11" s="36" t="s">
        <v>61</v>
      </c>
      <c r="E11" s="37" t="s">
        <v>131</v>
      </c>
      <c r="F11" s="38" t="n">
        <v>2</v>
      </c>
      <c r="G11" s="39" t="s">
        <v>139</v>
      </c>
      <c r="H11" s="36" t="s">
        <v>98</v>
      </c>
      <c r="I11" s="36" t="s">
        <v>80</v>
      </c>
      <c r="J11" s="36" t="s">
        <v>66</v>
      </c>
      <c r="K11" s="40" t="n">
        <v>1000</v>
      </c>
      <c r="L11" s="35"/>
      <c r="M11" s="35" t="s">
        <v>67</v>
      </c>
      <c r="N11" s="35"/>
      <c r="O11" s="35" t="s">
        <v>68</v>
      </c>
      <c r="P11" s="42" t="n">
        <v>3</v>
      </c>
      <c r="Q11" s="36"/>
      <c r="R11" s="43"/>
      <c r="S11" s="43"/>
      <c r="T11" s="35"/>
      <c r="U11" s="36"/>
      <c r="V11" s="44" t="s">
        <v>140</v>
      </c>
      <c r="W11" s="35" t="s">
        <v>141</v>
      </c>
      <c r="X11" s="43"/>
      <c r="Y11" s="43" t="s">
        <v>131</v>
      </c>
      <c r="Z11" s="35"/>
      <c r="AA11" s="45"/>
      <c r="AB11" s="36"/>
      <c r="AC11" s="35"/>
      <c r="AD11" s="35"/>
      <c r="AE11" s="35"/>
      <c r="AF11" s="36"/>
      <c r="AG11" s="35"/>
      <c r="AH11" s="43"/>
      <c r="AI11" s="43"/>
      <c r="AJ11" s="35"/>
      <c r="AK11" s="35"/>
      <c r="AL11" s="35"/>
      <c r="AM11" s="46"/>
      <c r="AN11" s="47"/>
      <c r="AO11" s="47"/>
      <c r="AP11" s="47"/>
      <c r="AQ11" s="35"/>
      <c r="AR11" s="36"/>
      <c r="AS11" s="43"/>
      <c r="AT11" s="36"/>
      <c r="AU11" s="43" t="s">
        <v>142</v>
      </c>
      <c r="AV11" s="35" t="s">
        <v>87</v>
      </c>
      <c r="AW11" s="44" t="s">
        <v>138</v>
      </c>
      <c r="AX11" s="43"/>
      <c r="AY11" s="47"/>
    </row>
    <row r="12" customFormat="false" ht="49.5" hidden="false" customHeight="true" outlineLevel="0" collapsed="false">
      <c r="A12" s="34" t="n">
        <v>11</v>
      </c>
      <c r="B12" s="35" t="s">
        <v>59</v>
      </c>
      <c r="C12" s="36" t="s">
        <v>60</v>
      </c>
      <c r="D12" s="36" t="s">
        <v>61</v>
      </c>
      <c r="E12" s="37" t="s">
        <v>131</v>
      </c>
      <c r="F12" s="38" t="n">
        <v>3</v>
      </c>
      <c r="G12" s="39" t="s">
        <v>143</v>
      </c>
      <c r="H12" s="36" t="s">
        <v>98</v>
      </c>
      <c r="I12" s="36" t="s">
        <v>65</v>
      </c>
      <c r="J12" s="36" t="s">
        <v>66</v>
      </c>
      <c r="K12" s="40" t="n">
        <v>1000</v>
      </c>
      <c r="L12" s="35"/>
      <c r="M12" s="35" t="s">
        <v>67</v>
      </c>
      <c r="N12" s="35"/>
      <c r="O12" s="35" t="s">
        <v>144</v>
      </c>
      <c r="P12" s="42" t="n">
        <v>5</v>
      </c>
      <c r="Q12" s="36"/>
      <c r="R12" s="43"/>
      <c r="S12" s="43" t="s">
        <v>70</v>
      </c>
      <c r="T12" s="35"/>
      <c r="U12" s="36"/>
      <c r="V12" s="43" t="s">
        <v>145</v>
      </c>
      <c r="W12" s="35" t="s">
        <v>146</v>
      </c>
      <c r="X12" s="43"/>
      <c r="Y12" s="43" t="s">
        <v>147</v>
      </c>
      <c r="Z12" s="35"/>
      <c r="AA12" s="45"/>
      <c r="AB12" s="36"/>
      <c r="AC12" s="35"/>
      <c r="AD12" s="35"/>
      <c r="AE12" s="35"/>
      <c r="AF12" s="36"/>
      <c r="AG12" s="35"/>
      <c r="AH12" s="43"/>
      <c r="AI12" s="43"/>
      <c r="AJ12" s="35"/>
      <c r="AK12" s="35"/>
      <c r="AL12" s="35"/>
      <c r="AM12" s="46"/>
      <c r="AN12" s="47"/>
      <c r="AO12" s="47"/>
      <c r="AP12" s="47"/>
      <c r="AQ12" s="35"/>
      <c r="AR12" s="36"/>
      <c r="AS12" s="43"/>
      <c r="AT12" s="36"/>
      <c r="AU12" s="43" t="s">
        <v>148</v>
      </c>
      <c r="AV12" s="35" t="s">
        <v>149</v>
      </c>
      <c r="AW12" s="44" t="s">
        <v>138</v>
      </c>
      <c r="AX12" s="43"/>
      <c r="AY12" s="47"/>
    </row>
    <row r="13" customFormat="false" ht="49.5" hidden="false" customHeight="true" outlineLevel="0" collapsed="false">
      <c r="A13" s="34" t="n">
        <v>12</v>
      </c>
      <c r="B13" s="35" t="s">
        <v>59</v>
      </c>
      <c r="C13" s="36" t="s">
        <v>60</v>
      </c>
      <c r="D13" s="36" t="s">
        <v>61</v>
      </c>
      <c r="E13" s="37" t="s">
        <v>131</v>
      </c>
      <c r="F13" s="38" t="n">
        <v>4</v>
      </c>
      <c r="G13" s="39" t="s">
        <v>150</v>
      </c>
      <c r="H13" s="36" t="s">
        <v>64</v>
      </c>
      <c r="I13" s="36" t="s">
        <v>65</v>
      </c>
      <c r="J13" s="36" t="s">
        <v>66</v>
      </c>
      <c r="K13" s="40" t="n">
        <v>1000</v>
      </c>
      <c r="L13" s="35"/>
      <c r="M13" s="35" t="s">
        <v>67</v>
      </c>
      <c r="N13" s="35"/>
      <c r="O13" s="35" t="s">
        <v>144</v>
      </c>
      <c r="P13" s="42" t="n">
        <v>3</v>
      </c>
      <c r="Q13" s="36"/>
      <c r="R13" s="43"/>
      <c r="S13" s="43"/>
      <c r="T13" s="35"/>
      <c r="U13" s="36"/>
      <c r="V13" s="43" t="s">
        <v>151</v>
      </c>
      <c r="W13" s="35" t="s">
        <v>152</v>
      </c>
      <c r="X13" s="43"/>
      <c r="Y13" s="43" t="s">
        <v>147</v>
      </c>
      <c r="Z13" s="35"/>
      <c r="AA13" s="45"/>
      <c r="AB13" s="36"/>
      <c r="AC13" s="35"/>
      <c r="AD13" s="35"/>
      <c r="AE13" s="35"/>
      <c r="AF13" s="36"/>
      <c r="AG13" s="35"/>
      <c r="AH13" s="43"/>
      <c r="AI13" s="43"/>
      <c r="AJ13" s="35"/>
      <c r="AK13" s="35"/>
      <c r="AL13" s="35"/>
      <c r="AM13" s="46"/>
      <c r="AN13" s="47"/>
      <c r="AO13" s="47"/>
      <c r="AP13" s="47"/>
      <c r="AQ13" s="35"/>
      <c r="AR13" s="36"/>
      <c r="AS13" s="43"/>
      <c r="AT13" s="36"/>
      <c r="AU13" s="43" t="s">
        <v>153</v>
      </c>
      <c r="AV13" s="35" t="s">
        <v>154</v>
      </c>
      <c r="AW13" s="44" t="s">
        <v>138</v>
      </c>
      <c r="AX13" s="43"/>
      <c r="AY13" s="47"/>
    </row>
    <row r="14" customFormat="false" ht="49.5" hidden="false" customHeight="true" outlineLevel="0" collapsed="false">
      <c r="A14" s="34" t="n">
        <v>13</v>
      </c>
      <c r="B14" s="35" t="s">
        <v>59</v>
      </c>
      <c r="C14" s="36" t="s">
        <v>60</v>
      </c>
      <c r="D14" s="36" t="s">
        <v>61</v>
      </c>
      <c r="E14" s="37" t="s">
        <v>155</v>
      </c>
      <c r="F14" s="38" t="n">
        <v>1</v>
      </c>
      <c r="G14" s="39" t="s">
        <v>79</v>
      </c>
      <c r="H14" s="36" t="s">
        <v>64</v>
      </c>
      <c r="I14" s="36" t="s">
        <v>80</v>
      </c>
      <c r="J14" s="36" t="s">
        <v>66</v>
      </c>
      <c r="K14" s="40" t="n">
        <v>2000</v>
      </c>
      <c r="L14" s="35"/>
      <c r="M14" s="35" t="s">
        <v>67</v>
      </c>
      <c r="N14" s="35"/>
      <c r="O14" s="35" t="s">
        <v>68</v>
      </c>
      <c r="P14" s="42" t="n">
        <v>3</v>
      </c>
      <c r="Q14" s="36"/>
      <c r="R14" s="43"/>
      <c r="S14" s="43" t="s">
        <v>81</v>
      </c>
      <c r="T14" s="35"/>
      <c r="U14" s="36"/>
      <c r="V14" s="44" t="s">
        <v>82</v>
      </c>
      <c r="W14" s="35" t="s">
        <v>83</v>
      </c>
      <c r="X14" s="43"/>
      <c r="Y14" s="43" t="s">
        <v>156</v>
      </c>
      <c r="Z14" s="35"/>
      <c r="AA14" s="45"/>
      <c r="AB14" s="36"/>
      <c r="AC14" s="35"/>
      <c r="AD14" s="35"/>
      <c r="AE14" s="35"/>
      <c r="AF14" s="36"/>
      <c r="AG14" s="35"/>
      <c r="AH14" s="44" t="s">
        <v>85</v>
      </c>
      <c r="AI14" s="43"/>
      <c r="AJ14" s="35"/>
      <c r="AK14" s="35"/>
      <c r="AL14" s="35"/>
      <c r="AM14" s="46"/>
      <c r="AN14" s="47"/>
      <c r="AO14" s="47"/>
      <c r="AP14" s="47"/>
      <c r="AQ14" s="35"/>
      <c r="AR14" s="36"/>
      <c r="AS14" s="43"/>
      <c r="AT14" s="36"/>
      <c r="AU14" s="43" t="s">
        <v>157</v>
      </c>
      <c r="AV14" s="35" t="s">
        <v>87</v>
      </c>
      <c r="AW14" s="44" t="s">
        <v>158</v>
      </c>
      <c r="AX14" s="43"/>
      <c r="AY14" s="47"/>
    </row>
    <row r="15" customFormat="false" ht="34.5" hidden="false" customHeight="true" outlineLevel="0" collapsed="false">
      <c r="A15" s="34" t="n">
        <v>14</v>
      </c>
      <c r="B15" s="35" t="s">
        <v>59</v>
      </c>
      <c r="C15" s="36" t="s">
        <v>60</v>
      </c>
      <c r="D15" s="36" t="s">
        <v>61</v>
      </c>
      <c r="E15" s="37" t="s">
        <v>155</v>
      </c>
      <c r="F15" s="38" t="n">
        <v>2</v>
      </c>
      <c r="G15" s="39" t="s">
        <v>159</v>
      </c>
      <c r="H15" s="36" t="s">
        <v>64</v>
      </c>
      <c r="I15" s="36" t="s">
        <v>80</v>
      </c>
      <c r="J15" s="36" t="s">
        <v>66</v>
      </c>
      <c r="K15" s="40" t="n">
        <v>4000</v>
      </c>
      <c r="L15" s="35"/>
      <c r="M15" s="35" t="s">
        <v>67</v>
      </c>
      <c r="N15" s="35"/>
      <c r="O15" s="35" t="s">
        <v>68</v>
      </c>
      <c r="P15" s="42" t="n">
        <v>3</v>
      </c>
      <c r="Q15" s="36"/>
      <c r="R15" s="43"/>
      <c r="S15" s="43"/>
      <c r="T15" s="35"/>
      <c r="U15" s="36"/>
      <c r="V15" s="44" t="s">
        <v>160</v>
      </c>
      <c r="W15" s="35" t="s">
        <v>161</v>
      </c>
      <c r="X15" s="43"/>
      <c r="Y15" s="43" t="s">
        <v>155</v>
      </c>
      <c r="Z15" s="35"/>
      <c r="AA15" s="45"/>
      <c r="AB15" s="36"/>
      <c r="AC15" s="35"/>
      <c r="AD15" s="35"/>
      <c r="AE15" s="35"/>
      <c r="AF15" s="36"/>
      <c r="AG15" s="35"/>
      <c r="AH15" s="43"/>
      <c r="AI15" s="43"/>
      <c r="AJ15" s="35"/>
      <c r="AK15" s="35"/>
      <c r="AL15" s="35"/>
      <c r="AM15" s="46"/>
      <c r="AN15" s="47"/>
      <c r="AO15" s="47"/>
      <c r="AP15" s="47"/>
      <c r="AQ15" s="35"/>
      <c r="AR15" s="36"/>
      <c r="AS15" s="43"/>
      <c r="AT15" s="36"/>
      <c r="AU15" s="43" t="s">
        <v>162</v>
      </c>
      <c r="AV15" s="35" t="s">
        <v>87</v>
      </c>
      <c r="AW15" s="44" t="s">
        <v>158</v>
      </c>
      <c r="AX15" s="43"/>
      <c r="AY15" s="47"/>
    </row>
    <row r="16" customFormat="false" ht="34.5" hidden="false" customHeight="true" outlineLevel="0" collapsed="false">
      <c r="A16" s="34" t="n">
        <v>15</v>
      </c>
      <c r="B16" s="35" t="s">
        <v>59</v>
      </c>
      <c r="C16" s="36" t="s">
        <v>60</v>
      </c>
      <c r="D16" s="36" t="s">
        <v>61</v>
      </c>
      <c r="E16" s="37" t="s">
        <v>155</v>
      </c>
      <c r="F16" s="38" t="n">
        <v>3</v>
      </c>
      <c r="G16" s="39" t="s">
        <v>163</v>
      </c>
      <c r="H16" s="36" t="s">
        <v>64</v>
      </c>
      <c r="I16" s="36" t="s">
        <v>80</v>
      </c>
      <c r="J16" s="36" t="s">
        <v>66</v>
      </c>
      <c r="K16" s="40" t="n">
        <v>2000</v>
      </c>
      <c r="L16" s="35"/>
      <c r="M16" s="35" t="s">
        <v>67</v>
      </c>
      <c r="N16" s="35"/>
      <c r="O16" s="35" t="s">
        <v>68</v>
      </c>
      <c r="P16" s="42" t="n">
        <v>2</v>
      </c>
      <c r="Q16" s="36"/>
      <c r="R16" s="43"/>
      <c r="S16" s="43"/>
      <c r="T16" s="35"/>
      <c r="U16" s="36"/>
      <c r="V16" s="44" t="s">
        <v>164</v>
      </c>
      <c r="W16" s="35" t="s">
        <v>165</v>
      </c>
      <c r="X16" s="43"/>
      <c r="Y16" s="43" t="s">
        <v>155</v>
      </c>
      <c r="Z16" s="35"/>
      <c r="AA16" s="45"/>
      <c r="AB16" s="36"/>
      <c r="AC16" s="35"/>
      <c r="AD16" s="35"/>
      <c r="AE16" s="35"/>
      <c r="AF16" s="36"/>
      <c r="AG16" s="35"/>
      <c r="AH16" s="43"/>
      <c r="AI16" s="43"/>
      <c r="AJ16" s="35"/>
      <c r="AK16" s="35"/>
      <c r="AL16" s="35"/>
      <c r="AM16" s="46"/>
      <c r="AN16" s="47"/>
      <c r="AO16" s="47"/>
      <c r="AP16" s="47"/>
      <c r="AQ16" s="35"/>
      <c r="AR16" s="36"/>
      <c r="AS16" s="43"/>
      <c r="AT16" s="36"/>
      <c r="AU16" s="43" t="s">
        <v>166</v>
      </c>
      <c r="AV16" s="35" t="s">
        <v>167</v>
      </c>
      <c r="AW16" s="44" t="s">
        <v>158</v>
      </c>
      <c r="AX16" s="43"/>
      <c r="AY16" s="47"/>
    </row>
    <row r="17" customFormat="false" ht="34.5" hidden="false" customHeight="true" outlineLevel="0" collapsed="false">
      <c r="A17" s="34" t="n">
        <v>16</v>
      </c>
      <c r="B17" s="35" t="s">
        <v>59</v>
      </c>
      <c r="C17" s="36" t="s">
        <v>60</v>
      </c>
      <c r="D17" s="36" t="s">
        <v>61</v>
      </c>
      <c r="E17" s="37" t="s">
        <v>155</v>
      </c>
      <c r="F17" s="38" t="n">
        <v>4</v>
      </c>
      <c r="G17" s="39" t="s">
        <v>97</v>
      </c>
      <c r="H17" s="36" t="s">
        <v>98</v>
      </c>
      <c r="I17" s="36" t="s">
        <v>65</v>
      </c>
      <c r="J17" s="36" t="s">
        <v>66</v>
      </c>
      <c r="K17" s="40" t="n">
        <v>2000</v>
      </c>
      <c r="L17" s="35"/>
      <c r="M17" s="35" t="s">
        <v>67</v>
      </c>
      <c r="N17" s="35"/>
      <c r="O17" s="35" t="s">
        <v>91</v>
      </c>
      <c r="P17" s="42" t="n">
        <v>4</v>
      </c>
      <c r="Q17" s="36"/>
      <c r="R17" s="43"/>
      <c r="S17" s="43"/>
      <c r="T17" s="35"/>
      <c r="U17" s="36"/>
      <c r="V17" s="44" t="s">
        <v>99</v>
      </c>
      <c r="W17" s="35" t="s">
        <v>100</v>
      </c>
      <c r="X17" s="44" t="s">
        <v>101</v>
      </c>
      <c r="Y17" s="43" t="s">
        <v>84</v>
      </c>
      <c r="Z17" s="35"/>
      <c r="AA17" s="45"/>
      <c r="AB17" s="36"/>
      <c r="AC17" s="35"/>
      <c r="AD17" s="35"/>
      <c r="AE17" s="35"/>
      <c r="AF17" s="36"/>
      <c r="AG17" s="35"/>
      <c r="AH17" s="43"/>
      <c r="AI17" s="43"/>
      <c r="AJ17" s="35"/>
      <c r="AK17" s="35"/>
      <c r="AL17" s="35"/>
      <c r="AM17" s="46"/>
      <c r="AN17" s="47"/>
      <c r="AO17" s="47"/>
      <c r="AP17" s="47"/>
      <c r="AQ17" s="35"/>
      <c r="AR17" s="36"/>
      <c r="AS17" s="43"/>
      <c r="AT17" s="36"/>
      <c r="AU17" s="43" t="s">
        <v>103</v>
      </c>
      <c r="AV17" s="35" t="s">
        <v>104</v>
      </c>
      <c r="AW17" s="44" t="s">
        <v>158</v>
      </c>
      <c r="AX17" s="43"/>
      <c r="AY17" s="47"/>
    </row>
    <row r="18" customFormat="false" ht="49.5" hidden="false" customHeight="true" outlineLevel="0" collapsed="false">
      <c r="A18" s="34" t="n">
        <v>17</v>
      </c>
      <c r="B18" s="35" t="s">
        <v>59</v>
      </c>
      <c r="C18" s="36" t="s">
        <v>60</v>
      </c>
      <c r="D18" s="36" t="s">
        <v>61</v>
      </c>
      <c r="E18" s="37" t="s">
        <v>168</v>
      </c>
      <c r="F18" s="38" t="n">
        <v>1</v>
      </c>
      <c r="G18" s="39" t="s">
        <v>89</v>
      </c>
      <c r="H18" s="36" t="s">
        <v>90</v>
      </c>
      <c r="I18" s="36" t="s">
        <v>80</v>
      </c>
      <c r="J18" s="36" t="s">
        <v>66</v>
      </c>
      <c r="K18" s="40" t="n">
        <v>2000</v>
      </c>
      <c r="L18" s="35"/>
      <c r="M18" s="35" t="s">
        <v>67</v>
      </c>
      <c r="N18" s="35"/>
      <c r="O18" s="35" t="s">
        <v>91</v>
      </c>
      <c r="P18" s="42" t="n">
        <v>2</v>
      </c>
      <c r="Q18" s="36"/>
      <c r="R18" s="43"/>
      <c r="S18" s="43" t="s">
        <v>70</v>
      </c>
      <c r="T18" s="35"/>
      <c r="U18" s="36"/>
      <c r="V18" s="44" t="s">
        <v>92</v>
      </c>
      <c r="W18" s="35" t="s">
        <v>93</v>
      </c>
      <c r="X18" s="43"/>
      <c r="Y18" s="43" t="s">
        <v>169</v>
      </c>
      <c r="Z18" s="35"/>
      <c r="AA18" s="45"/>
      <c r="AB18" s="36"/>
      <c r="AC18" s="35"/>
      <c r="AD18" s="35"/>
      <c r="AE18" s="35"/>
      <c r="AF18" s="36"/>
      <c r="AG18" s="35"/>
      <c r="AH18" s="44" t="s">
        <v>170</v>
      </c>
      <c r="AI18" s="43"/>
      <c r="AJ18" s="35"/>
      <c r="AK18" s="35"/>
      <c r="AL18" s="35"/>
      <c r="AM18" s="46"/>
      <c r="AN18" s="47"/>
      <c r="AO18" s="47"/>
      <c r="AP18" s="47"/>
      <c r="AQ18" s="35"/>
      <c r="AR18" s="36"/>
      <c r="AS18" s="43"/>
      <c r="AT18" s="36"/>
      <c r="AU18" s="43" t="s">
        <v>95</v>
      </c>
      <c r="AV18" s="35" t="s">
        <v>96</v>
      </c>
      <c r="AW18" s="44" t="s">
        <v>171</v>
      </c>
      <c r="AX18" s="43"/>
      <c r="AY18" s="47"/>
    </row>
    <row r="19" customFormat="false" ht="49.5" hidden="false" customHeight="true" outlineLevel="0" collapsed="false">
      <c r="A19" s="34" t="n">
        <v>18</v>
      </c>
      <c r="B19" s="35" t="s">
        <v>59</v>
      </c>
      <c r="C19" s="36" t="s">
        <v>60</v>
      </c>
      <c r="D19" s="36" t="s">
        <v>61</v>
      </c>
      <c r="E19" s="37" t="s">
        <v>168</v>
      </c>
      <c r="F19" s="38" t="n">
        <v>2</v>
      </c>
      <c r="G19" s="39" t="s">
        <v>172</v>
      </c>
      <c r="H19" s="36" t="s">
        <v>173</v>
      </c>
      <c r="I19" s="36" t="s">
        <v>80</v>
      </c>
      <c r="J19" s="36" t="s">
        <v>66</v>
      </c>
      <c r="K19" s="40"/>
      <c r="L19" s="35"/>
      <c r="M19" s="35"/>
      <c r="N19" s="35"/>
      <c r="O19" s="35"/>
      <c r="P19" s="42"/>
      <c r="Q19" s="36"/>
      <c r="R19" s="43" t="s">
        <v>174</v>
      </c>
      <c r="S19" s="43" t="s">
        <v>70</v>
      </c>
      <c r="T19" s="35"/>
      <c r="U19" s="36"/>
      <c r="V19" s="43" t="s">
        <v>175</v>
      </c>
      <c r="W19" s="35" t="s">
        <v>176</v>
      </c>
      <c r="X19" s="43"/>
      <c r="Y19" s="43" t="s">
        <v>168</v>
      </c>
      <c r="Z19" s="35"/>
      <c r="AA19" s="45"/>
      <c r="AB19" s="36"/>
      <c r="AC19" s="35"/>
      <c r="AD19" s="35"/>
      <c r="AE19" s="35"/>
      <c r="AF19" s="36"/>
      <c r="AG19" s="35"/>
      <c r="AH19" s="43"/>
      <c r="AI19" s="43"/>
      <c r="AJ19" s="35"/>
      <c r="AK19" s="35"/>
      <c r="AL19" s="35"/>
      <c r="AM19" s="46"/>
      <c r="AN19" s="47"/>
      <c r="AO19" s="47"/>
      <c r="AP19" s="47"/>
      <c r="AQ19" s="35"/>
      <c r="AR19" s="36"/>
      <c r="AS19" s="43"/>
      <c r="AT19" s="36"/>
      <c r="AU19" s="43" t="s">
        <v>177</v>
      </c>
      <c r="AV19" s="41" t="s">
        <v>178</v>
      </c>
      <c r="AW19" s="44" t="s">
        <v>171</v>
      </c>
      <c r="AX19" s="43"/>
      <c r="AY19" s="47"/>
    </row>
    <row r="20" customFormat="false" ht="49.5" hidden="false" customHeight="true" outlineLevel="0" collapsed="false">
      <c r="A20" s="34" t="n">
        <v>19</v>
      </c>
      <c r="B20" s="35" t="s">
        <v>59</v>
      </c>
      <c r="C20" s="36" t="s">
        <v>60</v>
      </c>
      <c r="D20" s="36" t="s">
        <v>61</v>
      </c>
      <c r="E20" s="37" t="s">
        <v>168</v>
      </c>
      <c r="F20" s="38" t="n">
        <v>3</v>
      </c>
      <c r="G20" s="39" t="s">
        <v>179</v>
      </c>
      <c r="H20" s="36"/>
      <c r="I20" s="36" t="s">
        <v>80</v>
      </c>
      <c r="J20" s="36" t="s">
        <v>66</v>
      </c>
      <c r="K20" s="40"/>
      <c r="L20" s="35"/>
      <c r="M20" s="35"/>
      <c r="N20" s="35"/>
      <c r="O20" s="35"/>
      <c r="P20" s="42"/>
      <c r="Q20" s="36"/>
      <c r="R20" s="43" t="s">
        <v>174</v>
      </c>
      <c r="S20" s="43"/>
      <c r="T20" s="35"/>
      <c r="U20" s="36"/>
      <c r="V20" s="43" t="s">
        <v>180</v>
      </c>
      <c r="W20" s="35" t="s">
        <v>93</v>
      </c>
      <c r="X20" s="43"/>
      <c r="Y20" s="43" t="s">
        <v>168</v>
      </c>
      <c r="Z20" s="35"/>
      <c r="AA20" s="45"/>
      <c r="AB20" s="36"/>
      <c r="AC20" s="35"/>
      <c r="AD20" s="35"/>
      <c r="AE20" s="35"/>
      <c r="AF20" s="36"/>
      <c r="AG20" s="35"/>
      <c r="AH20" s="43"/>
      <c r="AI20" s="43"/>
      <c r="AJ20" s="35"/>
      <c r="AK20" s="35"/>
      <c r="AL20" s="35"/>
      <c r="AM20" s="46"/>
      <c r="AN20" s="47"/>
      <c r="AO20" s="47"/>
      <c r="AP20" s="47"/>
      <c r="AQ20" s="35"/>
      <c r="AR20" s="36"/>
      <c r="AS20" s="43"/>
      <c r="AT20" s="36"/>
      <c r="AU20" s="43" t="s">
        <v>179</v>
      </c>
      <c r="AV20" s="41" t="s">
        <v>178</v>
      </c>
      <c r="AW20" s="44" t="s">
        <v>171</v>
      </c>
      <c r="AX20" s="43"/>
      <c r="AY20" s="47"/>
    </row>
    <row r="21" customFormat="false" ht="49.5" hidden="false" customHeight="true" outlineLevel="0" collapsed="false">
      <c r="A21" s="34" t="n">
        <v>20</v>
      </c>
      <c r="B21" s="35" t="s">
        <v>59</v>
      </c>
      <c r="C21" s="36" t="s">
        <v>60</v>
      </c>
      <c r="D21" s="36" t="s">
        <v>61</v>
      </c>
      <c r="E21" s="37" t="s">
        <v>168</v>
      </c>
      <c r="F21" s="38" t="n">
        <v>4</v>
      </c>
      <c r="G21" s="39" t="s">
        <v>181</v>
      </c>
      <c r="H21" s="36" t="s">
        <v>98</v>
      </c>
      <c r="I21" s="36" t="s">
        <v>80</v>
      </c>
      <c r="J21" s="36" t="s">
        <v>66</v>
      </c>
      <c r="K21" s="40"/>
      <c r="L21" s="35"/>
      <c r="M21" s="35"/>
      <c r="N21" s="35"/>
      <c r="O21" s="35"/>
      <c r="P21" s="42"/>
      <c r="Q21" s="36"/>
      <c r="R21" s="43" t="s">
        <v>174</v>
      </c>
      <c r="S21" s="43" t="s">
        <v>182</v>
      </c>
      <c r="T21" s="35"/>
      <c r="U21" s="36"/>
      <c r="V21" s="43" t="s">
        <v>183</v>
      </c>
      <c r="W21" s="35" t="s">
        <v>184</v>
      </c>
      <c r="X21" s="43"/>
      <c r="Y21" s="43" t="s">
        <v>185</v>
      </c>
      <c r="Z21" s="35"/>
      <c r="AA21" s="45"/>
      <c r="AB21" s="36"/>
      <c r="AC21" s="35"/>
      <c r="AD21" s="35"/>
      <c r="AE21" s="35"/>
      <c r="AF21" s="36"/>
      <c r="AG21" s="35"/>
      <c r="AH21" s="43"/>
      <c r="AI21" s="43"/>
      <c r="AJ21" s="35"/>
      <c r="AK21" s="35"/>
      <c r="AL21" s="35"/>
      <c r="AM21" s="46"/>
      <c r="AN21" s="47"/>
      <c r="AO21" s="47"/>
      <c r="AP21" s="47"/>
      <c r="AQ21" s="35"/>
      <c r="AR21" s="36"/>
      <c r="AS21" s="43"/>
      <c r="AT21" s="36"/>
      <c r="AU21" s="43" t="s">
        <v>186</v>
      </c>
      <c r="AV21" s="41" t="s">
        <v>178</v>
      </c>
      <c r="AW21" s="44" t="s">
        <v>171</v>
      </c>
      <c r="AX21" s="43"/>
      <c r="AY21" s="47"/>
    </row>
    <row r="22" customFormat="false" ht="64.5" hidden="false" customHeight="true" outlineLevel="0" collapsed="false">
      <c r="A22" s="34" t="n">
        <v>21</v>
      </c>
      <c r="B22" s="35" t="s">
        <v>59</v>
      </c>
      <c r="C22" s="36" t="s">
        <v>60</v>
      </c>
      <c r="D22" s="36" t="s">
        <v>61</v>
      </c>
      <c r="E22" s="37" t="s">
        <v>187</v>
      </c>
      <c r="F22" s="38" t="n">
        <v>1</v>
      </c>
      <c r="G22" s="39" t="s">
        <v>188</v>
      </c>
      <c r="H22" s="36" t="s">
        <v>127</v>
      </c>
      <c r="I22" s="36" t="s">
        <v>65</v>
      </c>
      <c r="J22" s="36" t="s">
        <v>66</v>
      </c>
      <c r="K22" s="40"/>
      <c r="L22" s="35"/>
      <c r="M22" s="35" t="s">
        <v>189</v>
      </c>
      <c r="N22" s="35" t="s">
        <v>190</v>
      </c>
      <c r="O22" s="35"/>
      <c r="P22" s="42" t="n">
        <v>1</v>
      </c>
      <c r="Q22" s="36"/>
      <c r="R22" s="43" t="s">
        <v>191</v>
      </c>
      <c r="S22" s="43"/>
      <c r="T22" s="35"/>
      <c r="U22" s="36"/>
      <c r="V22" s="44" t="s">
        <v>192</v>
      </c>
      <c r="W22" s="35" t="s">
        <v>193</v>
      </c>
      <c r="X22" s="43"/>
      <c r="Y22" s="43" t="s">
        <v>187</v>
      </c>
      <c r="Z22" s="35"/>
      <c r="AA22" s="45"/>
      <c r="AB22" s="36"/>
      <c r="AC22" s="35"/>
      <c r="AD22" s="35"/>
      <c r="AE22" s="35"/>
      <c r="AF22" s="36"/>
      <c r="AG22" s="35"/>
      <c r="AH22" s="44" t="s">
        <v>194</v>
      </c>
      <c r="AI22" s="43"/>
      <c r="AJ22" s="35"/>
      <c r="AK22" s="35"/>
      <c r="AL22" s="35"/>
      <c r="AM22" s="46"/>
      <c r="AN22" s="47"/>
      <c r="AO22" s="47"/>
      <c r="AP22" s="47"/>
      <c r="AQ22" s="35"/>
      <c r="AR22" s="36"/>
      <c r="AS22" s="43"/>
      <c r="AT22" s="36"/>
      <c r="AU22" s="43" t="s">
        <v>195</v>
      </c>
      <c r="AV22" s="35" t="s">
        <v>196</v>
      </c>
      <c r="AW22" s="44" t="s">
        <v>197</v>
      </c>
      <c r="AX22" s="43"/>
      <c r="AY22" s="47"/>
    </row>
    <row r="23" customFormat="false" ht="49.5" hidden="false" customHeight="true" outlineLevel="0" collapsed="false">
      <c r="A23" s="34" t="n">
        <v>22</v>
      </c>
      <c r="B23" s="35" t="s">
        <v>59</v>
      </c>
      <c r="C23" s="36" t="s">
        <v>60</v>
      </c>
      <c r="D23" s="36" t="s">
        <v>198</v>
      </c>
      <c r="E23" s="37" t="s">
        <v>199</v>
      </c>
      <c r="F23" s="38" t="n">
        <v>1</v>
      </c>
      <c r="G23" s="39" t="s">
        <v>200</v>
      </c>
      <c r="H23" s="36" t="s">
        <v>127</v>
      </c>
      <c r="I23" s="36" t="s">
        <v>65</v>
      </c>
      <c r="J23" s="36" t="s">
        <v>66</v>
      </c>
      <c r="K23" s="40"/>
      <c r="L23" s="41" t="s">
        <v>201</v>
      </c>
      <c r="M23" s="35" t="s">
        <v>189</v>
      </c>
      <c r="N23" s="35" t="s">
        <v>202</v>
      </c>
      <c r="O23" s="35"/>
      <c r="P23" s="42" t="n">
        <v>1</v>
      </c>
      <c r="Q23" s="36"/>
      <c r="R23" s="43"/>
      <c r="S23" s="43" t="s">
        <v>203</v>
      </c>
      <c r="T23" s="35" t="s">
        <v>204</v>
      </c>
      <c r="U23" s="36" t="s">
        <v>205</v>
      </c>
      <c r="V23" s="44" t="s">
        <v>206</v>
      </c>
      <c r="W23" s="41" t="s">
        <v>207</v>
      </c>
      <c r="X23" s="43" t="s">
        <v>208</v>
      </c>
      <c r="Y23" s="43" t="s">
        <v>209</v>
      </c>
      <c r="Z23" s="35"/>
      <c r="AA23" s="45"/>
      <c r="AB23" s="36"/>
      <c r="AC23" s="41" t="s">
        <v>210</v>
      </c>
      <c r="AD23" s="35" t="s">
        <v>211</v>
      </c>
      <c r="AE23" s="41" t="s">
        <v>212</v>
      </c>
      <c r="AF23" s="36" t="n">
        <v>1</v>
      </c>
      <c r="AG23" s="35"/>
      <c r="AH23" s="44" t="s">
        <v>213</v>
      </c>
      <c r="AI23" s="43"/>
      <c r="AJ23" s="35"/>
      <c r="AK23" s="35"/>
      <c r="AL23" s="35"/>
      <c r="AM23" s="46"/>
      <c r="AN23" s="47"/>
      <c r="AO23" s="47"/>
      <c r="AP23" s="47"/>
      <c r="AQ23" s="35"/>
      <c r="AR23" s="36"/>
      <c r="AS23" s="43"/>
      <c r="AT23" s="36"/>
      <c r="AU23" s="43" t="s">
        <v>214</v>
      </c>
      <c r="AV23" s="35" t="s">
        <v>196</v>
      </c>
      <c r="AW23" s="44" t="s">
        <v>215</v>
      </c>
      <c r="AX23" s="43"/>
      <c r="AY23" s="47"/>
    </row>
    <row r="24" customFormat="false" ht="34.5" hidden="false" customHeight="true" outlineLevel="0" collapsed="false">
      <c r="A24" s="34" t="n">
        <v>23</v>
      </c>
      <c r="B24" s="35" t="s">
        <v>59</v>
      </c>
      <c r="C24" s="36" t="s">
        <v>60</v>
      </c>
      <c r="D24" s="36" t="s">
        <v>198</v>
      </c>
      <c r="E24" s="37" t="s">
        <v>199</v>
      </c>
      <c r="F24" s="38" t="n">
        <v>2</v>
      </c>
      <c r="G24" s="39" t="s">
        <v>216</v>
      </c>
      <c r="H24" s="36" t="s">
        <v>127</v>
      </c>
      <c r="I24" s="36" t="s">
        <v>65</v>
      </c>
      <c r="J24" s="36" t="s">
        <v>66</v>
      </c>
      <c r="K24" s="40"/>
      <c r="L24" s="41" t="s">
        <v>217</v>
      </c>
      <c r="M24" s="35" t="s">
        <v>189</v>
      </c>
      <c r="N24" s="35" t="s">
        <v>202</v>
      </c>
      <c r="O24" s="35"/>
      <c r="P24" s="42" t="n">
        <v>1</v>
      </c>
      <c r="Q24" s="36"/>
      <c r="R24" s="43"/>
      <c r="S24" s="43"/>
      <c r="T24" s="35" t="s">
        <v>204</v>
      </c>
      <c r="U24" s="36" t="s">
        <v>205</v>
      </c>
      <c r="V24" s="44" t="s">
        <v>218</v>
      </c>
      <c r="W24" s="41" t="s">
        <v>219</v>
      </c>
      <c r="X24" s="43" t="s">
        <v>220</v>
      </c>
      <c r="Y24" s="43" t="s">
        <v>199</v>
      </c>
      <c r="Z24" s="35"/>
      <c r="AA24" s="45"/>
      <c r="AB24" s="36"/>
      <c r="AC24" s="41" t="s">
        <v>221</v>
      </c>
      <c r="AD24" s="35" t="s">
        <v>211</v>
      </c>
      <c r="AE24" s="41" t="s">
        <v>222</v>
      </c>
      <c r="AF24" s="36" t="n">
        <v>1</v>
      </c>
      <c r="AG24" s="35"/>
      <c r="AH24" s="43"/>
      <c r="AI24" s="43"/>
      <c r="AJ24" s="35"/>
      <c r="AK24" s="35"/>
      <c r="AL24" s="35"/>
      <c r="AM24" s="46"/>
      <c r="AN24" s="47"/>
      <c r="AO24" s="47"/>
      <c r="AP24" s="47"/>
      <c r="AQ24" s="35"/>
      <c r="AR24" s="36"/>
      <c r="AS24" s="43"/>
      <c r="AT24" s="36"/>
      <c r="AU24" s="43" t="s">
        <v>223</v>
      </c>
      <c r="AV24" s="35" t="s">
        <v>196</v>
      </c>
      <c r="AW24" s="44" t="s">
        <v>215</v>
      </c>
      <c r="AX24" s="43"/>
      <c r="AY24" s="47"/>
    </row>
    <row r="25" customFormat="false" ht="64.5" hidden="false" customHeight="true" outlineLevel="0" collapsed="false">
      <c r="A25" s="34" t="n">
        <v>24</v>
      </c>
      <c r="B25" s="35" t="s">
        <v>59</v>
      </c>
      <c r="C25" s="36" t="s">
        <v>60</v>
      </c>
      <c r="D25" s="36" t="s">
        <v>198</v>
      </c>
      <c r="E25" s="37" t="s">
        <v>199</v>
      </c>
      <c r="F25" s="38" t="n">
        <v>3</v>
      </c>
      <c r="G25" s="39" t="s">
        <v>224</v>
      </c>
      <c r="H25" s="36" t="s">
        <v>127</v>
      </c>
      <c r="I25" s="36" t="s">
        <v>65</v>
      </c>
      <c r="J25" s="36" t="s">
        <v>66</v>
      </c>
      <c r="K25" s="40"/>
      <c r="L25" s="41" t="s">
        <v>225</v>
      </c>
      <c r="M25" s="35" t="s">
        <v>189</v>
      </c>
      <c r="N25" s="35" t="s">
        <v>202</v>
      </c>
      <c r="O25" s="35"/>
      <c r="P25" s="42" t="n">
        <v>1</v>
      </c>
      <c r="Q25" s="36"/>
      <c r="R25" s="43"/>
      <c r="S25" s="43"/>
      <c r="T25" s="35" t="s">
        <v>204</v>
      </c>
      <c r="U25" s="36" t="s">
        <v>226</v>
      </c>
      <c r="V25" s="44" t="s">
        <v>227</v>
      </c>
      <c r="W25" s="41" t="s">
        <v>228</v>
      </c>
      <c r="X25" s="43" t="s">
        <v>229</v>
      </c>
      <c r="Y25" s="43" t="s">
        <v>199</v>
      </c>
      <c r="Z25" s="35"/>
      <c r="AA25" s="45"/>
      <c r="AB25" s="36"/>
      <c r="AC25" s="41" t="s">
        <v>230</v>
      </c>
      <c r="AD25" s="35" t="s">
        <v>211</v>
      </c>
      <c r="AE25" s="41" t="s">
        <v>231</v>
      </c>
      <c r="AF25" s="36" t="n">
        <v>1</v>
      </c>
      <c r="AG25" s="35"/>
      <c r="AH25" s="43"/>
      <c r="AI25" s="43"/>
      <c r="AJ25" s="35"/>
      <c r="AK25" s="35"/>
      <c r="AL25" s="35"/>
      <c r="AM25" s="46"/>
      <c r="AN25" s="47"/>
      <c r="AO25" s="47"/>
      <c r="AP25" s="47"/>
      <c r="AQ25" s="35"/>
      <c r="AR25" s="36"/>
      <c r="AS25" s="43"/>
      <c r="AT25" s="36"/>
      <c r="AU25" s="43" t="s">
        <v>232</v>
      </c>
      <c r="AV25" s="35" t="s">
        <v>196</v>
      </c>
      <c r="AW25" s="44" t="s">
        <v>215</v>
      </c>
      <c r="AX25" s="43"/>
      <c r="AY25" s="47"/>
    </row>
    <row r="26" customFormat="false" ht="49.5" hidden="false" customHeight="true" outlineLevel="0" collapsed="false">
      <c r="A26" s="34" t="n">
        <v>25</v>
      </c>
      <c r="B26" s="35" t="s">
        <v>59</v>
      </c>
      <c r="C26" s="36" t="s">
        <v>60</v>
      </c>
      <c r="D26" s="36" t="s">
        <v>198</v>
      </c>
      <c r="E26" s="37" t="s">
        <v>233</v>
      </c>
      <c r="F26" s="38" t="n">
        <v>1</v>
      </c>
      <c r="G26" s="39" t="s">
        <v>234</v>
      </c>
      <c r="H26" s="36" t="s">
        <v>98</v>
      </c>
      <c r="I26" s="36" t="s">
        <v>80</v>
      </c>
      <c r="J26" s="36" t="s">
        <v>66</v>
      </c>
      <c r="K26" s="40" t="n">
        <v>2000</v>
      </c>
      <c r="L26" s="35"/>
      <c r="M26" s="35" t="s">
        <v>67</v>
      </c>
      <c r="N26" s="35"/>
      <c r="O26" s="35" t="s">
        <v>91</v>
      </c>
      <c r="P26" s="42" t="n">
        <v>3</v>
      </c>
      <c r="Q26" s="36"/>
      <c r="R26" s="43" t="s">
        <v>235</v>
      </c>
      <c r="S26" s="43" t="s">
        <v>236</v>
      </c>
      <c r="T26" s="35"/>
      <c r="U26" s="36"/>
      <c r="V26" s="43" t="s">
        <v>237</v>
      </c>
      <c r="W26" s="41" t="s">
        <v>238</v>
      </c>
      <c r="X26" s="43" t="s">
        <v>239</v>
      </c>
      <c r="Y26" s="43" t="s">
        <v>240</v>
      </c>
      <c r="Z26" s="35"/>
      <c r="AA26" s="45"/>
      <c r="AB26" s="36"/>
      <c r="AC26" s="35"/>
      <c r="AD26" s="35" t="s">
        <v>211</v>
      </c>
      <c r="AE26" s="35"/>
      <c r="AF26" s="36" t="n">
        <v>1</v>
      </c>
      <c r="AG26" s="35"/>
      <c r="AH26" s="44" t="s">
        <v>241</v>
      </c>
      <c r="AI26" s="43"/>
      <c r="AJ26" s="35"/>
      <c r="AK26" s="35"/>
      <c r="AL26" s="35"/>
      <c r="AM26" s="46"/>
      <c r="AN26" s="47"/>
      <c r="AO26" s="47"/>
      <c r="AP26" s="47"/>
      <c r="AQ26" s="35"/>
      <c r="AR26" s="36"/>
      <c r="AS26" s="43"/>
      <c r="AT26" s="36"/>
      <c r="AU26" s="43" t="s">
        <v>242</v>
      </c>
      <c r="AV26" s="35" t="s">
        <v>243</v>
      </c>
      <c r="AW26" s="44" t="s">
        <v>244</v>
      </c>
      <c r="AX26" s="43"/>
      <c r="AY26" s="47"/>
    </row>
    <row r="27" customFormat="false" ht="49.5" hidden="false" customHeight="true" outlineLevel="0" collapsed="false">
      <c r="A27" s="34" t="n">
        <v>26</v>
      </c>
      <c r="B27" s="35" t="s">
        <v>59</v>
      </c>
      <c r="C27" s="36" t="s">
        <v>60</v>
      </c>
      <c r="D27" s="36" t="s">
        <v>198</v>
      </c>
      <c r="E27" s="37" t="s">
        <v>233</v>
      </c>
      <c r="F27" s="38" t="n">
        <v>2</v>
      </c>
      <c r="G27" s="39" t="s">
        <v>245</v>
      </c>
      <c r="H27" s="36" t="s">
        <v>246</v>
      </c>
      <c r="I27" s="36" t="s">
        <v>80</v>
      </c>
      <c r="J27" s="36" t="s">
        <v>66</v>
      </c>
      <c r="K27" s="40" t="n">
        <v>2000</v>
      </c>
      <c r="L27" s="35"/>
      <c r="M27" s="35" t="s">
        <v>67</v>
      </c>
      <c r="N27" s="35"/>
      <c r="O27" s="35" t="s">
        <v>144</v>
      </c>
      <c r="P27" s="42" t="n">
        <v>3</v>
      </c>
      <c r="Q27" s="36"/>
      <c r="R27" s="43" t="s">
        <v>235</v>
      </c>
      <c r="S27" s="43"/>
      <c r="T27" s="35"/>
      <c r="U27" s="36"/>
      <c r="V27" s="43" t="s">
        <v>247</v>
      </c>
      <c r="W27" s="41" t="s">
        <v>248</v>
      </c>
      <c r="X27" s="43" t="s">
        <v>249</v>
      </c>
      <c r="Y27" s="43" t="s">
        <v>250</v>
      </c>
      <c r="Z27" s="35"/>
      <c r="AA27" s="45"/>
      <c r="AB27" s="36"/>
      <c r="AC27" s="35"/>
      <c r="AD27" s="35" t="s">
        <v>211</v>
      </c>
      <c r="AE27" s="35"/>
      <c r="AF27" s="36" t="n">
        <v>1</v>
      </c>
      <c r="AG27" s="35"/>
      <c r="AH27" s="43"/>
      <c r="AI27" s="43"/>
      <c r="AJ27" s="35"/>
      <c r="AK27" s="35"/>
      <c r="AL27" s="35"/>
      <c r="AM27" s="46"/>
      <c r="AN27" s="47"/>
      <c r="AO27" s="47"/>
      <c r="AP27" s="47"/>
      <c r="AQ27" s="35"/>
      <c r="AR27" s="36"/>
      <c r="AS27" s="43"/>
      <c r="AT27" s="36"/>
      <c r="AU27" s="43" t="s">
        <v>251</v>
      </c>
      <c r="AV27" s="35" t="s">
        <v>154</v>
      </c>
      <c r="AW27" s="44" t="s">
        <v>244</v>
      </c>
      <c r="AX27" s="43"/>
      <c r="AY27" s="47"/>
    </row>
    <row r="28" customFormat="false" ht="34.5" hidden="false" customHeight="true" outlineLevel="0" collapsed="false">
      <c r="A28" s="34" t="n">
        <v>27</v>
      </c>
      <c r="B28" s="35" t="s">
        <v>59</v>
      </c>
      <c r="C28" s="36" t="s">
        <v>60</v>
      </c>
      <c r="D28" s="36" t="s">
        <v>198</v>
      </c>
      <c r="E28" s="37" t="s">
        <v>233</v>
      </c>
      <c r="F28" s="38" t="n">
        <v>3</v>
      </c>
      <c r="G28" s="39" t="s">
        <v>252</v>
      </c>
      <c r="H28" s="36" t="s">
        <v>90</v>
      </c>
      <c r="I28" s="36" t="s">
        <v>80</v>
      </c>
      <c r="J28" s="36" t="s">
        <v>66</v>
      </c>
      <c r="K28" s="40" t="n">
        <v>2000</v>
      </c>
      <c r="L28" s="35"/>
      <c r="M28" s="35" t="s">
        <v>67</v>
      </c>
      <c r="N28" s="35"/>
      <c r="O28" s="35" t="s">
        <v>144</v>
      </c>
      <c r="P28" s="42" t="n">
        <v>3</v>
      </c>
      <c r="Q28" s="36"/>
      <c r="R28" s="43" t="s">
        <v>235</v>
      </c>
      <c r="S28" s="43"/>
      <c r="T28" s="35"/>
      <c r="U28" s="36"/>
      <c r="V28" s="43" t="s">
        <v>253</v>
      </c>
      <c r="W28" s="41" t="s">
        <v>254</v>
      </c>
      <c r="X28" s="43" t="s">
        <v>255</v>
      </c>
      <c r="Y28" s="43" t="s">
        <v>256</v>
      </c>
      <c r="Z28" s="35"/>
      <c r="AA28" s="45"/>
      <c r="AB28" s="36"/>
      <c r="AC28" s="35"/>
      <c r="AD28" s="35" t="s">
        <v>211</v>
      </c>
      <c r="AE28" s="35"/>
      <c r="AF28" s="36" t="n">
        <v>1</v>
      </c>
      <c r="AG28" s="35"/>
      <c r="AH28" s="43"/>
      <c r="AI28" s="43"/>
      <c r="AJ28" s="35"/>
      <c r="AK28" s="35"/>
      <c r="AL28" s="35"/>
      <c r="AM28" s="46"/>
      <c r="AN28" s="47"/>
      <c r="AO28" s="47"/>
      <c r="AP28" s="47"/>
      <c r="AQ28" s="35"/>
      <c r="AR28" s="36"/>
      <c r="AS28" s="43"/>
      <c r="AT28" s="36"/>
      <c r="AU28" s="43" t="s">
        <v>257</v>
      </c>
      <c r="AV28" s="35" t="s">
        <v>154</v>
      </c>
      <c r="AW28" s="44" t="s">
        <v>244</v>
      </c>
      <c r="AX28" s="43"/>
      <c r="AY28" s="47"/>
    </row>
    <row r="29" customFormat="false" ht="49.5" hidden="false" customHeight="true" outlineLevel="0" collapsed="false">
      <c r="A29" s="34" t="n">
        <v>28</v>
      </c>
      <c r="B29" s="35" t="s">
        <v>59</v>
      </c>
      <c r="C29" s="36" t="s">
        <v>60</v>
      </c>
      <c r="D29" s="36" t="s">
        <v>198</v>
      </c>
      <c r="E29" s="37" t="s">
        <v>233</v>
      </c>
      <c r="F29" s="38" t="n">
        <v>4</v>
      </c>
      <c r="G29" s="39" t="s">
        <v>258</v>
      </c>
      <c r="H29" s="36" t="s">
        <v>246</v>
      </c>
      <c r="I29" s="36" t="s">
        <v>80</v>
      </c>
      <c r="J29" s="36" t="s">
        <v>66</v>
      </c>
      <c r="K29" s="40"/>
      <c r="L29" s="35"/>
      <c r="M29" s="35"/>
      <c r="N29" s="35"/>
      <c r="O29" s="35"/>
      <c r="P29" s="42"/>
      <c r="Q29" s="36"/>
      <c r="R29" s="43" t="s">
        <v>259</v>
      </c>
      <c r="S29" s="43"/>
      <c r="T29" s="35"/>
      <c r="U29" s="36"/>
      <c r="V29" s="43" t="s">
        <v>260</v>
      </c>
      <c r="W29" s="41" t="s">
        <v>261</v>
      </c>
      <c r="X29" s="43" t="s">
        <v>262</v>
      </c>
      <c r="Y29" s="43" t="s">
        <v>233</v>
      </c>
      <c r="Z29" s="35"/>
      <c r="AA29" s="45"/>
      <c r="AB29" s="36"/>
      <c r="AC29" s="35"/>
      <c r="AD29" s="35" t="s">
        <v>211</v>
      </c>
      <c r="AE29" s="35"/>
      <c r="AF29" s="36" t="n">
        <v>1</v>
      </c>
      <c r="AG29" s="35"/>
      <c r="AH29" s="43"/>
      <c r="AI29" s="43"/>
      <c r="AJ29" s="35"/>
      <c r="AK29" s="35"/>
      <c r="AL29" s="35"/>
      <c r="AM29" s="46"/>
      <c r="AN29" s="47"/>
      <c r="AO29" s="47"/>
      <c r="AP29" s="47"/>
      <c r="AQ29" s="35"/>
      <c r="AR29" s="36"/>
      <c r="AS29" s="43"/>
      <c r="AT29" s="36"/>
      <c r="AU29" s="43" t="s">
        <v>263</v>
      </c>
      <c r="AV29" s="41" t="s">
        <v>178</v>
      </c>
      <c r="AW29" s="44" t="s">
        <v>244</v>
      </c>
      <c r="AX29" s="43"/>
      <c r="AY29" s="47"/>
    </row>
    <row r="30" customFormat="false" ht="49.5" hidden="false" customHeight="true" outlineLevel="0" collapsed="false">
      <c r="A30" s="34" t="n">
        <v>29</v>
      </c>
      <c r="B30" s="35" t="s">
        <v>59</v>
      </c>
      <c r="C30" s="36" t="s">
        <v>60</v>
      </c>
      <c r="D30" s="36" t="s">
        <v>198</v>
      </c>
      <c r="E30" s="37" t="s">
        <v>264</v>
      </c>
      <c r="F30" s="38" t="n">
        <v>1</v>
      </c>
      <c r="G30" s="39" t="s">
        <v>234</v>
      </c>
      <c r="H30" s="36" t="s">
        <v>98</v>
      </c>
      <c r="I30" s="36" t="s">
        <v>80</v>
      </c>
      <c r="J30" s="36" t="s">
        <v>66</v>
      </c>
      <c r="K30" s="40" t="n">
        <v>2000</v>
      </c>
      <c r="L30" s="35"/>
      <c r="M30" s="35" t="s">
        <v>67</v>
      </c>
      <c r="N30" s="35" t="s">
        <v>265</v>
      </c>
      <c r="O30" s="35" t="s">
        <v>91</v>
      </c>
      <c r="P30" s="42" t="n">
        <v>3</v>
      </c>
      <c r="Q30" s="36"/>
      <c r="R30" s="43"/>
      <c r="S30" s="43" t="s">
        <v>236</v>
      </c>
      <c r="T30" s="35" t="s">
        <v>204</v>
      </c>
      <c r="U30" s="36" t="s">
        <v>205</v>
      </c>
      <c r="V30" s="43" t="s">
        <v>237</v>
      </c>
      <c r="W30" s="41" t="s">
        <v>238</v>
      </c>
      <c r="X30" s="43" t="s">
        <v>239</v>
      </c>
      <c r="Y30" s="43" t="s">
        <v>266</v>
      </c>
      <c r="Z30" s="35"/>
      <c r="AA30" s="45"/>
      <c r="AB30" s="36"/>
      <c r="AC30" s="41" t="s">
        <v>267</v>
      </c>
      <c r="AD30" s="35" t="s">
        <v>268</v>
      </c>
      <c r="AE30" s="41" t="s">
        <v>269</v>
      </c>
      <c r="AF30" s="36" t="n">
        <v>1</v>
      </c>
      <c r="AG30" s="35"/>
      <c r="AH30" s="44" t="s">
        <v>241</v>
      </c>
      <c r="AI30" s="43"/>
      <c r="AJ30" s="35"/>
      <c r="AK30" s="35"/>
      <c r="AL30" s="35"/>
      <c r="AM30" s="46"/>
      <c r="AN30" s="47"/>
      <c r="AO30" s="47"/>
      <c r="AP30" s="47"/>
      <c r="AQ30" s="35"/>
      <c r="AR30" s="36"/>
      <c r="AS30" s="43"/>
      <c r="AT30" s="36"/>
      <c r="AU30" s="43" t="s">
        <v>242</v>
      </c>
      <c r="AV30" s="35" t="s">
        <v>243</v>
      </c>
      <c r="AW30" s="44" t="s">
        <v>270</v>
      </c>
      <c r="AX30" s="43"/>
      <c r="AY30" s="47"/>
    </row>
    <row r="31" customFormat="false" ht="49.5" hidden="false" customHeight="true" outlineLevel="0" collapsed="false">
      <c r="A31" s="34" t="n">
        <v>30</v>
      </c>
      <c r="B31" s="35" t="s">
        <v>59</v>
      </c>
      <c r="C31" s="36" t="s">
        <v>60</v>
      </c>
      <c r="D31" s="36" t="s">
        <v>198</v>
      </c>
      <c r="E31" s="37" t="s">
        <v>264</v>
      </c>
      <c r="F31" s="38" t="n">
        <v>2</v>
      </c>
      <c r="G31" s="39" t="s">
        <v>245</v>
      </c>
      <c r="H31" s="36" t="s">
        <v>246</v>
      </c>
      <c r="I31" s="36" t="s">
        <v>80</v>
      </c>
      <c r="J31" s="36" t="s">
        <v>66</v>
      </c>
      <c r="K31" s="40" t="n">
        <v>2000</v>
      </c>
      <c r="L31" s="35"/>
      <c r="M31" s="35" t="s">
        <v>67</v>
      </c>
      <c r="N31" s="35" t="s">
        <v>265</v>
      </c>
      <c r="O31" s="35" t="s">
        <v>144</v>
      </c>
      <c r="P31" s="42" t="n">
        <v>3</v>
      </c>
      <c r="Q31" s="36"/>
      <c r="R31" s="43" t="s">
        <v>271</v>
      </c>
      <c r="S31" s="43"/>
      <c r="T31" s="35" t="s">
        <v>204</v>
      </c>
      <c r="U31" s="36" t="s">
        <v>205</v>
      </c>
      <c r="V31" s="43" t="s">
        <v>247</v>
      </c>
      <c r="W31" s="41" t="s">
        <v>248</v>
      </c>
      <c r="X31" s="43" t="s">
        <v>249</v>
      </c>
      <c r="Y31" s="43" t="s">
        <v>250</v>
      </c>
      <c r="Z31" s="35"/>
      <c r="AA31" s="45"/>
      <c r="AB31" s="36"/>
      <c r="AC31" s="35" t="s">
        <v>272</v>
      </c>
      <c r="AD31" s="35" t="s">
        <v>268</v>
      </c>
      <c r="AE31" s="41" t="s">
        <v>273</v>
      </c>
      <c r="AF31" s="36" t="n">
        <v>2</v>
      </c>
      <c r="AG31" s="35"/>
      <c r="AH31" s="43"/>
      <c r="AI31" s="43"/>
      <c r="AJ31" s="35"/>
      <c r="AK31" s="35"/>
      <c r="AL31" s="35"/>
      <c r="AM31" s="46"/>
      <c r="AN31" s="47"/>
      <c r="AO31" s="47"/>
      <c r="AP31" s="47"/>
      <c r="AQ31" s="35"/>
      <c r="AR31" s="36"/>
      <c r="AS31" s="43"/>
      <c r="AT31" s="36"/>
      <c r="AU31" s="43" t="s">
        <v>251</v>
      </c>
      <c r="AV31" s="35" t="s">
        <v>154</v>
      </c>
      <c r="AW31" s="44" t="s">
        <v>270</v>
      </c>
      <c r="AX31" s="43"/>
      <c r="AY31" s="47"/>
    </row>
    <row r="32" customFormat="false" ht="79.5" hidden="false" customHeight="true" outlineLevel="0" collapsed="false">
      <c r="A32" s="34" t="n">
        <v>31</v>
      </c>
      <c r="B32" s="35" t="s">
        <v>59</v>
      </c>
      <c r="C32" s="36" t="s">
        <v>60</v>
      </c>
      <c r="D32" s="36" t="s">
        <v>198</v>
      </c>
      <c r="E32" s="37" t="s">
        <v>264</v>
      </c>
      <c r="F32" s="38" t="n">
        <v>3</v>
      </c>
      <c r="G32" s="39" t="s">
        <v>274</v>
      </c>
      <c r="H32" s="36" t="s">
        <v>246</v>
      </c>
      <c r="I32" s="36" t="s">
        <v>80</v>
      </c>
      <c r="J32" s="36" t="s">
        <v>66</v>
      </c>
      <c r="K32" s="40" t="n">
        <v>1000</v>
      </c>
      <c r="L32" s="35"/>
      <c r="M32" s="35" t="s">
        <v>67</v>
      </c>
      <c r="N32" s="35" t="s">
        <v>265</v>
      </c>
      <c r="O32" s="35" t="s">
        <v>144</v>
      </c>
      <c r="P32" s="42" t="n">
        <v>2</v>
      </c>
      <c r="Q32" s="36"/>
      <c r="R32" s="43"/>
      <c r="S32" s="43"/>
      <c r="T32" s="35" t="s">
        <v>204</v>
      </c>
      <c r="U32" s="36" t="s">
        <v>226</v>
      </c>
      <c r="V32" s="44" t="s">
        <v>275</v>
      </c>
      <c r="W32" s="41" t="s">
        <v>276</v>
      </c>
      <c r="X32" s="43" t="s">
        <v>277</v>
      </c>
      <c r="Y32" s="43" t="s">
        <v>278</v>
      </c>
      <c r="Z32" s="35"/>
      <c r="AA32" s="45"/>
      <c r="AB32" s="36"/>
      <c r="AC32" s="41" t="s">
        <v>267</v>
      </c>
      <c r="AD32" s="35" t="s">
        <v>211</v>
      </c>
      <c r="AE32" s="41" t="s">
        <v>279</v>
      </c>
      <c r="AF32" s="36" t="n">
        <v>1</v>
      </c>
      <c r="AG32" s="35"/>
      <c r="AH32" s="43"/>
      <c r="AI32" s="43"/>
      <c r="AJ32" s="35"/>
      <c r="AK32" s="35"/>
      <c r="AL32" s="35"/>
      <c r="AM32" s="46"/>
      <c r="AN32" s="47"/>
      <c r="AO32" s="47"/>
      <c r="AP32" s="47"/>
      <c r="AQ32" s="35"/>
      <c r="AR32" s="36"/>
      <c r="AS32" s="43"/>
      <c r="AT32" s="36"/>
      <c r="AU32" s="43" t="s">
        <v>280</v>
      </c>
      <c r="AV32" s="35" t="s">
        <v>281</v>
      </c>
      <c r="AW32" s="44" t="s">
        <v>270</v>
      </c>
      <c r="AX32" s="43"/>
      <c r="AY32" s="47"/>
    </row>
    <row r="33" customFormat="false" ht="79.5" hidden="false" customHeight="true" outlineLevel="0" collapsed="false">
      <c r="A33" s="34" t="n">
        <v>32</v>
      </c>
      <c r="B33" s="35" t="s">
        <v>59</v>
      </c>
      <c r="C33" s="36" t="s">
        <v>60</v>
      </c>
      <c r="D33" s="36" t="s">
        <v>198</v>
      </c>
      <c r="E33" s="37" t="s">
        <v>264</v>
      </c>
      <c r="F33" s="38" t="n">
        <v>4</v>
      </c>
      <c r="G33" s="39" t="s">
        <v>282</v>
      </c>
      <c r="H33" s="36" t="s">
        <v>64</v>
      </c>
      <c r="I33" s="36" t="s">
        <v>80</v>
      </c>
      <c r="J33" s="36" t="s">
        <v>66</v>
      </c>
      <c r="K33" s="40" t="n">
        <v>2000</v>
      </c>
      <c r="L33" s="35"/>
      <c r="M33" s="35" t="s">
        <v>67</v>
      </c>
      <c r="N33" s="35" t="s">
        <v>265</v>
      </c>
      <c r="O33" s="35" t="s">
        <v>144</v>
      </c>
      <c r="P33" s="42" t="n">
        <v>2</v>
      </c>
      <c r="Q33" s="36"/>
      <c r="R33" s="43"/>
      <c r="S33" s="43" t="s">
        <v>283</v>
      </c>
      <c r="T33" s="35" t="s">
        <v>204</v>
      </c>
      <c r="U33" s="36" t="s">
        <v>284</v>
      </c>
      <c r="V33" s="44" t="s">
        <v>285</v>
      </c>
      <c r="W33" s="41" t="s">
        <v>286</v>
      </c>
      <c r="X33" s="43" t="s">
        <v>287</v>
      </c>
      <c r="Y33" s="43" t="s">
        <v>288</v>
      </c>
      <c r="Z33" s="35"/>
      <c r="AA33" s="45"/>
      <c r="AB33" s="36"/>
      <c r="AC33" s="35" t="s">
        <v>272</v>
      </c>
      <c r="AD33" s="35" t="s">
        <v>211</v>
      </c>
      <c r="AE33" s="41" t="s">
        <v>289</v>
      </c>
      <c r="AF33" s="36" t="n">
        <v>1</v>
      </c>
      <c r="AG33" s="35"/>
      <c r="AH33" s="43"/>
      <c r="AI33" s="43"/>
      <c r="AJ33" s="35"/>
      <c r="AK33" s="35"/>
      <c r="AL33" s="35"/>
      <c r="AM33" s="46"/>
      <c r="AN33" s="47"/>
      <c r="AO33" s="47"/>
      <c r="AP33" s="47"/>
      <c r="AQ33" s="35"/>
      <c r="AR33" s="36"/>
      <c r="AS33" s="43"/>
      <c r="AT33" s="36"/>
      <c r="AU33" s="43" t="s">
        <v>290</v>
      </c>
      <c r="AV33" s="35" t="s">
        <v>281</v>
      </c>
      <c r="AW33" s="44" t="s">
        <v>270</v>
      </c>
      <c r="AX33" s="43"/>
      <c r="AY33" s="47"/>
    </row>
    <row r="34" customFormat="false" ht="49.5" hidden="false" customHeight="true" outlineLevel="0" collapsed="false">
      <c r="A34" s="34" t="n">
        <v>33</v>
      </c>
      <c r="B34" s="35" t="s">
        <v>59</v>
      </c>
      <c r="C34" s="36" t="s">
        <v>60</v>
      </c>
      <c r="D34" s="36" t="s">
        <v>198</v>
      </c>
      <c r="E34" s="37" t="s">
        <v>291</v>
      </c>
      <c r="F34" s="38" t="n">
        <v>1</v>
      </c>
      <c r="G34" s="39" t="s">
        <v>234</v>
      </c>
      <c r="H34" s="36" t="s">
        <v>98</v>
      </c>
      <c r="I34" s="36" t="s">
        <v>80</v>
      </c>
      <c r="J34" s="36" t="s">
        <v>66</v>
      </c>
      <c r="K34" s="40" t="n">
        <v>2000</v>
      </c>
      <c r="L34" s="35"/>
      <c r="M34" s="35" t="s">
        <v>67</v>
      </c>
      <c r="N34" s="35" t="s">
        <v>265</v>
      </c>
      <c r="O34" s="35" t="s">
        <v>91</v>
      </c>
      <c r="P34" s="42" t="n">
        <v>3</v>
      </c>
      <c r="Q34" s="36"/>
      <c r="R34" s="43" t="s">
        <v>292</v>
      </c>
      <c r="S34" s="43" t="s">
        <v>236</v>
      </c>
      <c r="T34" s="35" t="s">
        <v>204</v>
      </c>
      <c r="U34" s="36" t="s">
        <v>205</v>
      </c>
      <c r="V34" s="43" t="s">
        <v>237</v>
      </c>
      <c r="W34" s="41" t="s">
        <v>238</v>
      </c>
      <c r="X34" s="43" t="s">
        <v>239</v>
      </c>
      <c r="Y34" s="43" t="s">
        <v>266</v>
      </c>
      <c r="Z34" s="35"/>
      <c r="AA34" s="45"/>
      <c r="AB34" s="36"/>
      <c r="AC34" s="41" t="s">
        <v>267</v>
      </c>
      <c r="AD34" s="35" t="s">
        <v>211</v>
      </c>
      <c r="AE34" s="41" t="s">
        <v>269</v>
      </c>
      <c r="AF34" s="36" t="n">
        <v>1</v>
      </c>
      <c r="AG34" s="35"/>
      <c r="AH34" s="44" t="s">
        <v>241</v>
      </c>
      <c r="AI34" s="43"/>
      <c r="AJ34" s="35"/>
      <c r="AK34" s="35"/>
      <c r="AL34" s="35"/>
      <c r="AM34" s="46"/>
      <c r="AN34" s="47"/>
      <c r="AO34" s="47"/>
      <c r="AP34" s="47"/>
      <c r="AQ34" s="35"/>
      <c r="AR34" s="36"/>
      <c r="AS34" s="43"/>
      <c r="AT34" s="36"/>
      <c r="AU34" s="43" t="s">
        <v>242</v>
      </c>
      <c r="AV34" s="35" t="s">
        <v>243</v>
      </c>
      <c r="AW34" s="44" t="s">
        <v>293</v>
      </c>
      <c r="AX34" s="43"/>
      <c r="AY34" s="47"/>
    </row>
    <row r="35" customFormat="false" ht="79.5" hidden="false" customHeight="true" outlineLevel="0" collapsed="false">
      <c r="A35" s="34" t="n">
        <v>34</v>
      </c>
      <c r="B35" s="35" t="s">
        <v>59</v>
      </c>
      <c r="C35" s="36" t="s">
        <v>60</v>
      </c>
      <c r="D35" s="36" t="s">
        <v>198</v>
      </c>
      <c r="E35" s="37" t="s">
        <v>291</v>
      </c>
      <c r="F35" s="38" t="n">
        <v>2</v>
      </c>
      <c r="G35" s="39" t="s">
        <v>245</v>
      </c>
      <c r="H35" s="36" t="s">
        <v>246</v>
      </c>
      <c r="I35" s="36" t="s">
        <v>80</v>
      </c>
      <c r="J35" s="36" t="s">
        <v>66</v>
      </c>
      <c r="K35" s="40" t="n">
        <v>2000</v>
      </c>
      <c r="L35" s="35"/>
      <c r="M35" s="35" t="s">
        <v>67</v>
      </c>
      <c r="N35" s="35" t="s">
        <v>265</v>
      </c>
      <c r="O35" s="35" t="s">
        <v>144</v>
      </c>
      <c r="P35" s="42" t="n">
        <v>3</v>
      </c>
      <c r="Q35" s="36"/>
      <c r="R35" s="43" t="s">
        <v>294</v>
      </c>
      <c r="S35" s="43"/>
      <c r="T35" s="35" t="s">
        <v>204</v>
      </c>
      <c r="U35" s="36" t="s">
        <v>205</v>
      </c>
      <c r="V35" s="43" t="s">
        <v>247</v>
      </c>
      <c r="W35" s="41" t="s">
        <v>248</v>
      </c>
      <c r="X35" s="43" t="s">
        <v>249</v>
      </c>
      <c r="Y35" s="43" t="s">
        <v>250</v>
      </c>
      <c r="Z35" s="35"/>
      <c r="AA35" s="45"/>
      <c r="AB35" s="36"/>
      <c r="AC35" s="35" t="s">
        <v>272</v>
      </c>
      <c r="AD35" s="35" t="s">
        <v>211</v>
      </c>
      <c r="AE35" s="41" t="s">
        <v>273</v>
      </c>
      <c r="AF35" s="36" t="n">
        <v>2</v>
      </c>
      <c r="AG35" s="35"/>
      <c r="AH35" s="43"/>
      <c r="AI35" s="43"/>
      <c r="AJ35" s="35"/>
      <c r="AK35" s="35"/>
      <c r="AL35" s="35"/>
      <c r="AM35" s="46"/>
      <c r="AN35" s="47"/>
      <c r="AO35" s="47"/>
      <c r="AP35" s="47"/>
      <c r="AQ35" s="35"/>
      <c r="AR35" s="36"/>
      <c r="AS35" s="43"/>
      <c r="AT35" s="36"/>
      <c r="AU35" s="43" t="s">
        <v>251</v>
      </c>
      <c r="AV35" s="35" t="s">
        <v>154</v>
      </c>
      <c r="AW35" s="44" t="s">
        <v>293</v>
      </c>
      <c r="AX35" s="43"/>
      <c r="AY35" s="47"/>
    </row>
    <row r="36" customFormat="false" ht="79.5" hidden="false" customHeight="true" outlineLevel="0" collapsed="false">
      <c r="A36" s="34" t="n">
        <v>35</v>
      </c>
      <c r="B36" s="35" t="s">
        <v>59</v>
      </c>
      <c r="C36" s="36" t="s">
        <v>60</v>
      </c>
      <c r="D36" s="36" t="s">
        <v>198</v>
      </c>
      <c r="E36" s="37" t="s">
        <v>291</v>
      </c>
      <c r="F36" s="38" t="n">
        <v>3</v>
      </c>
      <c r="G36" s="39" t="s">
        <v>274</v>
      </c>
      <c r="H36" s="36" t="s">
        <v>246</v>
      </c>
      <c r="I36" s="36" t="s">
        <v>80</v>
      </c>
      <c r="J36" s="36" t="s">
        <v>66</v>
      </c>
      <c r="K36" s="40" t="n">
        <v>1000</v>
      </c>
      <c r="L36" s="35"/>
      <c r="M36" s="35" t="s">
        <v>67</v>
      </c>
      <c r="N36" s="35" t="s">
        <v>265</v>
      </c>
      <c r="O36" s="35" t="s">
        <v>144</v>
      </c>
      <c r="P36" s="42" t="n">
        <v>2</v>
      </c>
      <c r="Q36" s="36"/>
      <c r="R36" s="43"/>
      <c r="S36" s="43"/>
      <c r="T36" s="35" t="s">
        <v>204</v>
      </c>
      <c r="U36" s="36" t="s">
        <v>226</v>
      </c>
      <c r="V36" s="44" t="s">
        <v>275</v>
      </c>
      <c r="W36" s="41" t="s">
        <v>276</v>
      </c>
      <c r="X36" s="43" t="s">
        <v>277</v>
      </c>
      <c r="Y36" s="43" t="s">
        <v>278</v>
      </c>
      <c r="Z36" s="35"/>
      <c r="AA36" s="45"/>
      <c r="AB36" s="36"/>
      <c r="AC36" s="41" t="s">
        <v>267</v>
      </c>
      <c r="AD36" s="35" t="s">
        <v>211</v>
      </c>
      <c r="AE36" s="41" t="s">
        <v>279</v>
      </c>
      <c r="AF36" s="36" t="n">
        <v>1</v>
      </c>
      <c r="AG36" s="35"/>
      <c r="AH36" s="43"/>
      <c r="AI36" s="43"/>
      <c r="AJ36" s="35"/>
      <c r="AK36" s="35"/>
      <c r="AL36" s="35"/>
      <c r="AM36" s="46"/>
      <c r="AN36" s="47"/>
      <c r="AO36" s="47"/>
      <c r="AP36" s="47"/>
      <c r="AQ36" s="35"/>
      <c r="AR36" s="36"/>
      <c r="AS36" s="43"/>
      <c r="AT36" s="36"/>
      <c r="AU36" s="43" t="s">
        <v>280</v>
      </c>
      <c r="AV36" s="35" t="s">
        <v>281</v>
      </c>
      <c r="AW36" s="44" t="s">
        <v>293</v>
      </c>
      <c r="AX36" s="43"/>
      <c r="AY36" s="47"/>
    </row>
    <row r="37" customFormat="false" ht="34.5" hidden="false" customHeight="true" outlineLevel="0" collapsed="false">
      <c r="A37" s="34" t="n">
        <v>36</v>
      </c>
      <c r="B37" s="35" t="s">
        <v>59</v>
      </c>
      <c r="C37" s="36" t="s">
        <v>60</v>
      </c>
      <c r="D37" s="36" t="s">
        <v>198</v>
      </c>
      <c r="E37" s="37" t="s">
        <v>291</v>
      </c>
      <c r="F37" s="38" t="n">
        <v>4</v>
      </c>
      <c r="G37" s="39" t="s">
        <v>295</v>
      </c>
      <c r="H37" s="36" t="s">
        <v>98</v>
      </c>
      <c r="I37" s="36" t="s">
        <v>80</v>
      </c>
      <c r="J37" s="36" t="s">
        <v>66</v>
      </c>
      <c r="K37" s="40" t="n">
        <v>1000</v>
      </c>
      <c r="L37" s="35"/>
      <c r="M37" s="35" t="s">
        <v>67</v>
      </c>
      <c r="N37" s="35" t="s">
        <v>265</v>
      </c>
      <c r="O37" s="35" t="s">
        <v>68</v>
      </c>
      <c r="P37" s="42" t="n">
        <v>2</v>
      </c>
      <c r="Q37" s="36"/>
      <c r="R37" s="43"/>
      <c r="S37" s="43"/>
      <c r="T37" s="35" t="s">
        <v>204</v>
      </c>
      <c r="U37" s="36" t="s">
        <v>226</v>
      </c>
      <c r="V37" s="44" t="s">
        <v>296</v>
      </c>
      <c r="W37" s="41" t="s">
        <v>297</v>
      </c>
      <c r="X37" s="43" t="s">
        <v>298</v>
      </c>
      <c r="Y37" s="43" t="s">
        <v>299</v>
      </c>
      <c r="Z37" s="35"/>
      <c r="AA37" s="45"/>
      <c r="AB37" s="36"/>
      <c r="AC37" s="35" t="s">
        <v>300</v>
      </c>
      <c r="AD37" s="35" t="s">
        <v>211</v>
      </c>
      <c r="AE37" s="41" t="s">
        <v>301</v>
      </c>
      <c r="AF37" s="36" t="n">
        <v>1</v>
      </c>
      <c r="AG37" s="35"/>
      <c r="AH37" s="43"/>
      <c r="AI37" s="43"/>
      <c r="AJ37" s="35"/>
      <c r="AK37" s="35"/>
      <c r="AL37" s="35"/>
      <c r="AM37" s="46"/>
      <c r="AN37" s="47"/>
      <c r="AO37" s="47"/>
      <c r="AP37" s="47"/>
      <c r="AQ37" s="35"/>
      <c r="AR37" s="36"/>
      <c r="AS37" s="43"/>
      <c r="AT37" s="36"/>
      <c r="AU37" s="43" t="s">
        <v>302</v>
      </c>
      <c r="AV37" s="35" t="s">
        <v>167</v>
      </c>
      <c r="AW37" s="44" t="s">
        <v>293</v>
      </c>
      <c r="AX37" s="43"/>
      <c r="AY37" s="47"/>
    </row>
    <row r="38" customFormat="false" ht="49.5" hidden="false" customHeight="true" outlineLevel="0" collapsed="false">
      <c r="A38" s="34" t="n">
        <v>37</v>
      </c>
      <c r="B38" s="35" t="s">
        <v>59</v>
      </c>
      <c r="C38" s="36" t="s">
        <v>60</v>
      </c>
      <c r="D38" s="36" t="s">
        <v>198</v>
      </c>
      <c r="E38" s="37" t="s">
        <v>303</v>
      </c>
      <c r="F38" s="38" t="n">
        <v>1</v>
      </c>
      <c r="G38" s="39" t="s">
        <v>234</v>
      </c>
      <c r="H38" s="36" t="s">
        <v>98</v>
      </c>
      <c r="I38" s="36" t="s">
        <v>80</v>
      </c>
      <c r="J38" s="36" t="s">
        <v>66</v>
      </c>
      <c r="K38" s="40" t="n">
        <v>2000</v>
      </c>
      <c r="L38" s="35"/>
      <c r="M38" s="35" t="s">
        <v>67</v>
      </c>
      <c r="N38" s="35" t="s">
        <v>265</v>
      </c>
      <c r="O38" s="35" t="s">
        <v>91</v>
      </c>
      <c r="P38" s="42" t="n">
        <v>3</v>
      </c>
      <c r="Q38" s="36"/>
      <c r="R38" s="43" t="s">
        <v>304</v>
      </c>
      <c r="S38" s="43" t="s">
        <v>236</v>
      </c>
      <c r="T38" s="35" t="s">
        <v>204</v>
      </c>
      <c r="U38" s="36" t="s">
        <v>205</v>
      </c>
      <c r="V38" s="43" t="s">
        <v>237</v>
      </c>
      <c r="W38" s="41" t="s">
        <v>238</v>
      </c>
      <c r="X38" s="43" t="s">
        <v>239</v>
      </c>
      <c r="Y38" s="43" t="s">
        <v>266</v>
      </c>
      <c r="Z38" s="35"/>
      <c r="AA38" s="45"/>
      <c r="AB38" s="36"/>
      <c r="AC38" s="41" t="s">
        <v>267</v>
      </c>
      <c r="AD38" s="35" t="s">
        <v>268</v>
      </c>
      <c r="AE38" s="41" t="s">
        <v>269</v>
      </c>
      <c r="AF38" s="36" t="n">
        <v>3</v>
      </c>
      <c r="AG38" s="35"/>
      <c r="AH38" s="44" t="s">
        <v>241</v>
      </c>
      <c r="AI38" s="43"/>
      <c r="AJ38" s="35"/>
      <c r="AK38" s="35"/>
      <c r="AL38" s="35"/>
      <c r="AM38" s="46"/>
      <c r="AN38" s="47"/>
      <c r="AO38" s="47"/>
      <c r="AP38" s="47"/>
      <c r="AQ38" s="35"/>
      <c r="AR38" s="36"/>
      <c r="AS38" s="43"/>
      <c r="AT38" s="36"/>
      <c r="AU38" s="43" t="s">
        <v>242</v>
      </c>
      <c r="AV38" s="35" t="s">
        <v>243</v>
      </c>
      <c r="AW38" s="44" t="s">
        <v>305</v>
      </c>
      <c r="AX38" s="43"/>
      <c r="AY38" s="47"/>
    </row>
    <row r="39" customFormat="false" ht="79.5" hidden="false" customHeight="true" outlineLevel="0" collapsed="false">
      <c r="A39" s="34" t="n">
        <v>38</v>
      </c>
      <c r="B39" s="35" t="s">
        <v>59</v>
      </c>
      <c r="C39" s="36" t="s">
        <v>60</v>
      </c>
      <c r="D39" s="36" t="s">
        <v>198</v>
      </c>
      <c r="E39" s="37" t="s">
        <v>303</v>
      </c>
      <c r="F39" s="38" t="n">
        <v>2</v>
      </c>
      <c r="G39" s="39" t="s">
        <v>274</v>
      </c>
      <c r="H39" s="36" t="s">
        <v>246</v>
      </c>
      <c r="I39" s="36" t="s">
        <v>80</v>
      </c>
      <c r="J39" s="36" t="s">
        <v>66</v>
      </c>
      <c r="K39" s="40" t="n">
        <v>1000</v>
      </c>
      <c r="L39" s="35"/>
      <c r="M39" s="35" t="s">
        <v>67</v>
      </c>
      <c r="N39" s="35" t="s">
        <v>265</v>
      </c>
      <c r="O39" s="35" t="s">
        <v>144</v>
      </c>
      <c r="P39" s="42" t="n">
        <v>2</v>
      </c>
      <c r="Q39" s="36"/>
      <c r="R39" s="43"/>
      <c r="S39" s="43"/>
      <c r="T39" s="35" t="s">
        <v>204</v>
      </c>
      <c r="U39" s="36" t="s">
        <v>226</v>
      </c>
      <c r="V39" s="44" t="s">
        <v>275</v>
      </c>
      <c r="W39" s="41" t="s">
        <v>276</v>
      </c>
      <c r="X39" s="43" t="s">
        <v>277</v>
      </c>
      <c r="Y39" s="43" t="s">
        <v>278</v>
      </c>
      <c r="Z39" s="35"/>
      <c r="AA39" s="45"/>
      <c r="AB39" s="36"/>
      <c r="AC39" s="41" t="s">
        <v>267</v>
      </c>
      <c r="AD39" s="35" t="s">
        <v>211</v>
      </c>
      <c r="AE39" s="41" t="s">
        <v>279</v>
      </c>
      <c r="AF39" s="36" t="n">
        <v>1</v>
      </c>
      <c r="AG39" s="35"/>
      <c r="AH39" s="43"/>
      <c r="AI39" s="43"/>
      <c r="AJ39" s="35"/>
      <c r="AK39" s="35"/>
      <c r="AL39" s="35"/>
      <c r="AM39" s="46"/>
      <c r="AN39" s="47"/>
      <c r="AO39" s="47"/>
      <c r="AP39" s="47"/>
      <c r="AQ39" s="35"/>
      <c r="AR39" s="36"/>
      <c r="AS39" s="43"/>
      <c r="AT39" s="36"/>
      <c r="AU39" s="43" t="s">
        <v>280</v>
      </c>
      <c r="AV39" s="35" t="s">
        <v>281</v>
      </c>
      <c r="AW39" s="44" t="s">
        <v>305</v>
      </c>
      <c r="AX39" s="43"/>
      <c r="AY39" s="47"/>
    </row>
    <row r="40" customFormat="false" ht="79.5" hidden="false" customHeight="true" outlineLevel="0" collapsed="false">
      <c r="A40" s="34" t="n">
        <v>39</v>
      </c>
      <c r="B40" s="35" t="s">
        <v>59</v>
      </c>
      <c r="C40" s="36" t="s">
        <v>60</v>
      </c>
      <c r="D40" s="36" t="s">
        <v>198</v>
      </c>
      <c r="E40" s="37" t="s">
        <v>303</v>
      </c>
      <c r="F40" s="38" t="n">
        <v>3</v>
      </c>
      <c r="G40" s="39" t="s">
        <v>306</v>
      </c>
      <c r="H40" s="36" t="s">
        <v>90</v>
      </c>
      <c r="I40" s="36" t="s">
        <v>80</v>
      </c>
      <c r="J40" s="36" t="s">
        <v>66</v>
      </c>
      <c r="K40" s="40" t="n">
        <v>2000</v>
      </c>
      <c r="L40" s="35"/>
      <c r="M40" s="35" t="s">
        <v>67</v>
      </c>
      <c r="N40" s="35" t="s">
        <v>265</v>
      </c>
      <c r="O40" s="35" t="s">
        <v>68</v>
      </c>
      <c r="P40" s="42" t="n">
        <v>2</v>
      </c>
      <c r="Q40" s="36"/>
      <c r="R40" s="43"/>
      <c r="S40" s="43"/>
      <c r="T40" s="35" t="s">
        <v>204</v>
      </c>
      <c r="U40" s="36" t="s">
        <v>205</v>
      </c>
      <c r="V40" s="44" t="s">
        <v>307</v>
      </c>
      <c r="W40" s="41" t="s">
        <v>308</v>
      </c>
      <c r="X40" s="43" t="s">
        <v>309</v>
      </c>
      <c r="Y40" s="43" t="s">
        <v>310</v>
      </c>
      <c r="Z40" s="35"/>
      <c r="AA40" s="45"/>
      <c r="AB40" s="36"/>
      <c r="AC40" s="41" t="s">
        <v>210</v>
      </c>
      <c r="AD40" s="35" t="s">
        <v>268</v>
      </c>
      <c r="AE40" s="41" t="s">
        <v>311</v>
      </c>
      <c r="AF40" s="36" t="n">
        <v>1</v>
      </c>
      <c r="AG40" s="35"/>
      <c r="AH40" s="43"/>
      <c r="AI40" s="43"/>
      <c r="AJ40" s="35"/>
      <c r="AK40" s="35"/>
      <c r="AL40" s="35"/>
      <c r="AM40" s="46"/>
      <c r="AN40" s="47"/>
      <c r="AO40" s="47"/>
      <c r="AP40" s="47"/>
      <c r="AQ40" s="35"/>
      <c r="AR40" s="36"/>
      <c r="AS40" s="43"/>
      <c r="AT40" s="36"/>
      <c r="AU40" s="43" t="s">
        <v>312</v>
      </c>
      <c r="AV40" s="35" t="s">
        <v>167</v>
      </c>
      <c r="AW40" s="44" t="s">
        <v>305</v>
      </c>
      <c r="AX40" s="43"/>
      <c r="AY40" s="47"/>
    </row>
    <row r="41" customFormat="false" ht="94.5" hidden="false" customHeight="true" outlineLevel="0" collapsed="false">
      <c r="A41" s="34" t="n">
        <v>40</v>
      </c>
      <c r="B41" s="35" t="s">
        <v>59</v>
      </c>
      <c r="C41" s="36" t="s">
        <v>60</v>
      </c>
      <c r="D41" s="36" t="s">
        <v>198</v>
      </c>
      <c r="E41" s="37" t="s">
        <v>303</v>
      </c>
      <c r="F41" s="38" t="n">
        <v>4</v>
      </c>
      <c r="G41" s="39" t="s">
        <v>313</v>
      </c>
      <c r="H41" s="36"/>
      <c r="I41" s="36" t="s">
        <v>80</v>
      </c>
      <c r="J41" s="36" t="s">
        <v>66</v>
      </c>
      <c r="K41" s="40" t="n">
        <v>2000</v>
      </c>
      <c r="L41" s="35"/>
      <c r="M41" s="35" t="s">
        <v>314</v>
      </c>
      <c r="N41" s="35"/>
      <c r="O41" s="35"/>
      <c r="P41" s="42" t="n">
        <v>2</v>
      </c>
      <c r="Q41" s="45" t="s">
        <v>315</v>
      </c>
      <c r="R41" s="43" t="s">
        <v>316</v>
      </c>
      <c r="S41" s="43"/>
      <c r="T41" s="35" t="s">
        <v>204</v>
      </c>
      <c r="U41" s="36" t="s">
        <v>205</v>
      </c>
      <c r="V41" s="44" t="s">
        <v>317</v>
      </c>
      <c r="W41" s="41" t="s">
        <v>318</v>
      </c>
      <c r="X41" s="43" t="s">
        <v>319</v>
      </c>
      <c r="Y41" s="43" t="s">
        <v>320</v>
      </c>
      <c r="Z41" s="35"/>
      <c r="AA41" s="45"/>
      <c r="AB41" s="36"/>
      <c r="AC41" s="41" t="s">
        <v>321</v>
      </c>
      <c r="AD41" s="35" t="s">
        <v>268</v>
      </c>
      <c r="AE41" s="41" t="s">
        <v>322</v>
      </c>
      <c r="AF41" s="36" t="n">
        <v>5</v>
      </c>
      <c r="AG41" s="35"/>
      <c r="AH41" s="43"/>
      <c r="AI41" s="43"/>
      <c r="AJ41" s="35"/>
      <c r="AK41" s="35"/>
      <c r="AL41" s="35"/>
      <c r="AM41" s="46"/>
      <c r="AN41" s="47"/>
      <c r="AO41" s="47"/>
      <c r="AP41" s="47"/>
      <c r="AQ41" s="35"/>
      <c r="AR41" s="36"/>
      <c r="AS41" s="43"/>
      <c r="AT41" s="36"/>
      <c r="AU41" s="43" t="s">
        <v>313</v>
      </c>
      <c r="AV41" s="41" t="s">
        <v>323</v>
      </c>
      <c r="AW41" s="44" t="s">
        <v>305</v>
      </c>
      <c r="AX41" s="43"/>
      <c r="AY41" s="47"/>
    </row>
    <row r="42" customFormat="false" ht="79.5" hidden="false" customHeight="true" outlineLevel="0" collapsed="false">
      <c r="A42" s="34" t="n">
        <v>41</v>
      </c>
      <c r="B42" s="35" t="s">
        <v>59</v>
      </c>
      <c r="C42" s="36" t="s">
        <v>60</v>
      </c>
      <c r="D42" s="36" t="s">
        <v>198</v>
      </c>
      <c r="E42" s="37" t="s">
        <v>324</v>
      </c>
      <c r="F42" s="38" t="n">
        <v>1</v>
      </c>
      <c r="G42" s="39" t="s">
        <v>325</v>
      </c>
      <c r="H42" s="36" t="s">
        <v>98</v>
      </c>
      <c r="I42" s="36" t="s">
        <v>65</v>
      </c>
      <c r="J42" s="36" t="s">
        <v>66</v>
      </c>
      <c r="K42" s="40" t="n">
        <v>2000</v>
      </c>
      <c r="L42" s="35"/>
      <c r="M42" s="35" t="s">
        <v>67</v>
      </c>
      <c r="N42" s="35"/>
      <c r="O42" s="35" t="s">
        <v>68</v>
      </c>
      <c r="P42" s="42" t="n">
        <v>3</v>
      </c>
      <c r="Q42" s="36"/>
      <c r="R42" s="43" t="s">
        <v>326</v>
      </c>
      <c r="S42" s="43" t="s">
        <v>327</v>
      </c>
      <c r="T42" s="35" t="s">
        <v>204</v>
      </c>
      <c r="U42" s="36" t="s">
        <v>205</v>
      </c>
      <c r="V42" s="44" t="s">
        <v>328</v>
      </c>
      <c r="W42" s="41" t="s">
        <v>238</v>
      </c>
      <c r="X42" s="43" t="s">
        <v>239</v>
      </c>
      <c r="Y42" s="43" t="s">
        <v>329</v>
      </c>
      <c r="Z42" s="35"/>
      <c r="AA42" s="45"/>
      <c r="AB42" s="36"/>
      <c r="AC42" s="35" t="s">
        <v>330</v>
      </c>
      <c r="AD42" s="35" t="s">
        <v>331</v>
      </c>
      <c r="AE42" s="41" t="s">
        <v>332</v>
      </c>
      <c r="AF42" s="36" t="n">
        <v>1</v>
      </c>
      <c r="AG42" s="35"/>
      <c r="AH42" s="44" t="s">
        <v>333</v>
      </c>
      <c r="AI42" s="43"/>
      <c r="AJ42" s="35"/>
      <c r="AK42" s="35"/>
      <c r="AL42" s="35"/>
      <c r="AM42" s="46"/>
      <c r="AN42" s="47"/>
      <c r="AO42" s="47"/>
      <c r="AP42" s="47"/>
      <c r="AQ42" s="35"/>
      <c r="AR42" s="36"/>
      <c r="AS42" s="43"/>
      <c r="AT42" s="36"/>
      <c r="AU42" s="43" t="s">
        <v>334</v>
      </c>
      <c r="AV42" s="35" t="s">
        <v>87</v>
      </c>
      <c r="AW42" s="44" t="s">
        <v>335</v>
      </c>
      <c r="AX42" s="43"/>
      <c r="AY42" s="47"/>
    </row>
    <row r="43" customFormat="false" ht="79.5" hidden="false" customHeight="true" outlineLevel="0" collapsed="false">
      <c r="A43" s="34" t="n">
        <v>42</v>
      </c>
      <c r="B43" s="35" t="s">
        <v>59</v>
      </c>
      <c r="C43" s="36" t="s">
        <v>60</v>
      </c>
      <c r="D43" s="36" t="s">
        <v>198</v>
      </c>
      <c r="E43" s="37" t="s">
        <v>336</v>
      </c>
      <c r="F43" s="38" t="n">
        <v>1</v>
      </c>
      <c r="G43" s="39" t="s">
        <v>337</v>
      </c>
      <c r="H43" s="36" t="s">
        <v>90</v>
      </c>
      <c r="I43" s="36" t="s">
        <v>65</v>
      </c>
      <c r="J43" s="36" t="s">
        <v>66</v>
      </c>
      <c r="K43" s="40" t="n">
        <v>2000</v>
      </c>
      <c r="L43" s="35"/>
      <c r="M43" s="35" t="s">
        <v>67</v>
      </c>
      <c r="N43" s="35" t="s">
        <v>265</v>
      </c>
      <c r="O43" s="35" t="s">
        <v>68</v>
      </c>
      <c r="P43" s="42" t="n">
        <v>3</v>
      </c>
      <c r="Q43" s="36"/>
      <c r="R43" s="43" t="s">
        <v>338</v>
      </c>
      <c r="S43" s="43"/>
      <c r="T43" s="35" t="s">
        <v>204</v>
      </c>
      <c r="U43" s="36" t="s">
        <v>205</v>
      </c>
      <c r="V43" s="44" t="s">
        <v>339</v>
      </c>
      <c r="W43" s="41" t="s">
        <v>238</v>
      </c>
      <c r="X43" s="43" t="s">
        <v>239</v>
      </c>
      <c r="Y43" s="43" t="s">
        <v>340</v>
      </c>
      <c r="Z43" s="35"/>
      <c r="AA43" s="45"/>
      <c r="AB43" s="36"/>
      <c r="AC43" s="41" t="s">
        <v>341</v>
      </c>
      <c r="AD43" s="35" t="s">
        <v>268</v>
      </c>
      <c r="AE43" s="41" t="s">
        <v>342</v>
      </c>
      <c r="AF43" s="36" t="n">
        <v>1</v>
      </c>
      <c r="AG43" s="35"/>
      <c r="AH43" s="44" t="s">
        <v>343</v>
      </c>
      <c r="AI43" s="43"/>
      <c r="AJ43" s="35"/>
      <c r="AK43" s="35"/>
      <c r="AL43" s="35"/>
      <c r="AM43" s="46"/>
      <c r="AN43" s="47"/>
      <c r="AO43" s="47"/>
      <c r="AP43" s="47"/>
      <c r="AQ43" s="35"/>
      <c r="AR43" s="36"/>
      <c r="AS43" s="43"/>
      <c r="AT43" s="36"/>
      <c r="AU43" s="43" t="s">
        <v>344</v>
      </c>
      <c r="AV43" s="35" t="s">
        <v>87</v>
      </c>
      <c r="AW43" s="44" t="s">
        <v>345</v>
      </c>
      <c r="AX43" s="43"/>
      <c r="AY43" s="47"/>
    </row>
    <row r="44" customFormat="false" ht="49.5" hidden="false" customHeight="true" outlineLevel="0" collapsed="false">
      <c r="A44" s="34" t="n">
        <v>43</v>
      </c>
      <c r="B44" s="35" t="s">
        <v>59</v>
      </c>
      <c r="C44" s="36" t="s">
        <v>60</v>
      </c>
      <c r="D44" s="36" t="s">
        <v>198</v>
      </c>
      <c r="E44" s="37" t="s">
        <v>336</v>
      </c>
      <c r="F44" s="38" t="n">
        <v>2</v>
      </c>
      <c r="G44" s="39" t="s">
        <v>346</v>
      </c>
      <c r="H44" s="36" t="s">
        <v>246</v>
      </c>
      <c r="I44" s="36" t="s">
        <v>65</v>
      </c>
      <c r="J44" s="36" t="s">
        <v>66</v>
      </c>
      <c r="K44" s="40" t="n">
        <v>1000</v>
      </c>
      <c r="L44" s="35"/>
      <c r="M44" s="35" t="s">
        <v>67</v>
      </c>
      <c r="N44" s="35" t="s">
        <v>265</v>
      </c>
      <c r="O44" s="35" t="s">
        <v>144</v>
      </c>
      <c r="P44" s="42" t="n">
        <v>3</v>
      </c>
      <c r="Q44" s="36"/>
      <c r="R44" s="43" t="s">
        <v>347</v>
      </c>
      <c r="S44" s="43"/>
      <c r="T44" s="35" t="s">
        <v>204</v>
      </c>
      <c r="U44" s="36" t="s">
        <v>226</v>
      </c>
      <c r="V44" s="44" t="s">
        <v>348</v>
      </c>
      <c r="W44" s="41" t="s">
        <v>261</v>
      </c>
      <c r="X44" s="43" t="s">
        <v>262</v>
      </c>
      <c r="Y44" s="43" t="s">
        <v>349</v>
      </c>
      <c r="Z44" s="35"/>
      <c r="AA44" s="45"/>
      <c r="AB44" s="36"/>
      <c r="AC44" s="41" t="s">
        <v>230</v>
      </c>
      <c r="AD44" s="35" t="s">
        <v>268</v>
      </c>
      <c r="AE44" s="41" t="s">
        <v>350</v>
      </c>
      <c r="AF44" s="36" t="n">
        <v>1</v>
      </c>
      <c r="AG44" s="35"/>
      <c r="AH44" s="43"/>
      <c r="AI44" s="43"/>
      <c r="AJ44" s="35"/>
      <c r="AK44" s="35"/>
      <c r="AL44" s="35"/>
      <c r="AM44" s="46"/>
      <c r="AN44" s="47"/>
      <c r="AO44" s="47"/>
      <c r="AP44" s="47"/>
      <c r="AQ44" s="35"/>
      <c r="AR44" s="36"/>
      <c r="AS44" s="43"/>
      <c r="AT44" s="36"/>
      <c r="AU44" s="43" t="s">
        <v>351</v>
      </c>
      <c r="AV44" s="35" t="s">
        <v>154</v>
      </c>
      <c r="AW44" s="44" t="s">
        <v>345</v>
      </c>
      <c r="AX44" s="43"/>
      <c r="AY44" s="47"/>
    </row>
    <row r="45" customFormat="false" ht="79.5" hidden="false" customHeight="true" outlineLevel="0" collapsed="false">
      <c r="A45" s="34" t="n">
        <v>44</v>
      </c>
      <c r="B45" s="35" t="s">
        <v>59</v>
      </c>
      <c r="C45" s="36" t="s">
        <v>60</v>
      </c>
      <c r="D45" s="36" t="s">
        <v>198</v>
      </c>
      <c r="E45" s="37" t="s">
        <v>352</v>
      </c>
      <c r="F45" s="38" t="n">
        <v>1</v>
      </c>
      <c r="G45" s="39" t="s">
        <v>282</v>
      </c>
      <c r="H45" s="36" t="s">
        <v>64</v>
      </c>
      <c r="I45" s="36" t="s">
        <v>80</v>
      </c>
      <c r="J45" s="36" t="s">
        <v>66</v>
      </c>
      <c r="K45" s="40" t="n">
        <v>2000</v>
      </c>
      <c r="L45" s="35"/>
      <c r="M45" s="35" t="s">
        <v>67</v>
      </c>
      <c r="N45" s="35" t="s">
        <v>265</v>
      </c>
      <c r="O45" s="35" t="s">
        <v>144</v>
      </c>
      <c r="P45" s="42" t="n">
        <v>2</v>
      </c>
      <c r="Q45" s="36"/>
      <c r="R45" s="43"/>
      <c r="S45" s="43" t="s">
        <v>283</v>
      </c>
      <c r="T45" s="35" t="s">
        <v>204</v>
      </c>
      <c r="U45" s="36" t="s">
        <v>284</v>
      </c>
      <c r="V45" s="44" t="s">
        <v>285</v>
      </c>
      <c r="W45" s="41" t="s">
        <v>286</v>
      </c>
      <c r="X45" s="43" t="s">
        <v>287</v>
      </c>
      <c r="Y45" s="43" t="s">
        <v>353</v>
      </c>
      <c r="Z45" s="35"/>
      <c r="AA45" s="45"/>
      <c r="AB45" s="36"/>
      <c r="AC45" s="35" t="s">
        <v>272</v>
      </c>
      <c r="AD45" s="35" t="s">
        <v>211</v>
      </c>
      <c r="AE45" s="41" t="s">
        <v>289</v>
      </c>
      <c r="AF45" s="36" t="n">
        <v>1</v>
      </c>
      <c r="AG45" s="35"/>
      <c r="AH45" s="44" t="s">
        <v>354</v>
      </c>
      <c r="AI45" s="43"/>
      <c r="AJ45" s="35"/>
      <c r="AK45" s="35"/>
      <c r="AL45" s="35"/>
      <c r="AM45" s="46"/>
      <c r="AN45" s="47"/>
      <c r="AO45" s="47"/>
      <c r="AP45" s="47"/>
      <c r="AQ45" s="35"/>
      <c r="AR45" s="36"/>
      <c r="AS45" s="43"/>
      <c r="AT45" s="36"/>
      <c r="AU45" s="43" t="s">
        <v>290</v>
      </c>
      <c r="AV45" s="35" t="s">
        <v>281</v>
      </c>
      <c r="AW45" s="44" t="s">
        <v>355</v>
      </c>
      <c r="AX45" s="43"/>
      <c r="AY45" s="47"/>
    </row>
    <row r="46" customFormat="false" ht="34.5" hidden="false" customHeight="true" outlineLevel="0" collapsed="false">
      <c r="A46" s="34" t="n">
        <v>45</v>
      </c>
      <c r="B46" s="35" t="s">
        <v>59</v>
      </c>
      <c r="C46" s="36" t="s">
        <v>60</v>
      </c>
      <c r="D46" s="36" t="s">
        <v>198</v>
      </c>
      <c r="E46" s="37" t="s">
        <v>352</v>
      </c>
      <c r="F46" s="38" t="n">
        <v>2</v>
      </c>
      <c r="G46" s="39" t="s">
        <v>295</v>
      </c>
      <c r="H46" s="36" t="s">
        <v>98</v>
      </c>
      <c r="I46" s="36" t="s">
        <v>80</v>
      </c>
      <c r="J46" s="36" t="s">
        <v>66</v>
      </c>
      <c r="K46" s="40" t="n">
        <v>1000</v>
      </c>
      <c r="L46" s="35"/>
      <c r="M46" s="35" t="s">
        <v>67</v>
      </c>
      <c r="N46" s="35" t="s">
        <v>265</v>
      </c>
      <c r="O46" s="35" t="s">
        <v>68</v>
      </c>
      <c r="P46" s="42" t="n">
        <v>2</v>
      </c>
      <c r="Q46" s="36"/>
      <c r="R46" s="43" t="s">
        <v>356</v>
      </c>
      <c r="S46" s="43"/>
      <c r="T46" s="35" t="s">
        <v>204</v>
      </c>
      <c r="U46" s="36" t="s">
        <v>226</v>
      </c>
      <c r="V46" s="44" t="s">
        <v>296</v>
      </c>
      <c r="W46" s="41" t="s">
        <v>297</v>
      </c>
      <c r="X46" s="43" t="s">
        <v>298</v>
      </c>
      <c r="Y46" s="43" t="s">
        <v>299</v>
      </c>
      <c r="Z46" s="35"/>
      <c r="AA46" s="45"/>
      <c r="AB46" s="36"/>
      <c r="AC46" s="35" t="s">
        <v>300</v>
      </c>
      <c r="AD46" s="35" t="s">
        <v>268</v>
      </c>
      <c r="AE46" s="41" t="s">
        <v>301</v>
      </c>
      <c r="AF46" s="36" t="n">
        <v>1</v>
      </c>
      <c r="AG46" s="35"/>
      <c r="AH46" s="43"/>
      <c r="AI46" s="43"/>
      <c r="AJ46" s="35"/>
      <c r="AK46" s="35"/>
      <c r="AL46" s="35"/>
      <c r="AM46" s="46"/>
      <c r="AN46" s="47"/>
      <c r="AO46" s="47"/>
      <c r="AP46" s="47"/>
      <c r="AQ46" s="35"/>
      <c r="AR46" s="36"/>
      <c r="AS46" s="43"/>
      <c r="AT46" s="36"/>
      <c r="AU46" s="43" t="s">
        <v>302</v>
      </c>
      <c r="AV46" s="35" t="s">
        <v>167</v>
      </c>
      <c r="AW46" s="44" t="s">
        <v>355</v>
      </c>
      <c r="AX46" s="43"/>
      <c r="AY46" s="47"/>
    </row>
    <row r="47" customFormat="false" ht="64.5" hidden="false" customHeight="true" outlineLevel="0" collapsed="false">
      <c r="A47" s="34" t="n">
        <v>46</v>
      </c>
      <c r="B47" s="35" t="s">
        <v>59</v>
      </c>
      <c r="C47" s="36" t="s">
        <v>60</v>
      </c>
      <c r="D47" s="36" t="s">
        <v>198</v>
      </c>
      <c r="E47" s="37" t="s">
        <v>352</v>
      </c>
      <c r="F47" s="38" t="n">
        <v>3</v>
      </c>
      <c r="G47" s="39" t="s">
        <v>357</v>
      </c>
      <c r="H47" s="36" t="s">
        <v>98</v>
      </c>
      <c r="I47" s="36" t="s">
        <v>80</v>
      </c>
      <c r="J47" s="36" t="s">
        <v>66</v>
      </c>
      <c r="K47" s="40" t="n">
        <v>2000</v>
      </c>
      <c r="L47" s="35"/>
      <c r="M47" s="35" t="s">
        <v>67</v>
      </c>
      <c r="N47" s="35" t="s">
        <v>265</v>
      </c>
      <c r="O47" s="35" t="s">
        <v>68</v>
      </c>
      <c r="P47" s="42" t="n">
        <v>2</v>
      </c>
      <c r="Q47" s="36"/>
      <c r="R47" s="43"/>
      <c r="S47" s="43"/>
      <c r="T47" s="35" t="s">
        <v>204</v>
      </c>
      <c r="U47" s="36" t="s">
        <v>226</v>
      </c>
      <c r="V47" s="44" t="s">
        <v>358</v>
      </c>
      <c r="W47" s="41" t="s">
        <v>359</v>
      </c>
      <c r="X47" s="43" t="s">
        <v>360</v>
      </c>
      <c r="Y47" s="43" t="s">
        <v>361</v>
      </c>
      <c r="Z47" s="35"/>
      <c r="AA47" s="45"/>
      <c r="AB47" s="36"/>
      <c r="AC47" s="35" t="s">
        <v>272</v>
      </c>
      <c r="AD47" s="35" t="s">
        <v>268</v>
      </c>
      <c r="AE47" s="41" t="s">
        <v>362</v>
      </c>
      <c r="AF47" s="36" t="n">
        <v>1</v>
      </c>
      <c r="AG47" s="35"/>
      <c r="AH47" s="43"/>
      <c r="AI47" s="43"/>
      <c r="AJ47" s="35"/>
      <c r="AK47" s="35"/>
      <c r="AL47" s="35"/>
      <c r="AM47" s="46"/>
      <c r="AN47" s="47"/>
      <c r="AO47" s="47"/>
      <c r="AP47" s="47"/>
      <c r="AQ47" s="35"/>
      <c r="AR47" s="36"/>
      <c r="AS47" s="43"/>
      <c r="AT47" s="36"/>
      <c r="AU47" s="43" t="s">
        <v>363</v>
      </c>
      <c r="AV47" s="35" t="s">
        <v>167</v>
      </c>
      <c r="AW47" s="44" t="s">
        <v>355</v>
      </c>
      <c r="AX47" s="43"/>
      <c r="AY47" s="47"/>
    </row>
    <row r="48" customFormat="false" ht="64.5" hidden="false" customHeight="true" outlineLevel="0" collapsed="false">
      <c r="A48" s="34" t="n">
        <v>47</v>
      </c>
      <c r="B48" s="35" t="s">
        <v>59</v>
      </c>
      <c r="C48" s="36" t="s">
        <v>60</v>
      </c>
      <c r="D48" s="36" t="s">
        <v>198</v>
      </c>
      <c r="E48" s="37" t="s">
        <v>352</v>
      </c>
      <c r="F48" s="38" t="n">
        <v>4</v>
      </c>
      <c r="G48" s="39" t="s">
        <v>364</v>
      </c>
      <c r="H48" s="36" t="s">
        <v>64</v>
      </c>
      <c r="I48" s="36" t="s">
        <v>80</v>
      </c>
      <c r="J48" s="36" t="s">
        <v>66</v>
      </c>
      <c r="K48" s="40" t="n">
        <v>2500</v>
      </c>
      <c r="L48" s="35"/>
      <c r="M48" s="35" t="s">
        <v>67</v>
      </c>
      <c r="N48" s="35" t="s">
        <v>265</v>
      </c>
      <c r="O48" s="35" t="s">
        <v>68</v>
      </c>
      <c r="P48" s="42" t="n">
        <v>2</v>
      </c>
      <c r="Q48" s="36"/>
      <c r="R48" s="43" t="s">
        <v>365</v>
      </c>
      <c r="S48" s="43"/>
      <c r="T48" s="35" t="s">
        <v>204</v>
      </c>
      <c r="U48" s="36" t="s">
        <v>205</v>
      </c>
      <c r="V48" s="44" t="s">
        <v>366</v>
      </c>
      <c r="W48" s="41" t="s">
        <v>367</v>
      </c>
      <c r="X48" s="43" t="s">
        <v>368</v>
      </c>
      <c r="Y48" s="43" t="s">
        <v>288</v>
      </c>
      <c r="Z48" s="35"/>
      <c r="AA48" s="45"/>
      <c r="AB48" s="36"/>
      <c r="AC48" s="35" t="s">
        <v>369</v>
      </c>
      <c r="AD48" s="35" t="s">
        <v>211</v>
      </c>
      <c r="AE48" s="41" t="s">
        <v>370</v>
      </c>
      <c r="AF48" s="36" t="n">
        <v>2</v>
      </c>
      <c r="AG48" s="35"/>
      <c r="AH48" s="43"/>
      <c r="AI48" s="43"/>
      <c r="AJ48" s="35"/>
      <c r="AK48" s="35"/>
      <c r="AL48" s="35"/>
      <c r="AM48" s="46"/>
      <c r="AN48" s="47"/>
      <c r="AO48" s="47"/>
      <c r="AP48" s="47"/>
      <c r="AQ48" s="35"/>
      <c r="AR48" s="36"/>
      <c r="AS48" s="43"/>
      <c r="AT48" s="36"/>
      <c r="AU48" s="43" t="s">
        <v>371</v>
      </c>
      <c r="AV48" s="35" t="s">
        <v>167</v>
      </c>
      <c r="AW48" s="44" t="s">
        <v>355</v>
      </c>
      <c r="AX48" s="43"/>
      <c r="AY48" s="47"/>
    </row>
    <row r="49" customFormat="false" ht="49.5" hidden="false" customHeight="true" outlineLevel="0" collapsed="false">
      <c r="A49" s="34" t="n">
        <v>48</v>
      </c>
      <c r="B49" s="35" t="s">
        <v>372</v>
      </c>
      <c r="C49" s="36" t="s">
        <v>60</v>
      </c>
      <c r="D49" s="36" t="s">
        <v>61</v>
      </c>
      <c r="E49" s="37" t="s">
        <v>131</v>
      </c>
      <c r="F49" s="38"/>
      <c r="G49" s="39" t="s">
        <v>143</v>
      </c>
      <c r="H49" s="36" t="s">
        <v>98</v>
      </c>
      <c r="I49" s="36" t="s">
        <v>65</v>
      </c>
      <c r="J49" s="36" t="s">
        <v>66</v>
      </c>
      <c r="K49" s="40" t="n">
        <v>1000</v>
      </c>
      <c r="L49" s="35"/>
      <c r="M49" s="35" t="s">
        <v>67</v>
      </c>
      <c r="N49" s="35"/>
      <c r="O49" s="35" t="s">
        <v>144</v>
      </c>
      <c r="P49" s="42" t="n">
        <v>5</v>
      </c>
      <c r="Q49" s="36"/>
      <c r="R49" s="43"/>
      <c r="S49" s="43" t="s">
        <v>70</v>
      </c>
      <c r="T49" s="35"/>
      <c r="U49" s="36"/>
      <c r="V49" s="43" t="s">
        <v>145</v>
      </c>
      <c r="W49" s="35" t="s">
        <v>373</v>
      </c>
      <c r="X49" s="43"/>
      <c r="Y49" s="43"/>
      <c r="Z49" s="35"/>
      <c r="AA49" s="45"/>
      <c r="AB49" s="36"/>
      <c r="AC49" s="35"/>
      <c r="AD49" s="35"/>
      <c r="AE49" s="35"/>
      <c r="AF49" s="36"/>
      <c r="AG49" s="35"/>
      <c r="AH49" s="43"/>
      <c r="AI49" s="43" t="s">
        <v>374</v>
      </c>
      <c r="AJ49" s="35"/>
      <c r="AK49" s="35"/>
      <c r="AL49" s="35"/>
      <c r="AM49" s="46"/>
      <c r="AN49" s="47"/>
      <c r="AO49" s="47"/>
      <c r="AP49" s="47"/>
      <c r="AQ49" s="35"/>
      <c r="AR49" s="36"/>
      <c r="AS49" s="43"/>
      <c r="AT49" s="36"/>
      <c r="AU49" s="43" t="s">
        <v>375</v>
      </c>
      <c r="AV49" s="35" t="s">
        <v>149</v>
      </c>
      <c r="AW49" s="43" t="s">
        <v>376</v>
      </c>
      <c r="AX49" s="43"/>
      <c r="AY49" s="47"/>
    </row>
    <row r="50" customFormat="false" ht="34.5" hidden="false" customHeight="true" outlineLevel="0" collapsed="false">
      <c r="A50" s="34" t="n">
        <v>49</v>
      </c>
      <c r="B50" s="35" t="s">
        <v>372</v>
      </c>
      <c r="C50" s="36" t="s">
        <v>60</v>
      </c>
      <c r="D50" s="36" t="s">
        <v>61</v>
      </c>
      <c r="E50" s="37" t="s">
        <v>78</v>
      </c>
      <c r="F50" s="38"/>
      <c r="G50" s="39" t="s">
        <v>105</v>
      </c>
      <c r="H50" s="36" t="s">
        <v>64</v>
      </c>
      <c r="I50" s="36" t="s">
        <v>65</v>
      </c>
      <c r="J50" s="36" t="s">
        <v>66</v>
      </c>
      <c r="K50" s="40" t="n">
        <v>1000</v>
      </c>
      <c r="L50" s="35"/>
      <c r="M50" s="35" t="s">
        <v>67</v>
      </c>
      <c r="N50" s="35"/>
      <c r="O50" s="35" t="s">
        <v>68</v>
      </c>
      <c r="P50" s="42" t="n">
        <v>3</v>
      </c>
      <c r="Q50" s="36"/>
      <c r="R50" s="43"/>
      <c r="S50" s="43"/>
      <c r="T50" s="35"/>
      <c r="U50" s="36"/>
      <c r="V50" s="44" t="s">
        <v>106</v>
      </c>
      <c r="W50" s="35" t="s">
        <v>377</v>
      </c>
      <c r="X50" s="43"/>
      <c r="Y50" s="43"/>
      <c r="Z50" s="35"/>
      <c r="AA50" s="45"/>
      <c r="AB50" s="36"/>
      <c r="AC50" s="35"/>
      <c r="AD50" s="35"/>
      <c r="AE50" s="35"/>
      <c r="AF50" s="36"/>
      <c r="AG50" s="35"/>
      <c r="AH50" s="43"/>
      <c r="AI50" s="43" t="s">
        <v>378</v>
      </c>
      <c r="AJ50" s="35"/>
      <c r="AK50" s="35"/>
      <c r="AL50" s="35"/>
      <c r="AM50" s="46"/>
      <c r="AN50" s="47"/>
      <c r="AO50" s="47"/>
      <c r="AP50" s="47"/>
      <c r="AQ50" s="35"/>
      <c r="AR50" s="36"/>
      <c r="AS50" s="43"/>
      <c r="AT50" s="36"/>
      <c r="AU50" s="43" t="s">
        <v>379</v>
      </c>
      <c r="AV50" s="35" t="s">
        <v>87</v>
      </c>
      <c r="AW50" s="43" t="s">
        <v>376</v>
      </c>
      <c r="AX50" s="43"/>
      <c r="AY50" s="47"/>
    </row>
    <row r="51" customFormat="false" ht="49.5" hidden="false" customHeight="true" outlineLevel="0" collapsed="false">
      <c r="A51" s="34" t="n">
        <v>50</v>
      </c>
      <c r="B51" s="35" t="s">
        <v>372</v>
      </c>
      <c r="C51" s="36" t="s">
        <v>60</v>
      </c>
      <c r="D51" s="36" t="s">
        <v>61</v>
      </c>
      <c r="E51" s="37" t="s">
        <v>131</v>
      </c>
      <c r="F51" s="38"/>
      <c r="G51" s="39" t="s">
        <v>150</v>
      </c>
      <c r="H51" s="36" t="s">
        <v>64</v>
      </c>
      <c r="I51" s="36" t="s">
        <v>65</v>
      </c>
      <c r="J51" s="36" t="s">
        <v>66</v>
      </c>
      <c r="K51" s="40" t="n">
        <v>1000</v>
      </c>
      <c r="L51" s="35"/>
      <c r="M51" s="35" t="s">
        <v>67</v>
      </c>
      <c r="N51" s="35"/>
      <c r="O51" s="35" t="s">
        <v>144</v>
      </c>
      <c r="P51" s="42" t="n">
        <v>3</v>
      </c>
      <c r="Q51" s="36"/>
      <c r="R51" s="43"/>
      <c r="S51" s="43"/>
      <c r="T51" s="35"/>
      <c r="U51" s="36"/>
      <c r="V51" s="43" t="s">
        <v>151</v>
      </c>
      <c r="W51" s="35" t="s">
        <v>380</v>
      </c>
      <c r="X51" s="43"/>
      <c r="Y51" s="43"/>
      <c r="Z51" s="35"/>
      <c r="AA51" s="45"/>
      <c r="AB51" s="36"/>
      <c r="AC51" s="35"/>
      <c r="AD51" s="35"/>
      <c r="AE51" s="35"/>
      <c r="AF51" s="36"/>
      <c r="AG51" s="35"/>
      <c r="AH51" s="43"/>
      <c r="AI51" s="43" t="s">
        <v>374</v>
      </c>
      <c r="AJ51" s="35"/>
      <c r="AK51" s="35"/>
      <c r="AL51" s="35"/>
      <c r="AM51" s="46"/>
      <c r="AN51" s="47"/>
      <c r="AO51" s="47"/>
      <c r="AP51" s="47"/>
      <c r="AQ51" s="35"/>
      <c r="AR51" s="36"/>
      <c r="AS51" s="43"/>
      <c r="AT51" s="36"/>
      <c r="AU51" s="43" t="s">
        <v>381</v>
      </c>
      <c r="AV51" s="35" t="s">
        <v>154</v>
      </c>
      <c r="AW51" s="43" t="s">
        <v>376</v>
      </c>
      <c r="AX51" s="43"/>
      <c r="AY51" s="47"/>
    </row>
    <row r="52" customFormat="false" ht="34.5" hidden="false" customHeight="true" outlineLevel="0" collapsed="false">
      <c r="A52" s="34" t="n">
        <v>51</v>
      </c>
      <c r="B52" s="35" t="s">
        <v>372</v>
      </c>
      <c r="C52" s="36" t="s">
        <v>60</v>
      </c>
      <c r="D52" s="36" t="s">
        <v>61</v>
      </c>
      <c r="E52" s="37" t="s">
        <v>110</v>
      </c>
      <c r="F52" s="38"/>
      <c r="G52" s="39" t="s">
        <v>122</v>
      </c>
      <c r="H52" s="36" t="s">
        <v>64</v>
      </c>
      <c r="I52" s="36" t="s">
        <v>65</v>
      </c>
      <c r="J52" s="36" t="s">
        <v>66</v>
      </c>
      <c r="K52" s="40" t="n">
        <v>4000</v>
      </c>
      <c r="L52" s="35"/>
      <c r="M52" s="35" t="s">
        <v>112</v>
      </c>
      <c r="N52" s="35"/>
      <c r="O52" s="35" t="s">
        <v>68</v>
      </c>
      <c r="P52" s="42" t="n">
        <v>3</v>
      </c>
      <c r="Q52" s="36"/>
      <c r="R52" s="43"/>
      <c r="S52" s="43"/>
      <c r="T52" s="35"/>
      <c r="U52" s="36"/>
      <c r="V52" s="44" t="s">
        <v>123</v>
      </c>
      <c r="W52" s="35" t="s">
        <v>72</v>
      </c>
      <c r="X52" s="43"/>
      <c r="Y52" s="43"/>
      <c r="Z52" s="35"/>
      <c r="AA52" s="45"/>
      <c r="AB52" s="36"/>
      <c r="AC52" s="35"/>
      <c r="AD52" s="35"/>
      <c r="AE52" s="35"/>
      <c r="AF52" s="36"/>
      <c r="AG52" s="35"/>
      <c r="AH52" s="43"/>
      <c r="AI52" s="43" t="s">
        <v>382</v>
      </c>
      <c r="AJ52" s="35"/>
      <c r="AK52" s="35"/>
      <c r="AL52" s="35"/>
      <c r="AM52" s="46"/>
      <c r="AN52" s="47"/>
      <c r="AO52" s="47"/>
      <c r="AP52" s="47"/>
      <c r="AQ52" s="35"/>
      <c r="AR52" s="36"/>
      <c r="AS52" s="43"/>
      <c r="AT52" s="36"/>
      <c r="AU52" s="43" t="s">
        <v>383</v>
      </c>
      <c r="AV52" s="35" t="s">
        <v>87</v>
      </c>
      <c r="AW52" s="43" t="s">
        <v>376</v>
      </c>
      <c r="AX52" s="43"/>
      <c r="AY52" s="47"/>
    </row>
    <row r="53" customFormat="false" ht="34.5" hidden="false" customHeight="true" outlineLevel="0" collapsed="false">
      <c r="A53" s="34" t="n">
        <v>52</v>
      </c>
      <c r="B53" s="35" t="s">
        <v>372</v>
      </c>
      <c r="C53" s="36" t="s">
        <v>60</v>
      </c>
      <c r="D53" s="36" t="s">
        <v>198</v>
      </c>
      <c r="E53" s="37" t="s">
        <v>199</v>
      </c>
      <c r="F53" s="38"/>
      <c r="G53" s="39" t="s">
        <v>216</v>
      </c>
      <c r="H53" s="36" t="s">
        <v>127</v>
      </c>
      <c r="I53" s="36" t="s">
        <v>65</v>
      </c>
      <c r="J53" s="36" t="s">
        <v>66</v>
      </c>
      <c r="K53" s="40"/>
      <c r="L53" s="41" t="s">
        <v>217</v>
      </c>
      <c r="M53" s="35" t="s">
        <v>189</v>
      </c>
      <c r="N53" s="35" t="s">
        <v>202</v>
      </c>
      <c r="O53" s="35"/>
      <c r="P53" s="42" t="n">
        <v>1</v>
      </c>
      <c r="Q53" s="36"/>
      <c r="R53" s="43"/>
      <c r="S53" s="43"/>
      <c r="T53" s="35" t="s">
        <v>204</v>
      </c>
      <c r="U53" s="36" t="s">
        <v>205</v>
      </c>
      <c r="V53" s="44" t="s">
        <v>218</v>
      </c>
      <c r="W53" s="41" t="s">
        <v>219</v>
      </c>
      <c r="X53" s="43" t="s">
        <v>220</v>
      </c>
      <c r="Y53" s="43"/>
      <c r="Z53" s="35"/>
      <c r="AA53" s="45"/>
      <c r="AB53" s="36"/>
      <c r="AC53" s="41" t="s">
        <v>221</v>
      </c>
      <c r="AD53" s="35" t="s">
        <v>211</v>
      </c>
      <c r="AE53" s="41" t="s">
        <v>222</v>
      </c>
      <c r="AF53" s="36" t="n">
        <v>1</v>
      </c>
      <c r="AG53" s="35"/>
      <c r="AH53" s="43"/>
      <c r="AI53" s="43" t="s">
        <v>384</v>
      </c>
      <c r="AJ53" s="35"/>
      <c r="AK53" s="35"/>
      <c r="AL53" s="35"/>
      <c r="AM53" s="46"/>
      <c r="AN53" s="47"/>
      <c r="AO53" s="47"/>
      <c r="AP53" s="47"/>
      <c r="AQ53" s="35"/>
      <c r="AR53" s="36"/>
      <c r="AS53" s="43"/>
      <c r="AT53" s="36"/>
      <c r="AU53" s="43" t="s">
        <v>385</v>
      </c>
      <c r="AV53" s="35" t="s">
        <v>196</v>
      </c>
      <c r="AW53" s="43" t="s">
        <v>376</v>
      </c>
      <c r="AX53" s="43"/>
      <c r="AY53" s="47"/>
    </row>
    <row r="54" customFormat="false" ht="34.5" hidden="false" customHeight="true" outlineLevel="0" collapsed="false">
      <c r="A54" s="34" t="n">
        <v>53</v>
      </c>
      <c r="B54" s="35" t="s">
        <v>372</v>
      </c>
      <c r="C54" s="36" t="s">
        <v>60</v>
      </c>
      <c r="D54" s="36" t="s">
        <v>61</v>
      </c>
      <c r="E54" s="37" t="s">
        <v>110</v>
      </c>
      <c r="F54" s="38"/>
      <c r="G54" s="39" t="s">
        <v>111</v>
      </c>
      <c r="H54" s="36" t="s">
        <v>98</v>
      </c>
      <c r="I54" s="36" t="s">
        <v>65</v>
      </c>
      <c r="J54" s="36" t="s">
        <v>66</v>
      </c>
      <c r="K54" s="40" t="n">
        <v>1000</v>
      </c>
      <c r="L54" s="35"/>
      <c r="M54" s="35" t="s">
        <v>112</v>
      </c>
      <c r="N54" s="35"/>
      <c r="O54" s="35" t="s">
        <v>113</v>
      </c>
      <c r="P54" s="42" t="n">
        <v>3</v>
      </c>
      <c r="Q54" s="36"/>
      <c r="R54" s="43"/>
      <c r="S54" s="43" t="s">
        <v>114</v>
      </c>
      <c r="T54" s="35"/>
      <c r="U54" s="36"/>
      <c r="V54" s="44" t="s">
        <v>115</v>
      </c>
      <c r="W54" s="35" t="s">
        <v>116</v>
      </c>
      <c r="X54" s="43"/>
      <c r="Y54" s="43"/>
      <c r="Z54" s="35"/>
      <c r="AA54" s="45"/>
      <c r="AB54" s="36"/>
      <c r="AC54" s="35"/>
      <c r="AD54" s="35"/>
      <c r="AE54" s="35"/>
      <c r="AF54" s="36"/>
      <c r="AG54" s="35"/>
      <c r="AH54" s="43"/>
      <c r="AI54" s="43" t="s">
        <v>386</v>
      </c>
      <c r="AJ54" s="35"/>
      <c r="AK54" s="35"/>
      <c r="AL54" s="35"/>
      <c r="AM54" s="46"/>
      <c r="AN54" s="47"/>
      <c r="AO54" s="47"/>
      <c r="AP54" s="47"/>
      <c r="AQ54" s="35"/>
      <c r="AR54" s="36"/>
      <c r="AS54" s="43"/>
      <c r="AT54" s="36"/>
      <c r="AU54" s="43" t="s">
        <v>387</v>
      </c>
      <c r="AV54" s="35" t="s">
        <v>120</v>
      </c>
      <c r="AW54" s="43" t="s">
        <v>376</v>
      </c>
      <c r="AX54" s="43"/>
      <c r="AY54" s="47"/>
    </row>
    <row r="55" customFormat="false" ht="34.5" hidden="false" customHeight="true" outlineLevel="0" collapsed="false">
      <c r="A55" s="34" t="n">
        <v>54</v>
      </c>
      <c r="B55" s="35" t="s">
        <v>372</v>
      </c>
      <c r="C55" s="36" t="s">
        <v>60</v>
      </c>
      <c r="D55" s="36" t="s">
        <v>61</v>
      </c>
      <c r="E55" s="37" t="s">
        <v>126</v>
      </c>
      <c r="F55" s="38"/>
      <c r="G55" s="39" t="s">
        <v>111</v>
      </c>
      <c r="H55" s="36" t="s">
        <v>98</v>
      </c>
      <c r="I55" s="36" t="s">
        <v>65</v>
      </c>
      <c r="J55" s="36" t="s">
        <v>66</v>
      </c>
      <c r="K55" s="40" t="n">
        <v>1000</v>
      </c>
      <c r="L55" s="35"/>
      <c r="M55" s="35" t="s">
        <v>112</v>
      </c>
      <c r="N55" s="35"/>
      <c r="O55" s="35" t="s">
        <v>113</v>
      </c>
      <c r="P55" s="42" t="n">
        <v>3</v>
      </c>
      <c r="Q55" s="36"/>
      <c r="R55" s="43"/>
      <c r="S55" s="43" t="s">
        <v>114</v>
      </c>
      <c r="T55" s="35"/>
      <c r="U55" s="36"/>
      <c r="V55" s="44" t="s">
        <v>115</v>
      </c>
      <c r="W55" s="35" t="s">
        <v>116</v>
      </c>
      <c r="X55" s="43"/>
      <c r="Y55" s="43"/>
      <c r="Z55" s="35"/>
      <c r="AA55" s="45"/>
      <c r="AB55" s="36"/>
      <c r="AC55" s="35"/>
      <c r="AD55" s="35"/>
      <c r="AE55" s="35"/>
      <c r="AF55" s="36"/>
      <c r="AG55" s="35"/>
      <c r="AH55" s="43"/>
      <c r="AI55" s="43" t="s">
        <v>386</v>
      </c>
      <c r="AJ55" s="35"/>
      <c r="AK55" s="35"/>
      <c r="AL55" s="35"/>
      <c r="AM55" s="46"/>
      <c r="AN55" s="47"/>
      <c r="AO55" s="47"/>
      <c r="AP55" s="47"/>
      <c r="AQ55" s="35"/>
      <c r="AR55" s="36"/>
      <c r="AS55" s="43"/>
      <c r="AT55" s="36"/>
      <c r="AU55" s="43" t="s">
        <v>387</v>
      </c>
      <c r="AV55" s="35" t="s">
        <v>120</v>
      </c>
      <c r="AW55" s="43" t="s">
        <v>376</v>
      </c>
      <c r="AX55" s="43"/>
      <c r="AY55" s="47"/>
    </row>
    <row r="56" customFormat="false" ht="34.5" hidden="false" customHeight="true" outlineLevel="0" collapsed="false">
      <c r="A56" s="34" t="n">
        <v>55</v>
      </c>
      <c r="B56" s="35" t="s">
        <v>372</v>
      </c>
      <c r="C56" s="36" t="s">
        <v>60</v>
      </c>
      <c r="D56" s="36" t="s">
        <v>61</v>
      </c>
      <c r="E56" s="37" t="s">
        <v>110</v>
      </c>
      <c r="F56" s="38"/>
      <c r="G56" s="39" t="s">
        <v>111</v>
      </c>
      <c r="H56" s="36" t="s">
        <v>127</v>
      </c>
      <c r="I56" s="36" t="s">
        <v>65</v>
      </c>
      <c r="J56" s="36" t="s">
        <v>66</v>
      </c>
      <c r="K56" s="40" t="n">
        <v>1000</v>
      </c>
      <c r="L56" s="35"/>
      <c r="M56" s="35" t="s">
        <v>112</v>
      </c>
      <c r="N56" s="35"/>
      <c r="O56" s="35" t="s">
        <v>113</v>
      </c>
      <c r="P56" s="42" t="n">
        <v>3</v>
      </c>
      <c r="Q56" s="36"/>
      <c r="R56" s="43"/>
      <c r="S56" s="43" t="s">
        <v>114</v>
      </c>
      <c r="T56" s="35"/>
      <c r="U56" s="36"/>
      <c r="V56" s="44" t="s">
        <v>115</v>
      </c>
      <c r="W56" s="35" t="s">
        <v>116</v>
      </c>
      <c r="X56" s="43"/>
      <c r="Y56" s="43"/>
      <c r="Z56" s="35"/>
      <c r="AA56" s="45"/>
      <c r="AB56" s="36"/>
      <c r="AC56" s="35"/>
      <c r="AD56" s="35"/>
      <c r="AE56" s="35"/>
      <c r="AF56" s="36"/>
      <c r="AG56" s="35"/>
      <c r="AH56" s="43"/>
      <c r="AI56" s="43" t="s">
        <v>388</v>
      </c>
      <c r="AJ56" s="35"/>
      <c r="AK56" s="35"/>
      <c r="AL56" s="35"/>
      <c r="AM56" s="46"/>
      <c r="AN56" s="47"/>
      <c r="AO56" s="47"/>
      <c r="AP56" s="47"/>
      <c r="AQ56" s="35"/>
      <c r="AR56" s="36"/>
      <c r="AS56" s="43"/>
      <c r="AT56" s="36"/>
      <c r="AU56" s="43" t="s">
        <v>389</v>
      </c>
      <c r="AV56" s="35" t="s">
        <v>120</v>
      </c>
      <c r="AW56" s="43" t="s">
        <v>376</v>
      </c>
      <c r="AX56" s="43"/>
      <c r="AY56" s="47"/>
    </row>
    <row r="57" customFormat="false" ht="34.5" hidden="false" customHeight="true" outlineLevel="0" collapsed="false">
      <c r="A57" s="34" t="n">
        <v>56</v>
      </c>
      <c r="B57" s="35" t="s">
        <v>372</v>
      </c>
      <c r="C57" s="36" t="s">
        <v>60</v>
      </c>
      <c r="D57" s="36" t="s">
        <v>61</v>
      </c>
      <c r="E57" s="37" t="s">
        <v>126</v>
      </c>
      <c r="F57" s="38"/>
      <c r="G57" s="39" t="s">
        <v>111</v>
      </c>
      <c r="H57" s="36" t="s">
        <v>127</v>
      </c>
      <c r="I57" s="36" t="s">
        <v>65</v>
      </c>
      <c r="J57" s="36" t="s">
        <v>66</v>
      </c>
      <c r="K57" s="40" t="n">
        <v>1000</v>
      </c>
      <c r="L57" s="35"/>
      <c r="M57" s="35" t="s">
        <v>112</v>
      </c>
      <c r="N57" s="35"/>
      <c r="O57" s="35" t="s">
        <v>113</v>
      </c>
      <c r="P57" s="42" t="n">
        <v>3</v>
      </c>
      <c r="Q57" s="36"/>
      <c r="R57" s="43"/>
      <c r="S57" s="43" t="s">
        <v>114</v>
      </c>
      <c r="T57" s="35"/>
      <c r="U57" s="36"/>
      <c r="V57" s="44" t="s">
        <v>115</v>
      </c>
      <c r="W57" s="35" t="s">
        <v>116</v>
      </c>
      <c r="X57" s="43"/>
      <c r="Y57" s="43"/>
      <c r="Z57" s="35"/>
      <c r="AA57" s="45"/>
      <c r="AB57" s="36"/>
      <c r="AC57" s="35"/>
      <c r="AD57" s="35"/>
      <c r="AE57" s="35"/>
      <c r="AF57" s="36"/>
      <c r="AG57" s="35"/>
      <c r="AH57" s="43"/>
      <c r="AI57" s="43" t="s">
        <v>388</v>
      </c>
      <c r="AJ57" s="35"/>
      <c r="AK57" s="35"/>
      <c r="AL57" s="35"/>
      <c r="AM57" s="46"/>
      <c r="AN57" s="47"/>
      <c r="AO57" s="47"/>
      <c r="AP57" s="47"/>
      <c r="AQ57" s="35"/>
      <c r="AR57" s="36"/>
      <c r="AS57" s="43"/>
      <c r="AT57" s="36"/>
      <c r="AU57" s="43" t="s">
        <v>389</v>
      </c>
      <c r="AV57" s="35" t="s">
        <v>120</v>
      </c>
      <c r="AW57" s="43" t="s">
        <v>376</v>
      </c>
      <c r="AX57" s="43"/>
      <c r="AY57" s="47"/>
    </row>
    <row r="58" customFormat="false" ht="34.5" hidden="false" customHeight="true" outlineLevel="0" collapsed="false">
      <c r="A58" s="34" t="n">
        <v>57</v>
      </c>
      <c r="B58" s="35" t="s">
        <v>372</v>
      </c>
      <c r="C58" s="36" t="s">
        <v>60</v>
      </c>
      <c r="D58" s="36" t="s">
        <v>61</v>
      </c>
      <c r="E58" s="37" t="s">
        <v>168</v>
      </c>
      <c r="F58" s="38"/>
      <c r="G58" s="39" t="s">
        <v>111</v>
      </c>
      <c r="H58" s="36" t="s">
        <v>127</v>
      </c>
      <c r="I58" s="36" t="s">
        <v>65</v>
      </c>
      <c r="J58" s="36" t="s">
        <v>66</v>
      </c>
      <c r="K58" s="40" t="n">
        <v>1000</v>
      </c>
      <c r="L58" s="35"/>
      <c r="M58" s="35" t="s">
        <v>112</v>
      </c>
      <c r="N58" s="35"/>
      <c r="O58" s="35" t="s">
        <v>113</v>
      </c>
      <c r="P58" s="42" t="n">
        <v>3</v>
      </c>
      <c r="Q58" s="36"/>
      <c r="R58" s="43"/>
      <c r="S58" s="43" t="s">
        <v>114</v>
      </c>
      <c r="T58" s="35"/>
      <c r="U58" s="36"/>
      <c r="V58" s="44" t="s">
        <v>115</v>
      </c>
      <c r="W58" s="35" t="s">
        <v>116</v>
      </c>
      <c r="X58" s="43"/>
      <c r="Y58" s="43"/>
      <c r="Z58" s="35"/>
      <c r="AA58" s="45"/>
      <c r="AB58" s="36"/>
      <c r="AC58" s="35"/>
      <c r="AD58" s="35"/>
      <c r="AE58" s="35"/>
      <c r="AF58" s="36"/>
      <c r="AG58" s="35"/>
      <c r="AH58" s="43"/>
      <c r="AI58" s="43" t="s">
        <v>388</v>
      </c>
      <c r="AJ58" s="35"/>
      <c r="AK58" s="35"/>
      <c r="AL58" s="35"/>
      <c r="AM58" s="46"/>
      <c r="AN58" s="47"/>
      <c r="AO58" s="47"/>
      <c r="AP58" s="47"/>
      <c r="AQ58" s="35"/>
      <c r="AR58" s="36"/>
      <c r="AS58" s="43"/>
      <c r="AT58" s="36"/>
      <c r="AU58" s="43" t="s">
        <v>389</v>
      </c>
      <c r="AV58" s="35" t="s">
        <v>120</v>
      </c>
      <c r="AW58" s="43" t="s">
        <v>376</v>
      </c>
      <c r="AX58" s="43"/>
      <c r="AY58" s="47"/>
    </row>
    <row r="59" customFormat="false" ht="64.5" hidden="false" customHeight="true" outlineLevel="0" collapsed="false">
      <c r="A59" s="34" t="n">
        <v>58</v>
      </c>
      <c r="B59" s="35" t="s">
        <v>372</v>
      </c>
      <c r="C59" s="36" t="s">
        <v>60</v>
      </c>
      <c r="D59" s="36" t="s">
        <v>198</v>
      </c>
      <c r="E59" s="37" t="s">
        <v>199</v>
      </c>
      <c r="F59" s="38"/>
      <c r="G59" s="39" t="s">
        <v>224</v>
      </c>
      <c r="H59" s="36" t="s">
        <v>127</v>
      </c>
      <c r="I59" s="36" t="s">
        <v>65</v>
      </c>
      <c r="J59" s="36" t="s">
        <v>66</v>
      </c>
      <c r="K59" s="40"/>
      <c r="L59" s="41" t="s">
        <v>225</v>
      </c>
      <c r="M59" s="35" t="s">
        <v>189</v>
      </c>
      <c r="N59" s="35" t="s">
        <v>202</v>
      </c>
      <c r="O59" s="35"/>
      <c r="P59" s="42" t="n">
        <v>1</v>
      </c>
      <c r="Q59" s="36"/>
      <c r="R59" s="43"/>
      <c r="S59" s="43"/>
      <c r="T59" s="35" t="s">
        <v>204</v>
      </c>
      <c r="U59" s="36" t="s">
        <v>226</v>
      </c>
      <c r="V59" s="44" t="s">
        <v>227</v>
      </c>
      <c r="W59" s="41" t="s">
        <v>228</v>
      </c>
      <c r="X59" s="43" t="s">
        <v>229</v>
      </c>
      <c r="Y59" s="43"/>
      <c r="Z59" s="35"/>
      <c r="AA59" s="45"/>
      <c r="AB59" s="36"/>
      <c r="AC59" s="41" t="s">
        <v>230</v>
      </c>
      <c r="AD59" s="35" t="s">
        <v>211</v>
      </c>
      <c r="AE59" s="41" t="s">
        <v>231</v>
      </c>
      <c r="AF59" s="36" t="n">
        <v>1</v>
      </c>
      <c r="AG59" s="35"/>
      <c r="AH59" s="43"/>
      <c r="AI59" s="43" t="s">
        <v>384</v>
      </c>
      <c r="AJ59" s="35"/>
      <c r="AK59" s="35"/>
      <c r="AL59" s="35"/>
      <c r="AM59" s="46"/>
      <c r="AN59" s="47"/>
      <c r="AO59" s="47"/>
      <c r="AP59" s="47"/>
      <c r="AQ59" s="35"/>
      <c r="AR59" s="36"/>
      <c r="AS59" s="43"/>
      <c r="AT59" s="36"/>
      <c r="AU59" s="43" t="s">
        <v>390</v>
      </c>
      <c r="AV59" s="35" t="s">
        <v>196</v>
      </c>
      <c r="AW59" s="43" t="s">
        <v>376</v>
      </c>
      <c r="AX59" s="43"/>
      <c r="AY59" s="47"/>
    </row>
    <row r="60" customFormat="false" ht="34.5" hidden="false" customHeight="true" outlineLevel="0" collapsed="false">
      <c r="A60" s="34" t="n">
        <v>59</v>
      </c>
      <c r="B60" s="35" t="s">
        <v>372</v>
      </c>
      <c r="C60" s="36" t="s">
        <v>60</v>
      </c>
      <c r="D60" s="36" t="s">
        <v>198</v>
      </c>
      <c r="E60" s="37" t="s">
        <v>199</v>
      </c>
      <c r="F60" s="38"/>
      <c r="G60" s="39" t="s">
        <v>200</v>
      </c>
      <c r="H60" s="36" t="s">
        <v>127</v>
      </c>
      <c r="I60" s="36" t="s">
        <v>65</v>
      </c>
      <c r="J60" s="36" t="s">
        <v>66</v>
      </c>
      <c r="K60" s="40"/>
      <c r="L60" s="41" t="s">
        <v>201</v>
      </c>
      <c r="M60" s="35" t="s">
        <v>189</v>
      </c>
      <c r="N60" s="35" t="s">
        <v>202</v>
      </c>
      <c r="O60" s="35"/>
      <c r="P60" s="42" t="n">
        <v>1</v>
      </c>
      <c r="Q60" s="36"/>
      <c r="R60" s="43"/>
      <c r="S60" s="43" t="s">
        <v>203</v>
      </c>
      <c r="T60" s="35" t="s">
        <v>204</v>
      </c>
      <c r="U60" s="36" t="s">
        <v>205</v>
      </c>
      <c r="V60" s="44" t="s">
        <v>206</v>
      </c>
      <c r="W60" s="41" t="s">
        <v>207</v>
      </c>
      <c r="X60" s="43" t="s">
        <v>208</v>
      </c>
      <c r="Y60" s="43"/>
      <c r="Z60" s="35"/>
      <c r="AA60" s="45"/>
      <c r="AB60" s="36"/>
      <c r="AC60" s="41" t="s">
        <v>210</v>
      </c>
      <c r="AD60" s="35" t="s">
        <v>211</v>
      </c>
      <c r="AE60" s="41" t="s">
        <v>212</v>
      </c>
      <c r="AF60" s="36" t="n">
        <v>1</v>
      </c>
      <c r="AG60" s="35"/>
      <c r="AH60" s="43"/>
      <c r="AI60" s="43" t="s">
        <v>384</v>
      </c>
      <c r="AJ60" s="35"/>
      <c r="AK60" s="35"/>
      <c r="AL60" s="35"/>
      <c r="AM60" s="46"/>
      <c r="AN60" s="47"/>
      <c r="AO60" s="47"/>
      <c r="AP60" s="47"/>
      <c r="AQ60" s="35"/>
      <c r="AR60" s="36"/>
      <c r="AS60" s="43"/>
      <c r="AT60" s="36"/>
      <c r="AU60" s="43" t="s">
        <v>391</v>
      </c>
      <c r="AV60" s="35" t="s">
        <v>196</v>
      </c>
      <c r="AW60" s="43" t="s">
        <v>376</v>
      </c>
      <c r="AX60" s="43"/>
      <c r="AY60" s="47"/>
    </row>
    <row r="61" customFormat="false" ht="34.5" hidden="false" customHeight="true" outlineLevel="0" collapsed="false">
      <c r="A61" s="34" t="n">
        <v>60</v>
      </c>
      <c r="B61" s="35" t="s">
        <v>372</v>
      </c>
      <c r="C61" s="36" t="s">
        <v>60</v>
      </c>
      <c r="D61" s="36" t="s">
        <v>198</v>
      </c>
      <c r="E61" s="37" t="s">
        <v>336</v>
      </c>
      <c r="F61" s="38"/>
      <c r="G61" s="39" t="s">
        <v>337</v>
      </c>
      <c r="H61" s="36" t="s">
        <v>90</v>
      </c>
      <c r="I61" s="36" t="s">
        <v>65</v>
      </c>
      <c r="J61" s="36" t="s">
        <v>66</v>
      </c>
      <c r="K61" s="40" t="n">
        <v>2000</v>
      </c>
      <c r="L61" s="35"/>
      <c r="M61" s="35" t="s">
        <v>67</v>
      </c>
      <c r="N61" s="35" t="s">
        <v>265</v>
      </c>
      <c r="O61" s="35" t="s">
        <v>68</v>
      </c>
      <c r="P61" s="42" t="n">
        <v>3</v>
      </c>
      <c r="Q61" s="36"/>
      <c r="R61" s="43" t="s">
        <v>392</v>
      </c>
      <c r="S61" s="43"/>
      <c r="T61" s="35" t="s">
        <v>204</v>
      </c>
      <c r="U61" s="36" t="s">
        <v>205</v>
      </c>
      <c r="V61" s="44" t="s">
        <v>339</v>
      </c>
      <c r="W61" s="41" t="s">
        <v>238</v>
      </c>
      <c r="X61" s="43" t="s">
        <v>239</v>
      </c>
      <c r="Y61" s="43"/>
      <c r="Z61" s="35"/>
      <c r="AA61" s="45"/>
      <c r="AB61" s="36"/>
      <c r="AC61" s="41" t="s">
        <v>341</v>
      </c>
      <c r="AD61" s="35" t="s">
        <v>268</v>
      </c>
      <c r="AE61" s="41" t="s">
        <v>342</v>
      </c>
      <c r="AF61" s="36" t="n">
        <v>1</v>
      </c>
      <c r="AG61" s="35"/>
      <c r="AH61" s="43"/>
      <c r="AI61" s="43" t="s">
        <v>393</v>
      </c>
      <c r="AJ61" s="35"/>
      <c r="AK61" s="35"/>
      <c r="AL61" s="35"/>
      <c r="AM61" s="46"/>
      <c r="AN61" s="47"/>
      <c r="AO61" s="47"/>
      <c r="AP61" s="47"/>
      <c r="AQ61" s="35"/>
      <c r="AR61" s="36"/>
      <c r="AS61" s="43"/>
      <c r="AT61" s="36"/>
      <c r="AU61" s="43" t="s">
        <v>394</v>
      </c>
      <c r="AV61" s="35" t="s">
        <v>87</v>
      </c>
      <c r="AW61" s="43" t="s">
        <v>376</v>
      </c>
      <c r="AX61" s="43"/>
      <c r="AY61" s="47"/>
    </row>
    <row r="62" customFormat="false" ht="34.5" hidden="false" customHeight="true" outlineLevel="0" collapsed="false">
      <c r="A62" s="34" t="n">
        <v>61</v>
      </c>
      <c r="B62" s="35" t="s">
        <v>372</v>
      </c>
      <c r="C62" s="36" t="s">
        <v>60</v>
      </c>
      <c r="D62" s="36" t="s">
        <v>61</v>
      </c>
      <c r="E62" s="37" t="s">
        <v>78</v>
      </c>
      <c r="F62" s="38"/>
      <c r="G62" s="39" t="s">
        <v>97</v>
      </c>
      <c r="H62" s="36" t="s">
        <v>98</v>
      </c>
      <c r="I62" s="36" t="s">
        <v>65</v>
      </c>
      <c r="J62" s="36" t="s">
        <v>66</v>
      </c>
      <c r="K62" s="40" t="n">
        <v>2000</v>
      </c>
      <c r="L62" s="35"/>
      <c r="M62" s="35" t="s">
        <v>67</v>
      </c>
      <c r="N62" s="35"/>
      <c r="O62" s="35" t="s">
        <v>91</v>
      </c>
      <c r="P62" s="42" t="n">
        <v>4</v>
      </c>
      <c r="Q62" s="36"/>
      <c r="R62" s="43"/>
      <c r="S62" s="43"/>
      <c r="T62" s="35"/>
      <c r="U62" s="36"/>
      <c r="V62" s="44" t="s">
        <v>99</v>
      </c>
      <c r="W62" s="35" t="s">
        <v>100</v>
      </c>
      <c r="X62" s="44" t="s">
        <v>101</v>
      </c>
      <c r="Y62" s="43"/>
      <c r="Z62" s="35"/>
      <c r="AA62" s="45"/>
      <c r="AB62" s="36"/>
      <c r="AC62" s="35"/>
      <c r="AD62" s="35"/>
      <c r="AE62" s="35"/>
      <c r="AF62" s="36"/>
      <c r="AG62" s="35"/>
      <c r="AH62" s="43"/>
      <c r="AI62" s="43" t="s">
        <v>395</v>
      </c>
      <c r="AJ62" s="35"/>
      <c r="AK62" s="35"/>
      <c r="AL62" s="35"/>
      <c r="AM62" s="46"/>
      <c r="AN62" s="47"/>
      <c r="AO62" s="47"/>
      <c r="AP62" s="47"/>
      <c r="AQ62" s="35"/>
      <c r="AR62" s="36"/>
      <c r="AS62" s="43"/>
      <c r="AT62" s="36"/>
      <c r="AU62" s="43" t="s">
        <v>396</v>
      </c>
      <c r="AV62" s="35" t="s">
        <v>104</v>
      </c>
      <c r="AW62" s="43" t="s">
        <v>376</v>
      </c>
      <c r="AX62" s="43"/>
      <c r="AY62" s="47"/>
    </row>
    <row r="63" customFormat="false" ht="34.5" hidden="false" customHeight="true" outlineLevel="0" collapsed="false">
      <c r="A63" s="34" t="n">
        <v>62</v>
      </c>
      <c r="B63" s="35" t="s">
        <v>372</v>
      </c>
      <c r="C63" s="36" t="s">
        <v>60</v>
      </c>
      <c r="D63" s="36" t="s">
        <v>61</v>
      </c>
      <c r="E63" s="37" t="s">
        <v>155</v>
      </c>
      <c r="F63" s="38"/>
      <c r="G63" s="39" t="s">
        <v>97</v>
      </c>
      <c r="H63" s="36" t="s">
        <v>98</v>
      </c>
      <c r="I63" s="36" t="s">
        <v>65</v>
      </c>
      <c r="J63" s="36" t="s">
        <v>66</v>
      </c>
      <c r="K63" s="40" t="n">
        <v>2000</v>
      </c>
      <c r="L63" s="35"/>
      <c r="M63" s="35" t="s">
        <v>67</v>
      </c>
      <c r="N63" s="35"/>
      <c r="O63" s="35" t="s">
        <v>91</v>
      </c>
      <c r="P63" s="42" t="n">
        <v>4</v>
      </c>
      <c r="Q63" s="36"/>
      <c r="R63" s="43"/>
      <c r="S63" s="43"/>
      <c r="T63" s="35"/>
      <c r="U63" s="36"/>
      <c r="V63" s="44" t="s">
        <v>99</v>
      </c>
      <c r="W63" s="35" t="s">
        <v>100</v>
      </c>
      <c r="X63" s="44" t="s">
        <v>101</v>
      </c>
      <c r="Y63" s="43"/>
      <c r="Z63" s="35"/>
      <c r="AA63" s="45"/>
      <c r="AB63" s="36"/>
      <c r="AC63" s="35"/>
      <c r="AD63" s="35"/>
      <c r="AE63" s="35"/>
      <c r="AF63" s="36"/>
      <c r="AG63" s="35"/>
      <c r="AH63" s="43"/>
      <c r="AI63" s="43" t="s">
        <v>395</v>
      </c>
      <c r="AJ63" s="35"/>
      <c r="AK63" s="35"/>
      <c r="AL63" s="35"/>
      <c r="AM63" s="46"/>
      <c r="AN63" s="47"/>
      <c r="AO63" s="47"/>
      <c r="AP63" s="47"/>
      <c r="AQ63" s="35"/>
      <c r="AR63" s="36"/>
      <c r="AS63" s="43"/>
      <c r="AT63" s="36"/>
      <c r="AU63" s="43" t="s">
        <v>396</v>
      </c>
      <c r="AV63" s="35" t="s">
        <v>104</v>
      </c>
      <c r="AW63" s="43" t="s">
        <v>376</v>
      </c>
      <c r="AX63" s="43"/>
      <c r="AY63" s="47"/>
    </row>
    <row r="64" customFormat="false" ht="34.5" hidden="false" customHeight="true" outlineLevel="0" collapsed="false">
      <c r="A64" s="34" t="n">
        <v>63</v>
      </c>
      <c r="B64" s="35" t="s">
        <v>372</v>
      </c>
      <c r="C64" s="36" t="s">
        <v>60</v>
      </c>
      <c r="D64" s="36" t="s">
        <v>198</v>
      </c>
      <c r="E64" s="37" t="s">
        <v>336</v>
      </c>
      <c r="F64" s="38"/>
      <c r="G64" s="39" t="s">
        <v>346</v>
      </c>
      <c r="H64" s="36" t="s">
        <v>246</v>
      </c>
      <c r="I64" s="36" t="s">
        <v>65</v>
      </c>
      <c r="J64" s="36" t="s">
        <v>66</v>
      </c>
      <c r="K64" s="40" t="n">
        <v>1000</v>
      </c>
      <c r="L64" s="35"/>
      <c r="M64" s="35" t="s">
        <v>67</v>
      </c>
      <c r="N64" s="35" t="s">
        <v>265</v>
      </c>
      <c r="O64" s="35" t="s">
        <v>144</v>
      </c>
      <c r="P64" s="42" t="n">
        <v>3</v>
      </c>
      <c r="Q64" s="36"/>
      <c r="R64" s="43" t="s">
        <v>347</v>
      </c>
      <c r="S64" s="43"/>
      <c r="T64" s="35" t="s">
        <v>204</v>
      </c>
      <c r="U64" s="36" t="s">
        <v>226</v>
      </c>
      <c r="V64" s="44" t="s">
        <v>348</v>
      </c>
      <c r="W64" s="41" t="s">
        <v>261</v>
      </c>
      <c r="X64" s="43" t="s">
        <v>262</v>
      </c>
      <c r="Y64" s="43"/>
      <c r="Z64" s="35"/>
      <c r="AA64" s="45"/>
      <c r="AB64" s="36"/>
      <c r="AC64" s="41" t="s">
        <v>230</v>
      </c>
      <c r="AD64" s="35" t="s">
        <v>268</v>
      </c>
      <c r="AE64" s="41" t="s">
        <v>350</v>
      </c>
      <c r="AF64" s="36" t="n">
        <v>1</v>
      </c>
      <c r="AG64" s="35"/>
      <c r="AH64" s="43"/>
      <c r="AI64" s="43" t="s">
        <v>393</v>
      </c>
      <c r="AJ64" s="35"/>
      <c r="AK64" s="35"/>
      <c r="AL64" s="35"/>
      <c r="AM64" s="46"/>
      <c r="AN64" s="47"/>
      <c r="AO64" s="47"/>
      <c r="AP64" s="47"/>
      <c r="AQ64" s="35"/>
      <c r="AR64" s="36"/>
      <c r="AS64" s="43"/>
      <c r="AT64" s="36"/>
      <c r="AU64" s="43" t="s">
        <v>397</v>
      </c>
      <c r="AV64" s="35" t="s">
        <v>154</v>
      </c>
      <c r="AW64" s="43" t="s">
        <v>376</v>
      </c>
      <c r="AX64" s="43"/>
      <c r="AY64" s="47"/>
    </row>
    <row r="65" customFormat="false" ht="49.5" hidden="false" customHeight="true" outlineLevel="0" collapsed="false">
      <c r="A65" s="34" t="n">
        <v>64</v>
      </c>
      <c r="B65" s="35" t="s">
        <v>372</v>
      </c>
      <c r="C65" s="36" t="s">
        <v>60</v>
      </c>
      <c r="D65" s="36" t="s">
        <v>198</v>
      </c>
      <c r="E65" s="37" t="s">
        <v>324</v>
      </c>
      <c r="F65" s="38"/>
      <c r="G65" s="39" t="s">
        <v>325</v>
      </c>
      <c r="H65" s="36" t="s">
        <v>98</v>
      </c>
      <c r="I65" s="36" t="s">
        <v>65</v>
      </c>
      <c r="J65" s="36" t="s">
        <v>66</v>
      </c>
      <c r="K65" s="40" t="n">
        <v>2000</v>
      </c>
      <c r="L65" s="35"/>
      <c r="M65" s="35" t="s">
        <v>67</v>
      </c>
      <c r="N65" s="35"/>
      <c r="O65" s="35" t="s">
        <v>91</v>
      </c>
      <c r="P65" s="42" t="n">
        <v>3</v>
      </c>
      <c r="Q65" s="36"/>
      <c r="R65" s="43" t="s">
        <v>398</v>
      </c>
      <c r="S65" s="43" t="s">
        <v>327</v>
      </c>
      <c r="T65" s="35" t="s">
        <v>204</v>
      </c>
      <c r="U65" s="36" t="s">
        <v>205</v>
      </c>
      <c r="V65" s="44" t="s">
        <v>328</v>
      </c>
      <c r="W65" s="41" t="s">
        <v>238</v>
      </c>
      <c r="X65" s="43" t="s">
        <v>239</v>
      </c>
      <c r="Y65" s="43"/>
      <c r="Z65" s="35"/>
      <c r="AA65" s="45"/>
      <c r="AB65" s="36"/>
      <c r="AC65" s="35" t="s">
        <v>330</v>
      </c>
      <c r="AD65" s="35" t="s">
        <v>331</v>
      </c>
      <c r="AE65" s="41" t="s">
        <v>332</v>
      </c>
      <c r="AF65" s="36" t="n">
        <v>1</v>
      </c>
      <c r="AG65" s="35"/>
      <c r="AH65" s="43"/>
      <c r="AI65" s="43" t="s">
        <v>399</v>
      </c>
      <c r="AJ65" s="35"/>
      <c r="AK65" s="35"/>
      <c r="AL65" s="35"/>
      <c r="AM65" s="46"/>
      <c r="AN65" s="47"/>
      <c r="AO65" s="47"/>
      <c r="AP65" s="47"/>
      <c r="AQ65" s="35"/>
      <c r="AR65" s="36"/>
      <c r="AS65" s="43"/>
      <c r="AT65" s="36"/>
      <c r="AU65" s="43" t="s">
        <v>400</v>
      </c>
      <c r="AV65" s="35" t="s">
        <v>243</v>
      </c>
      <c r="AW65" s="43" t="s">
        <v>376</v>
      </c>
      <c r="AX65" s="43"/>
      <c r="AY65" s="47"/>
    </row>
    <row r="66" customFormat="false" ht="34.5" hidden="false" customHeight="true" outlineLevel="0" collapsed="false">
      <c r="A66" s="34" t="n">
        <v>65</v>
      </c>
      <c r="B66" s="35" t="s">
        <v>372</v>
      </c>
      <c r="C66" s="36" t="s">
        <v>60</v>
      </c>
      <c r="D66" s="36" t="s">
        <v>61</v>
      </c>
      <c r="E66" s="37" t="s">
        <v>187</v>
      </c>
      <c r="F66" s="38"/>
      <c r="G66" s="39" t="s">
        <v>188</v>
      </c>
      <c r="H66" s="36" t="s">
        <v>127</v>
      </c>
      <c r="I66" s="36" t="s">
        <v>65</v>
      </c>
      <c r="J66" s="36" t="s">
        <v>66</v>
      </c>
      <c r="K66" s="40"/>
      <c r="L66" s="35"/>
      <c r="M66" s="35" t="s">
        <v>189</v>
      </c>
      <c r="N66" s="35" t="s">
        <v>202</v>
      </c>
      <c r="O66" s="35"/>
      <c r="P66" s="42" t="n">
        <v>1</v>
      </c>
      <c r="Q66" s="36"/>
      <c r="R66" s="43"/>
      <c r="S66" s="43"/>
      <c r="T66" s="35"/>
      <c r="U66" s="36"/>
      <c r="V66" s="44" t="s">
        <v>192</v>
      </c>
      <c r="W66" s="35" t="s">
        <v>193</v>
      </c>
      <c r="X66" s="43"/>
      <c r="Y66" s="43"/>
      <c r="Z66" s="35"/>
      <c r="AA66" s="45"/>
      <c r="AB66" s="36"/>
      <c r="AC66" s="35"/>
      <c r="AD66" s="35"/>
      <c r="AE66" s="35"/>
      <c r="AF66" s="36"/>
      <c r="AG66" s="35"/>
      <c r="AH66" s="43"/>
      <c r="AI66" s="43" t="s">
        <v>401</v>
      </c>
      <c r="AJ66" s="35"/>
      <c r="AK66" s="35"/>
      <c r="AL66" s="35"/>
      <c r="AM66" s="46"/>
      <c r="AN66" s="47"/>
      <c r="AO66" s="47"/>
      <c r="AP66" s="47"/>
      <c r="AQ66" s="35"/>
      <c r="AR66" s="36"/>
      <c r="AS66" s="43"/>
      <c r="AT66" s="36"/>
      <c r="AU66" s="43" t="s">
        <v>402</v>
      </c>
      <c r="AV66" s="35" t="s">
        <v>196</v>
      </c>
      <c r="AW66" s="43" t="s">
        <v>376</v>
      </c>
      <c r="AX66" s="43"/>
      <c r="AY66" s="47"/>
    </row>
    <row r="67" customFormat="false" ht="34.5" hidden="false" customHeight="true" outlineLevel="0" collapsed="false">
      <c r="A67" s="34" t="n">
        <v>66</v>
      </c>
      <c r="B67" s="35" t="s">
        <v>372</v>
      </c>
      <c r="C67" s="36" t="s">
        <v>60</v>
      </c>
      <c r="D67" s="36" t="s">
        <v>61</v>
      </c>
      <c r="E67" s="37" t="s">
        <v>62</v>
      </c>
      <c r="F67" s="38"/>
      <c r="G67" s="39" t="s">
        <v>63</v>
      </c>
      <c r="H67" s="36" t="s">
        <v>64</v>
      </c>
      <c r="I67" s="36" t="s">
        <v>65</v>
      </c>
      <c r="J67" s="36" t="s">
        <v>66</v>
      </c>
      <c r="K67" s="40" t="n">
        <v>2000</v>
      </c>
      <c r="L67" s="35"/>
      <c r="M67" s="35" t="s">
        <v>67</v>
      </c>
      <c r="N67" s="35"/>
      <c r="O67" s="35" t="s">
        <v>68</v>
      </c>
      <c r="P67" s="42" t="n">
        <v>3</v>
      </c>
      <c r="Q67" s="36"/>
      <c r="R67" s="43"/>
      <c r="S67" s="43" t="s">
        <v>70</v>
      </c>
      <c r="T67" s="35"/>
      <c r="U67" s="36"/>
      <c r="V67" s="44" t="s">
        <v>71</v>
      </c>
      <c r="W67" s="35" t="s">
        <v>72</v>
      </c>
      <c r="X67" s="43"/>
      <c r="Y67" s="43"/>
      <c r="Z67" s="35"/>
      <c r="AA67" s="45"/>
      <c r="AB67" s="36"/>
      <c r="AC67" s="35"/>
      <c r="AD67" s="35"/>
      <c r="AE67" s="35"/>
      <c r="AF67" s="36"/>
      <c r="AG67" s="35"/>
      <c r="AH67" s="43"/>
      <c r="AI67" s="43" t="s">
        <v>403</v>
      </c>
      <c r="AJ67" s="35"/>
      <c r="AK67" s="35"/>
      <c r="AL67" s="35"/>
      <c r="AM67" s="46"/>
      <c r="AN67" s="47"/>
      <c r="AO67" s="47"/>
      <c r="AP67" s="47"/>
      <c r="AQ67" s="35"/>
      <c r="AR67" s="36"/>
      <c r="AS67" s="43"/>
      <c r="AT67" s="36"/>
      <c r="AU67" s="43" t="s">
        <v>404</v>
      </c>
      <c r="AV67" s="35" t="s">
        <v>87</v>
      </c>
      <c r="AW67" s="43" t="s">
        <v>376</v>
      </c>
      <c r="AX67" s="43"/>
      <c r="AY67" s="47"/>
    </row>
    <row r="68" customFormat="false" ht="64.5" hidden="false" customHeight="true" outlineLevel="0" collapsed="false">
      <c r="A68" s="34" t="n">
        <v>67</v>
      </c>
      <c r="B68" s="35" t="s">
        <v>405</v>
      </c>
      <c r="C68" s="36" t="s">
        <v>331</v>
      </c>
      <c r="D68" s="36" t="s">
        <v>198</v>
      </c>
      <c r="E68" s="37" t="s">
        <v>264</v>
      </c>
      <c r="F68" s="38"/>
      <c r="G68" s="39" t="s">
        <v>406</v>
      </c>
      <c r="H68" s="36"/>
      <c r="I68" s="36"/>
      <c r="J68" s="36" t="s">
        <v>405</v>
      </c>
      <c r="K68" s="40" t="n">
        <v>1000</v>
      </c>
      <c r="L68" s="35"/>
      <c r="M68" s="35" t="s">
        <v>67</v>
      </c>
      <c r="N68" s="35" t="s">
        <v>407</v>
      </c>
      <c r="O68" s="35"/>
      <c r="P68" s="42"/>
      <c r="Q68" s="36"/>
      <c r="R68" s="43" t="s">
        <v>408</v>
      </c>
      <c r="S68" s="43"/>
      <c r="T68" s="35"/>
      <c r="U68" s="36"/>
      <c r="V68" s="43" t="s">
        <v>409</v>
      </c>
      <c r="W68" s="35"/>
      <c r="X68" s="43"/>
      <c r="Y68" s="43"/>
      <c r="Z68" s="35"/>
      <c r="AA68" s="45"/>
      <c r="AB68" s="45" t="s">
        <v>410</v>
      </c>
      <c r="AC68" s="35" t="s">
        <v>411</v>
      </c>
      <c r="AD68" s="35"/>
      <c r="AE68" s="35"/>
      <c r="AF68" s="36"/>
      <c r="AG68" s="41" t="s">
        <v>412</v>
      </c>
      <c r="AH68" s="43"/>
      <c r="AI68" s="43" t="s">
        <v>413</v>
      </c>
      <c r="AJ68" s="35" t="s">
        <v>414</v>
      </c>
      <c r="AK68" s="35" t="s">
        <v>415</v>
      </c>
      <c r="AL68" s="35" t="s">
        <v>416</v>
      </c>
      <c r="AM68" s="46" t="n">
        <v>44000</v>
      </c>
      <c r="AN68" s="47" t="n">
        <v>43518</v>
      </c>
      <c r="AO68" s="47" t="n">
        <v>45710</v>
      </c>
      <c r="AP68" s="47" t="n">
        <v>46804</v>
      </c>
      <c r="AQ68" s="41" t="s">
        <v>417</v>
      </c>
      <c r="AR68" s="45" t="s">
        <v>418</v>
      </c>
      <c r="AS68" s="43" t="s">
        <v>419</v>
      </c>
      <c r="AT68" s="36" t="s">
        <v>420</v>
      </c>
      <c r="AU68" s="43" t="s">
        <v>406</v>
      </c>
      <c r="AV68" s="35"/>
      <c r="AW68" s="43" t="s">
        <v>421</v>
      </c>
      <c r="AX68" s="43" t="s">
        <v>422</v>
      </c>
      <c r="AY68" s="47" t="n">
        <v>46283</v>
      </c>
    </row>
    <row r="69" customFormat="false" ht="64.5" hidden="false" customHeight="true" outlineLevel="0" collapsed="false">
      <c r="A69" s="34" t="n">
        <v>68</v>
      </c>
      <c r="B69" s="35" t="s">
        <v>405</v>
      </c>
      <c r="C69" s="36" t="s">
        <v>423</v>
      </c>
      <c r="D69" s="36" t="s">
        <v>198</v>
      </c>
      <c r="E69" s="37" t="s">
        <v>324</v>
      </c>
      <c r="F69" s="38"/>
      <c r="G69" s="39" t="s">
        <v>406</v>
      </c>
      <c r="H69" s="36"/>
      <c r="I69" s="36"/>
      <c r="J69" s="36" t="s">
        <v>405</v>
      </c>
      <c r="K69" s="40" t="n">
        <v>1000</v>
      </c>
      <c r="L69" s="35"/>
      <c r="M69" s="35" t="s">
        <v>67</v>
      </c>
      <c r="N69" s="35"/>
      <c r="O69" s="35"/>
      <c r="P69" s="42"/>
      <c r="Q69" s="36"/>
      <c r="R69" s="43" t="s">
        <v>424</v>
      </c>
      <c r="S69" s="43"/>
      <c r="T69" s="35"/>
      <c r="U69" s="36"/>
      <c r="V69" s="43" t="s">
        <v>409</v>
      </c>
      <c r="W69" s="35"/>
      <c r="X69" s="43"/>
      <c r="Y69" s="43"/>
      <c r="Z69" s="35"/>
      <c r="AA69" s="45"/>
      <c r="AB69" s="45" t="s">
        <v>425</v>
      </c>
      <c r="AC69" s="35" t="s">
        <v>411</v>
      </c>
      <c r="AD69" s="35"/>
      <c r="AE69" s="35"/>
      <c r="AF69" s="36"/>
      <c r="AG69" s="41" t="s">
        <v>412</v>
      </c>
      <c r="AH69" s="43"/>
      <c r="AI69" s="43" t="s">
        <v>413</v>
      </c>
      <c r="AJ69" s="35" t="s">
        <v>414</v>
      </c>
      <c r="AK69" s="35" t="s">
        <v>415</v>
      </c>
      <c r="AL69" s="35" t="s">
        <v>416</v>
      </c>
      <c r="AM69" s="46" t="n">
        <v>44000</v>
      </c>
      <c r="AN69" s="47" t="n">
        <v>43518</v>
      </c>
      <c r="AO69" s="47" t="n">
        <v>45710</v>
      </c>
      <c r="AP69" s="47" t="n">
        <v>46804</v>
      </c>
      <c r="AQ69" s="41" t="s">
        <v>417</v>
      </c>
      <c r="AR69" s="45" t="s">
        <v>418</v>
      </c>
      <c r="AS69" s="43" t="s">
        <v>419</v>
      </c>
      <c r="AT69" s="36" t="s">
        <v>420</v>
      </c>
      <c r="AU69" s="43" t="s">
        <v>406</v>
      </c>
      <c r="AV69" s="35"/>
      <c r="AW69" s="43" t="s">
        <v>421</v>
      </c>
      <c r="AX69" s="43" t="s">
        <v>422</v>
      </c>
      <c r="AY69" s="47" t="n">
        <v>46283</v>
      </c>
    </row>
    <row r="70" customFormat="false" ht="79.5" hidden="false" customHeight="true" outlineLevel="0" collapsed="false">
      <c r="A70" s="34" t="n">
        <v>69</v>
      </c>
      <c r="B70" s="35" t="s">
        <v>405</v>
      </c>
      <c r="C70" s="36" t="s">
        <v>331</v>
      </c>
      <c r="D70" s="36" t="s">
        <v>198</v>
      </c>
      <c r="E70" s="37" t="s">
        <v>303</v>
      </c>
      <c r="F70" s="38"/>
      <c r="G70" s="39" t="s">
        <v>426</v>
      </c>
      <c r="H70" s="36"/>
      <c r="I70" s="36"/>
      <c r="J70" s="36" t="s">
        <v>405</v>
      </c>
      <c r="K70" s="40" t="n">
        <v>1000</v>
      </c>
      <c r="L70" s="35"/>
      <c r="M70" s="35" t="s">
        <v>67</v>
      </c>
      <c r="N70" s="35" t="s">
        <v>427</v>
      </c>
      <c r="O70" s="35"/>
      <c r="P70" s="42"/>
      <c r="Q70" s="36"/>
      <c r="R70" s="43" t="s">
        <v>428</v>
      </c>
      <c r="S70" s="43"/>
      <c r="T70" s="35"/>
      <c r="U70" s="36"/>
      <c r="V70" s="43" t="s">
        <v>429</v>
      </c>
      <c r="W70" s="35"/>
      <c r="X70" s="43"/>
      <c r="Y70" s="43"/>
      <c r="Z70" s="35"/>
      <c r="AA70" s="45"/>
      <c r="AB70" s="45" t="s">
        <v>430</v>
      </c>
      <c r="AC70" s="35" t="s">
        <v>431</v>
      </c>
      <c r="AD70" s="35"/>
      <c r="AE70" s="35"/>
      <c r="AF70" s="36"/>
      <c r="AG70" s="41" t="s">
        <v>432</v>
      </c>
      <c r="AH70" s="43"/>
      <c r="AI70" s="43" t="s">
        <v>433</v>
      </c>
      <c r="AJ70" s="35" t="s">
        <v>434</v>
      </c>
      <c r="AK70" s="35" t="s">
        <v>415</v>
      </c>
      <c r="AL70" s="35" t="s">
        <v>435</v>
      </c>
      <c r="AM70" s="46" t="n">
        <v>45000</v>
      </c>
      <c r="AN70" s="47" t="n">
        <v>44280</v>
      </c>
      <c r="AO70" s="47" t="n">
        <v>45376</v>
      </c>
      <c r="AP70" s="47" t="n">
        <v>46470</v>
      </c>
      <c r="AQ70" s="41" t="s">
        <v>436</v>
      </c>
      <c r="AR70" s="36" t="s">
        <v>437</v>
      </c>
      <c r="AS70" s="43" t="s">
        <v>438</v>
      </c>
      <c r="AT70" s="36" t="s">
        <v>420</v>
      </c>
      <c r="AU70" s="43" t="s">
        <v>426</v>
      </c>
      <c r="AV70" s="35"/>
      <c r="AW70" s="43" t="s">
        <v>421</v>
      </c>
      <c r="AX70" s="43" t="s">
        <v>422</v>
      </c>
      <c r="AY70" s="47" t="n">
        <v>46283</v>
      </c>
    </row>
    <row r="71" customFormat="false" ht="94.5" hidden="false" customHeight="true" outlineLevel="0" collapsed="false">
      <c r="A71" s="34" t="n">
        <v>70</v>
      </c>
      <c r="B71" s="35" t="s">
        <v>405</v>
      </c>
      <c r="C71" s="36" t="s">
        <v>423</v>
      </c>
      <c r="D71" s="36" t="s">
        <v>198</v>
      </c>
      <c r="E71" s="37" t="s">
        <v>264</v>
      </c>
      <c r="F71" s="38"/>
      <c r="G71" s="39" t="s">
        <v>426</v>
      </c>
      <c r="H71" s="36"/>
      <c r="I71" s="36"/>
      <c r="J71" s="36" t="s">
        <v>405</v>
      </c>
      <c r="K71" s="40" t="n">
        <v>1000</v>
      </c>
      <c r="L71" s="35"/>
      <c r="M71" s="35" t="s">
        <v>67</v>
      </c>
      <c r="N71" s="35"/>
      <c r="O71" s="35"/>
      <c r="P71" s="42"/>
      <c r="Q71" s="36"/>
      <c r="R71" s="43" t="s">
        <v>439</v>
      </c>
      <c r="S71" s="43"/>
      <c r="T71" s="35"/>
      <c r="U71" s="36"/>
      <c r="V71" s="43" t="s">
        <v>429</v>
      </c>
      <c r="W71" s="35"/>
      <c r="X71" s="43"/>
      <c r="Y71" s="43"/>
      <c r="Z71" s="35"/>
      <c r="AA71" s="45"/>
      <c r="AB71" s="45" t="s">
        <v>430</v>
      </c>
      <c r="AC71" s="35" t="s">
        <v>431</v>
      </c>
      <c r="AD71" s="35"/>
      <c r="AE71" s="35"/>
      <c r="AF71" s="36"/>
      <c r="AG71" s="41" t="s">
        <v>432</v>
      </c>
      <c r="AH71" s="43"/>
      <c r="AI71" s="43" t="s">
        <v>433</v>
      </c>
      <c r="AJ71" s="35" t="s">
        <v>434</v>
      </c>
      <c r="AK71" s="35" t="s">
        <v>415</v>
      </c>
      <c r="AL71" s="35" t="s">
        <v>435</v>
      </c>
      <c r="AM71" s="46" t="n">
        <v>45000</v>
      </c>
      <c r="AN71" s="47" t="n">
        <v>44280</v>
      </c>
      <c r="AO71" s="47" t="n">
        <v>45376</v>
      </c>
      <c r="AP71" s="47" t="n">
        <v>46470</v>
      </c>
      <c r="AQ71" s="41" t="s">
        <v>436</v>
      </c>
      <c r="AR71" s="36" t="s">
        <v>437</v>
      </c>
      <c r="AS71" s="43" t="s">
        <v>438</v>
      </c>
      <c r="AT71" s="36" t="s">
        <v>420</v>
      </c>
      <c r="AU71" s="43" t="s">
        <v>426</v>
      </c>
      <c r="AV71" s="35"/>
      <c r="AW71" s="43" t="s">
        <v>421</v>
      </c>
      <c r="AX71" s="43" t="s">
        <v>422</v>
      </c>
      <c r="AY71" s="47" t="n">
        <v>46283</v>
      </c>
    </row>
    <row r="72" customFormat="false" ht="94.5" hidden="false" customHeight="true" outlineLevel="0" collapsed="false">
      <c r="A72" s="34" t="n">
        <v>71</v>
      </c>
      <c r="B72" s="35" t="s">
        <v>405</v>
      </c>
      <c r="C72" s="36" t="s">
        <v>423</v>
      </c>
      <c r="D72" s="36" t="s">
        <v>198</v>
      </c>
      <c r="E72" s="37" t="s">
        <v>324</v>
      </c>
      <c r="F72" s="38"/>
      <c r="G72" s="39" t="s">
        <v>426</v>
      </c>
      <c r="H72" s="36"/>
      <c r="I72" s="36"/>
      <c r="J72" s="36" t="s">
        <v>405</v>
      </c>
      <c r="K72" s="40" t="n">
        <v>1000</v>
      </c>
      <c r="L72" s="35"/>
      <c r="M72" s="35" t="s">
        <v>67</v>
      </c>
      <c r="N72" s="35"/>
      <c r="O72" s="35"/>
      <c r="P72" s="42"/>
      <c r="Q72" s="36"/>
      <c r="R72" s="43" t="s">
        <v>439</v>
      </c>
      <c r="S72" s="43"/>
      <c r="T72" s="35"/>
      <c r="U72" s="36"/>
      <c r="V72" s="43" t="s">
        <v>429</v>
      </c>
      <c r="W72" s="35"/>
      <c r="X72" s="43"/>
      <c r="Y72" s="43"/>
      <c r="Z72" s="35"/>
      <c r="AA72" s="45"/>
      <c r="AB72" s="45" t="s">
        <v>430</v>
      </c>
      <c r="AC72" s="35" t="s">
        <v>431</v>
      </c>
      <c r="AD72" s="35"/>
      <c r="AE72" s="35"/>
      <c r="AF72" s="36"/>
      <c r="AG72" s="41" t="s">
        <v>432</v>
      </c>
      <c r="AH72" s="43"/>
      <c r="AI72" s="43" t="s">
        <v>433</v>
      </c>
      <c r="AJ72" s="35" t="s">
        <v>434</v>
      </c>
      <c r="AK72" s="35" t="s">
        <v>415</v>
      </c>
      <c r="AL72" s="35" t="s">
        <v>435</v>
      </c>
      <c r="AM72" s="46" t="n">
        <v>45000</v>
      </c>
      <c r="AN72" s="47" t="n">
        <v>44280</v>
      </c>
      <c r="AO72" s="47" t="n">
        <v>45376</v>
      </c>
      <c r="AP72" s="47" t="n">
        <v>46470</v>
      </c>
      <c r="AQ72" s="41" t="s">
        <v>436</v>
      </c>
      <c r="AR72" s="36" t="s">
        <v>437</v>
      </c>
      <c r="AS72" s="43" t="s">
        <v>438</v>
      </c>
      <c r="AT72" s="36" t="s">
        <v>420</v>
      </c>
      <c r="AU72" s="43" t="s">
        <v>426</v>
      </c>
      <c r="AV72" s="35"/>
      <c r="AW72" s="43" t="s">
        <v>421</v>
      </c>
      <c r="AX72" s="43" t="s">
        <v>422</v>
      </c>
      <c r="AY72" s="47" t="n">
        <v>46283</v>
      </c>
    </row>
    <row r="73" customFormat="false" ht="34.5" hidden="false" customHeight="true" outlineLevel="0" collapsed="false">
      <c r="A73" s="34" t="n">
        <v>72</v>
      </c>
      <c r="B73" s="35" t="s">
        <v>440</v>
      </c>
      <c r="C73" s="36" t="s">
        <v>441</v>
      </c>
      <c r="D73" s="36" t="s">
        <v>198</v>
      </c>
      <c r="E73" s="37" t="s">
        <v>442</v>
      </c>
      <c r="F73" s="38"/>
      <c r="G73" s="39" t="s">
        <v>406</v>
      </c>
      <c r="H73" s="36"/>
      <c r="I73" s="36"/>
      <c r="J73" s="36" t="s">
        <v>405</v>
      </c>
      <c r="K73" s="40"/>
      <c r="L73" s="35"/>
      <c r="M73" s="35"/>
      <c r="N73" s="35"/>
      <c r="O73" s="35"/>
      <c r="P73" s="42"/>
      <c r="Q73" s="36"/>
      <c r="R73" s="43" t="s">
        <v>408</v>
      </c>
      <c r="S73" s="43"/>
      <c r="T73" s="35"/>
      <c r="U73" s="36"/>
      <c r="V73" s="43" t="s">
        <v>443</v>
      </c>
      <c r="W73" s="35"/>
      <c r="X73" s="43"/>
      <c r="Y73" s="43"/>
      <c r="Z73" s="35"/>
      <c r="AA73" s="45"/>
      <c r="AB73" s="45" t="s">
        <v>444</v>
      </c>
      <c r="AC73" s="35" t="s">
        <v>411</v>
      </c>
      <c r="AD73" s="35"/>
      <c r="AE73" s="35"/>
      <c r="AF73" s="36"/>
      <c r="AG73" s="41" t="s">
        <v>412</v>
      </c>
      <c r="AH73" s="43"/>
      <c r="AI73" s="43"/>
      <c r="AJ73" s="35" t="s">
        <v>414</v>
      </c>
      <c r="AK73" s="35" t="s">
        <v>415</v>
      </c>
      <c r="AL73" s="35" t="s">
        <v>416</v>
      </c>
      <c r="AM73" s="46"/>
      <c r="AN73" s="47" t="n">
        <v>43518</v>
      </c>
      <c r="AO73" s="47" t="n">
        <v>45710</v>
      </c>
      <c r="AP73" s="47" t="n">
        <v>46804</v>
      </c>
      <c r="AQ73" s="41" t="s">
        <v>417</v>
      </c>
      <c r="AR73" s="45" t="s">
        <v>418</v>
      </c>
      <c r="AS73" s="43" t="s">
        <v>419</v>
      </c>
      <c r="AT73" s="36" t="s">
        <v>420</v>
      </c>
      <c r="AU73" s="43"/>
      <c r="AV73" s="35"/>
      <c r="AW73" s="44" t="s">
        <v>445</v>
      </c>
      <c r="AX73" s="43" t="s">
        <v>422</v>
      </c>
      <c r="AY73" s="47" t="n">
        <v>46283</v>
      </c>
    </row>
    <row r="74" customFormat="false" ht="34.5" hidden="false" customHeight="true" outlineLevel="0" collapsed="false">
      <c r="A74" s="34" t="n">
        <v>73</v>
      </c>
      <c r="B74" s="35" t="s">
        <v>440</v>
      </c>
      <c r="C74" s="36" t="s">
        <v>446</v>
      </c>
      <c r="D74" s="36" t="s">
        <v>198</v>
      </c>
      <c r="E74" s="37" t="s">
        <v>447</v>
      </c>
      <c r="F74" s="38"/>
      <c r="G74" s="39" t="s">
        <v>406</v>
      </c>
      <c r="H74" s="36"/>
      <c r="I74" s="36"/>
      <c r="J74" s="36" t="s">
        <v>405</v>
      </c>
      <c r="K74" s="40"/>
      <c r="L74" s="35"/>
      <c r="M74" s="35"/>
      <c r="N74" s="35"/>
      <c r="O74" s="35"/>
      <c r="P74" s="42"/>
      <c r="Q74" s="36"/>
      <c r="R74" s="43" t="s">
        <v>408</v>
      </c>
      <c r="S74" s="43"/>
      <c r="T74" s="35"/>
      <c r="U74" s="36"/>
      <c r="V74" s="43" t="s">
        <v>443</v>
      </c>
      <c r="W74" s="35"/>
      <c r="X74" s="43"/>
      <c r="Y74" s="43"/>
      <c r="Z74" s="35"/>
      <c r="AA74" s="45"/>
      <c r="AB74" s="45" t="s">
        <v>448</v>
      </c>
      <c r="AC74" s="35" t="s">
        <v>411</v>
      </c>
      <c r="AD74" s="35"/>
      <c r="AE74" s="35"/>
      <c r="AF74" s="36"/>
      <c r="AG74" s="41" t="s">
        <v>412</v>
      </c>
      <c r="AH74" s="43"/>
      <c r="AI74" s="43"/>
      <c r="AJ74" s="35" t="s">
        <v>414</v>
      </c>
      <c r="AK74" s="35" t="s">
        <v>415</v>
      </c>
      <c r="AL74" s="35" t="s">
        <v>416</v>
      </c>
      <c r="AM74" s="46"/>
      <c r="AN74" s="47" t="n">
        <v>43518</v>
      </c>
      <c r="AO74" s="47" t="n">
        <v>45710</v>
      </c>
      <c r="AP74" s="47" t="n">
        <v>46804</v>
      </c>
      <c r="AQ74" s="41" t="s">
        <v>417</v>
      </c>
      <c r="AR74" s="45" t="s">
        <v>418</v>
      </c>
      <c r="AS74" s="43" t="s">
        <v>419</v>
      </c>
      <c r="AT74" s="36" t="s">
        <v>420</v>
      </c>
      <c r="AU74" s="43"/>
      <c r="AV74" s="35"/>
      <c r="AW74" s="44" t="s">
        <v>445</v>
      </c>
      <c r="AX74" s="43" t="s">
        <v>422</v>
      </c>
      <c r="AY74" s="47" t="n">
        <v>46283</v>
      </c>
    </row>
    <row r="75" customFormat="false" ht="34.5" hidden="false" customHeight="true" outlineLevel="0" collapsed="false">
      <c r="A75" s="34" t="n">
        <v>74</v>
      </c>
      <c r="B75" s="35" t="s">
        <v>440</v>
      </c>
      <c r="C75" s="36" t="s">
        <v>449</v>
      </c>
      <c r="D75" s="36" t="s">
        <v>198</v>
      </c>
      <c r="E75" s="37" t="s">
        <v>450</v>
      </c>
      <c r="F75" s="38"/>
      <c r="G75" s="39" t="s">
        <v>406</v>
      </c>
      <c r="H75" s="36"/>
      <c r="I75" s="36"/>
      <c r="J75" s="36" t="s">
        <v>405</v>
      </c>
      <c r="K75" s="40"/>
      <c r="L75" s="35"/>
      <c r="M75" s="35"/>
      <c r="N75" s="35"/>
      <c r="O75" s="35"/>
      <c r="P75" s="42"/>
      <c r="Q75" s="36"/>
      <c r="R75" s="43" t="s">
        <v>408</v>
      </c>
      <c r="S75" s="43"/>
      <c r="T75" s="35"/>
      <c r="U75" s="36"/>
      <c r="V75" s="43" t="s">
        <v>443</v>
      </c>
      <c r="W75" s="35"/>
      <c r="X75" s="43"/>
      <c r="Y75" s="43"/>
      <c r="Z75" s="35"/>
      <c r="AA75" s="45"/>
      <c r="AB75" s="45" t="s">
        <v>451</v>
      </c>
      <c r="AC75" s="35" t="s">
        <v>411</v>
      </c>
      <c r="AD75" s="35"/>
      <c r="AE75" s="35"/>
      <c r="AF75" s="36"/>
      <c r="AG75" s="41" t="s">
        <v>412</v>
      </c>
      <c r="AH75" s="43"/>
      <c r="AI75" s="43"/>
      <c r="AJ75" s="35" t="s">
        <v>414</v>
      </c>
      <c r="AK75" s="35" t="s">
        <v>415</v>
      </c>
      <c r="AL75" s="35" t="s">
        <v>416</v>
      </c>
      <c r="AM75" s="46"/>
      <c r="AN75" s="47" t="n">
        <v>43518</v>
      </c>
      <c r="AO75" s="47" t="n">
        <v>45710</v>
      </c>
      <c r="AP75" s="47" t="n">
        <v>46804</v>
      </c>
      <c r="AQ75" s="41" t="s">
        <v>417</v>
      </c>
      <c r="AR75" s="45" t="s">
        <v>418</v>
      </c>
      <c r="AS75" s="43" t="s">
        <v>419</v>
      </c>
      <c r="AT75" s="36" t="s">
        <v>420</v>
      </c>
      <c r="AU75" s="43"/>
      <c r="AV75" s="35"/>
      <c r="AW75" s="44" t="s">
        <v>445</v>
      </c>
      <c r="AX75" s="43" t="s">
        <v>422</v>
      </c>
      <c r="AY75" s="47" t="n">
        <v>46283</v>
      </c>
    </row>
    <row r="76" customFormat="false" ht="34.5" hidden="false" customHeight="true" outlineLevel="0" collapsed="false">
      <c r="A76" s="34" t="n">
        <v>75</v>
      </c>
      <c r="B76" s="35" t="s">
        <v>440</v>
      </c>
      <c r="C76" s="36" t="s">
        <v>452</v>
      </c>
      <c r="D76" s="36" t="s">
        <v>198</v>
      </c>
      <c r="E76" s="37" t="s">
        <v>453</v>
      </c>
      <c r="F76" s="38"/>
      <c r="G76" s="39" t="s">
        <v>406</v>
      </c>
      <c r="H76" s="36"/>
      <c r="I76" s="36"/>
      <c r="J76" s="36" t="s">
        <v>405</v>
      </c>
      <c r="K76" s="40"/>
      <c r="L76" s="35"/>
      <c r="M76" s="35"/>
      <c r="N76" s="35"/>
      <c r="O76" s="35"/>
      <c r="P76" s="42"/>
      <c r="Q76" s="36"/>
      <c r="R76" s="43" t="s">
        <v>408</v>
      </c>
      <c r="S76" s="43"/>
      <c r="T76" s="35"/>
      <c r="U76" s="36"/>
      <c r="V76" s="43" t="s">
        <v>443</v>
      </c>
      <c r="W76" s="35"/>
      <c r="X76" s="43"/>
      <c r="Y76" s="43"/>
      <c r="Z76" s="35"/>
      <c r="AA76" s="45"/>
      <c r="AB76" s="45" t="s">
        <v>454</v>
      </c>
      <c r="AC76" s="35" t="s">
        <v>411</v>
      </c>
      <c r="AD76" s="35"/>
      <c r="AE76" s="35"/>
      <c r="AF76" s="36"/>
      <c r="AG76" s="41" t="s">
        <v>412</v>
      </c>
      <c r="AH76" s="43"/>
      <c r="AI76" s="43"/>
      <c r="AJ76" s="35" t="s">
        <v>414</v>
      </c>
      <c r="AK76" s="35" t="s">
        <v>415</v>
      </c>
      <c r="AL76" s="35" t="s">
        <v>416</v>
      </c>
      <c r="AM76" s="46"/>
      <c r="AN76" s="47" t="n">
        <v>43518</v>
      </c>
      <c r="AO76" s="47" t="n">
        <v>45710</v>
      </c>
      <c r="AP76" s="47" t="n">
        <v>46804</v>
      </c>
      <c r="AQ76" s="41" t="s">
        <v>417</v>
      </c>
      <c r="AR76" s="45" t="s">
        <v>418</v>
      </c>
      <c r="AS76" s="43" t="s">
        <v>419</v>
      </c>
      <c r="AT76" s="36" t="s">
        <v>420</v>
      </c>
      <c r="AU76" s="43"/>
      <c r="AV76" s="35"/>
      <c r="AW76" s="44" t="s">
        <v>445</v>
      </c>
      <c r="AX76" s="43" t="s">
        <v>422</v>
      </c>
      <c r="AY76" s="47" t="n">
        <v>46283</v>
      </c>
    </row>
    <row r="77" customFormat="false" ht="34.5" hidden="false" customHeight="true" outlineLevel="0" collapsed="false">
      <c r="A77" s="34" t="n">
        <v>76</v>
      </c>
      <c r="B77" s="35" t="s">
        <v>440</v>
      </c>
      <c r="C77" s="36" t="s">
        <v>455</v>
      </c>
      <c r="D77" s="36" t="s">
        <v>198</v>
      </c>
      <c r="E77" s="37" t="s">
        <v>456</v>
      </c>
      <c r="F77" s="38"/>
      <c r="G77" s="39" t="s">
        <v>406</v>
      </c>
      <c r="H77" s="36"/>
      <c r="I77" s="36"/>
      <c r="J77" s="36" t="s">
        <v>405</v>
      </c>
      <c r="K77" s="40"/>
      <c r="L77" s="35"/>
      <c r="M77" s="35"/>
      <c r="N77" s="35"/>
      <c r="O77" s="35"/>
      <c r="P77" s="42"/>
      <c r="Q77" s="36"/>
      <c r="R77" s="43" t="s">
        <v>408</v>
      </c>
      <c r="S77" s="43"/>
      <c r="T77" s="35"/>
      <c r="U77" s="36"/>
      <c r="V77" s="43" t="s">
        <v>443</v>
      </c>
      <c r="W77" s="35"/>
      <c r="X77" s="43"/>
      <c r="Y77" s="43"/>
      <c r="Z77" s="35"/>
      <c r="AA77" s="45"/>
      <c r="AB77" s="45" t="s">
        <v>457</v>
      </c>
      <c r="AC77" s="35" t="s">
        <v>411</v>
      </c>
      <c r="AD77" s="35"/>
      <c r="AE77" s="35"/>
      <c r="AF77" s="36"/>
      <c r="AG77" s="41" t="s">
        <v>412</v>
      </c>
      <c r="AH77" s="43"/>
      <c r="AI77" s="43"/>
      <c r="AJ77" s="35" t="s">
        <v>414</v>
      </c>
      <c r="AK77" s="35" t="s">
        <v>415</v>
      </c>
      <c r="AL77" s="35" t="s">
        <v>416</v>
      </c>
      <c r="AM77" s="46"/>
      <c r="AN77" s="47" t="n">
        <v>43518</v>
      </c>
      <c r="AO77" s="47" t="n">
        <v>45710</v>
      </c>
      <c r="AP77" s="47" t="n">
        <v>46804</v>
      </c>
      <c r="AQ77" s="41" t="s">
        <v>417</v>
      </c>
      <c r="AR77" s="45" t="s">
        <v>418</v>
      </c>
      <c r="AS77" s="43" t="s">
        <v>419</v>
      </c>
      <c r="AT77" s="36" t="s">
        <v>420</v>
      </c>
      <c r="AU77" s="43"/>
      <c r="AV77" s="35"/>
      <c r="AW77" s="44" t="s">
        <v>445</v>
      </c>
      <c r="AX77" s="43" t="s">
        <v>422</v>
      </c>
      <c r="AY77" s="47" t="n">
        <v>46283</v>
      </c>
    </row>
    <row r="78" customFormat="false" ht="34.5" hidden="false" customHeight="true" outlineLevel="0" collapsed="false">
      <c r="A78" s="34" t="n">
        <v>77</v>
      </c>
      <c r="B78" s="35" t="s">
        <v>440</v>
      </c>
      <c r="C78" s="36" t="s">
        <v>458</v>
      </c>
      <c r="D78" s="36" t="s">
        <v>198</v>
      </c>
      <c r="E78" s="37" t="s">
        <v>459</v>
      </c>
      <c r="F78" s="38"/>
      <c r="G78" s="39" t="s">
        <v>406</v>
      </c>
      <c r="H78" s="36"/>
      <c r="I78" s="36"/>
      <c r="J78" s="36" t="s">
        <v>405</v>
      </c>
      <c r="K78" s="40"/>
      <c r="L78" s="35"/>
      <c r="M78" s="35"/>
      <c r="N78" s="35"/>
      <c r="O78" s="35"/>
      <c r="P78" s="42"/>
      <c r="Q78" s="36"/>
      <c r="R78" s="43" t="s">
        <v>408</v>
      </c>
      <c r="S78" s="43"/>
      <c r="T78" s="35"/>
      <c r="U78" s="36"/>
      <c r="V78" s="43" t="s">
        <v>443</v>
      </c>
      <c r="W78" s="35"/>
      <c r="X78" s="43"/>
      <c r="Y78" s="43"/>
      <c r="Z78" s="35"/>
      <c r="AA78" s="45"/>
      <c r="AB78" s="45" t="s">
        <v>460</v>
      </c>
      <c r="AC78" s="35" t="s">
        <v>411</v>
      </c>
      <c r="AD78" s="35"/>
      <c r="AE78" s="35"/>
      <c r="AF78" s="36"/>
      <c r="AG78" s="41" t="s">
        <v>412</v>
      </c>
      <c r="AH78" s="43"/>
      <c r="AI78" s="43"/>
      <c r="AJ78" s="35" t="s">
        <v>414</v>
      </c>
      <c r="AK78" s="35" t="s">
        <v>415</v>
      </c>
      <c r="AL78" s="35" t="s">
        <v>416</v>
      </c>
      <c r="AM78" s="46"/>
      <c r="AN78" s="47" t="n">
        <v>43518</v>
      </c>
      <c r="AO78" s="47" t="n">
        <v>45710</v>
      </c>
      <c r="AP78" s="47" t="n">
        <v>46804</v>
      </c>
      <c r="AQ78" s="41" t="s">
        <v>417</v>
      </c>
      <c r="AR78" s="45" t="s">
        <v>418</v>
      </c>
      <c r="AS78" s="43" t="s">
        <v>419</v>
      </c>
      <c r="AT78" s="36" t="s">
        <v>420</v>
      </c>
      <c r="AU78" s="43"/>
      <c r="AV78" s="35"/>
      <c r="AW78" s="44" t="s">
        <v>445</v>
      </c>
      <c r="AX78" s="43" t="s">
        <v>422</v>
      </c>
      <c r="AY78" s="47" t="n">
        <v>46283</v>
      </c>
    </row>
    <row r="79" customFormat="false" ht="34.5" hidden="false" customHeight="true" outlineLevel="0" collapsed="false">
      <c r="A79" s="34" t="n">
        <v>78</v>
      </c>
      <c r="B79" s="35" t="s">
        <v>440</v>
      </c>
      <c r="C79" s="36" t="s">
        <v>461</v>
      </c>
      <c r="D79" s="36" t="s">
        <v>198</v>
      </c>
      <c r="E79" s="37" t="s">
        <v>324</v>
      </c>
      <c r="F79" s="38"/>
      <c r="G79" s="39" t="s">
        <v>406</v>
      </c>
      <c r="H79" s="36"/>
      <c r="I79" s="36"/>
      <c r="J79" s="36" t="s">
        <v>405</v>
      </c>
      <c r="K79" s="40"/>
      <c r="L79" s="35"/>
      <c r="M79" s="35"/>
      <c r="N79" s="35"/>
      <c r="O79" s="35"/>
      <c r="P79" s="42"/>
      <c r="Q79" s="36"/>
      <c r="R79" s="43" t="s">
        <v>408</v>
      </c>
      <c r="S79" s="43"/>
      <c r="T79" s="35"/>
      <c r="U79" s="36"/>
      <c r="V79" s="43" t="s">
        <v>443</v>
      </c>
      <c r="W79" s="35"/>
      <c r="X79" s="43"/>
      <c r="Y79" s="43"/>
      <c r="Z79" s="35"/>
      <c r="AA79" s="45"/>
      <c r="AB79" s="45" t="s">
        <v>425</v>
      </c>
      <c r="AC79" s="35" t="s">
        <v>411</v>
      </c>
      <c r="AD79" s="35"/>
      <c r="AE79" s="35"/>
      <c r="AF79" s="36"/>
      <c r="AG79" s="41" t="s">
        <v>412</v>
      </c>
      <c r="AH79" s="43"/>
      <c r="AI79" s="43"/>
      <c r="AJ79" s="35" t="s">
        <v>414</v>
      </c>
      <c r="AK79" s="35" t="s">
        <v>415</v>
      </c>
      <c r="AL79" s="35" t="s">
        <v>416</v>
      </c>
      <c r="AM79" s="46"/>
      <c r="AN79" s="47" t="n">
        <v>43518</v>
      </c>
      <c r="AO79" s="47" t="n">
        <v>45710</v>
      </c>
      <c r="AP79" s="47" t="n">
        <v>46804</v>
      </c>
      <c r="AQ79" s="41" t="s">
        <v>417</v>
      </c>
      <c r="AR79" s="45" t="s">
        <v>418</v>
      </c>
      <c r="AS79" s="43" t="s">
        <v>419</v>
      </c>
      <c r="AT79" s="36" t="s">
        <v>420</v>
      </c>
      <c r="AU79" s="43"/>
      <c r="AV79" s="35"/>
      <c r="AW79" s="44" t="s">
        <v>445</v>
      </c>
      <c r="AX79" s="43" t="s">
        <v>422</v>
      </c>
      <c r="AY79" s="47" t="n">
        <v>46283</v>
      </c>
    </row>
    <row r="80" customFormat="false" ht="34.5" hidden="false" customHeight="true" outlineLevel="0" collapsed="false">
      <c r="A80" s="34" t="n">
        <v>79</v>
      </c>
      <c r="B80" s="35" t="s">
        <v>440</v>
      </c>
      <c r="C80" s="36" t="s">
        <v>462</v>
      </c>
      <c r="D80" s="36" t="s">
        <v>198</v>
      </c>
      <c r="E80" s="37" t="s">
        <v>463</v>
      </c>
      <c r="F80" s="38"/>
      <c r="G80" s="39" t="s">
        <v>406</v>
      </c>
      <c r="H80" s="36"/>
      <c r="I80" s="36"/>
      <c r="J80" s="36" t="s">
        <v>405</v>
      </c>
      <c r="K80" s="40"/>
      <c r="L80" s="35"/>
      <c r="M80" s="35"/>
      <c r="N80" s="35"/>
      <c r="O80" s="35"/>
      <c r="P80" s="42"/>
      <c r="Q80" s="36"/>
      <c r="R80" s="43" t="s">
        <v>408</v>
      </c>
      <c r="S80" s="43"/>
      <c r="T80" s="35"/>
      <c r="U80" s="36"/>
      <c r="V80" s="43" t="s">
        <v>443</v>
      </c>
      <c r="W80" s="35"/>
      <c r="X80" s="43"/>
      <c r="Y80" s="43"/>
      <c r="Z80" s="35"/>
      <c r="AA80" s="45"/>
      <c r="AB80" s="45" t="s">
        <v>425</v>
      </c>
      <c r="AC80" s="35" t="s">
        <v>411</v>
      </c>
      <c r="AD80" s="35"/>
      <c r="AE80" s="35"/>
      <c r="AF80" s="36"/>
      <c r="AG80" s="41" t="s">
        <v>412</v>
      </c>
      <c r="AH80" s="43"/>
      <c r="AI80" s="43"/>
      <c r="AJ80" s="35" t="s">
        <v>414</v>
      </c>
      <c r="AK80" s="35" t="s">
        <v>415</v>
      </c>
      <c r="AL80" s="35" t="s">
        <v>416</v>
      </c>
      <c r="AM80" s="46"/>
      <c r="AN80" s="47" t="n">
        <v>43518</v>
      </c>
      <c r="AO80" s="47" t="n">
        <v>45710</v>
      </c>
      <c r="AP80" s="47" t="n">
        <v>46804</v>
      </c>
      <c r="AQ80" s="41" t="s">
        <v>417</v>
      </c>
      <c r="AR80" s="45" t="s">
        <v>418</v>
      </c>
      <c r="AS80" s="43" t="s">
        <v>419</v>
      </c>
      <c r="AT80" s="36" t="s">
        <v>420</v>
      </c>
      <c r="AU80" s="43"/>
      <c r="AV80" s="35"/>
      <c r="AW80" s="44" t="s">
        <v>445</v>
      </c>
      <c r="AX80" s="43" t="s">
        <v>422</v>
      </c>
      <c r="AY80" s="47" t="n">
        <v>46283</v>
      </c>
    </row>
    <row r="81" customFormat="false" ht="94.5" hidden="false" customHeight="true" outlineLevel="0" collapsed="false">
      <c r="A81" s="34" t="n">
        <v>80</v>
      </c>
      <c r="B81" s="35" t="s">
        <v>440</v>
      </c>
      <c r="C81" s="36" t="s">
        <v>423</v>
      </c>
      <c r="D81" s="36" t="s">
        <v>198</v>
      </c>
      <c r="E81" s="37" t="s">
        <v>264</v>
      </c>
      <c r="F81" s="38"/>
      <c r="G81" s="39" t="s">
        <v>426</v>
      </c>
      <c r="H81" s="36"/>
      <c r="I81" s="36"/>
      <c r="J81" s="36" t="s">
        <v>405</v>
      </c>
      <c r="K81" s="40"/>
      <c r="L81" s="35"/>
      <c r="M81" s="35"/>
      <c r="N81" s="35"/>
      <c r="O81" s="35"/>
      <c r="P81" s="42"/>
      <c r="Q81" s="36"/>
      <c r="R81" s="43" t="s">
        <v>439</v>
      </c>
      <c r="S81" s="43"/>
      <c r="T81" s="35"/>
      <c r="U81" s="36"/>
      <c r="V81" s="43" t="s">
        <v>464</v>
      </c>
      <c r="W81" s="35"/>
      <c r="X81" s="43"/>
      <c r="Y81" s="43"/>
      <c r="Z81" s="35"/>
      <c r="AA81" s="45"/>
      <c r="AB81" s="45" t="s">
        <v>430</v>
      </c>
      <c r="AC81" s="35" t="s">
        <v>431</v>
      </c>
      <c r="AD81" s="35"/>
      <c r="AE81" s="35"/>
      <c r="AF81" s="36"/>
      <c r="AG81" s="41" t="s">
        <v>432</v>
      </c>
      <c r="AH81" s="43"/>
      <c r="AI81" s="43"/>
      <c r="AJ81" s="35" t="s">
        <v>434</v>
      </c>
      <c r="AK81" s="35" t="s">
        <v>415</v>
      </c>
      <c r="AL81" s="35" t="s">
        <v>435</v>
      </c>
      <c r="AM81" s="46"/>
      <c r="AN81" s="47" t="n">
        <v>44280</v>
      </c>
      <c r="AO81" s="47" t="n">
        <v>45376</v>
      </c>
      <c r="AP81" s="47" t="n">
        <v>46470</v>
      </c>
      <c r="AQ81" s="41" t="s">
        <v>436</v>
      </c>
      <c r="AR81" s="36" t="s">
        <v>437</v>
      </c>
      <c r="AS81" s="43" t="s">
        <v>438</v>
      </c>
      <c r="AT81" s="36" t="s">
        <v>420</v>
      </c>
      <c r="AU81" s="43"/>
      <c r="AV81" s="35"/>
      <c r="AW81" s="44" t="s">
        <v>465</v>
      </c>
      <c r="AX81" s="43" t="s">
        <v>422</v>
      </c>
      <c r="AY81" s="47" t="n">
        <v>46283</v>
      </c>
    </row>
    <row r="82" customFormat="false" ht="94.5" hidden="false" customHeight="true" outlineLevel="0" collapsed="false">
      <c r="A82" s="34" t="n">
        <v>81</v>
      </c>
      <c r="B82" s="35" t="s">
        <v>440</v>
      </c>
      <c r="C82" s="36" t="s">
        <v>423</v>
      </c>
      <c r="D82" s="36" t="s">
        <v>198</v>
      </c>
      <c r="E82" s="37" t="s">
        <v>466</v>
      </c>
      <c r="F82" s="38"/>
      <c r="G82" s="39" t="s">
        <v>426</v>
      </c>
      <c r="H82" s="36"/>
      <c r="I82" s="36"/>
      <c r="J82" s="36" t="s">
        <v>405</v>
      </c>
      <c r="K82" s="40"/>
      <c r="L82" s="35"/>
      <c r="M82" s="35"/>
      <c r="N82" s="35"/>
      <c r="O82" s="35"/>
      <c r="P82" s="42"/>
      <c r="Q82" s="36"/>
      <c r="R82" s="43" t="s">
        <v>439</v>
      </c>
      <c r="S82" s="43"/>
      <c r="T82" s="35"/>
      <c r="U82" s="36"/>
      <c r="V82" s="43" t="s">
        <v>464</v>
      </c>
      <c r="W82" s="35"/>
      <c r="X82" s="43"/>
      <c r="Y82" s="43"/>
      <c r="Z82" s="35"/>
      <c r="AA82" s="45"/>
      <c r="AB82" s="45" t="s">
        <v>430</v>
      </c>
      <c r="AC82" s="35" t="s">
        <v>431</v>
      </c>
      <c r="AD82" s="35"/>
      <c r="AE82" s="35"/>
      <c r="AF82" s="36"/>
      <c r="AG82" s="41" t="s">
        <v>432</v>
      </c>
      <c r="AH82" s="43"/>
      <c r="AI82" s="43"/>
      <c r="AJ82" s="35" t="s">
        <v>434</v>
      </c>
      <c r="AK82" s="35" t="s">
        <v>415</v>
      </c>
      <c r="AL82" s="35" t="s">
        <v>435</v>
      </c>
      <c r="AM82" s="46"/>
      <c r="AN82" s="47" t="n">
        <v>44280</v>
      </c>
      <c r="AO82" s="47" t="n">
        <v>45376</v>
      </c>
      <c r="AP82" s="47" t="n">
        <v>46470</v>
      </c>
      <c r="AQ82" s="41" t="s">
        <v>436</v>
      </c>
      <c r="AR82" s="36" t="s">
        <v>437</v>
      </c>
      <c r="AS82" s="43" t="s">
        <v>438</v>
      </c>
      <c r="AT82" s="36" t="s">
        <v>420</v>
      </c>
      <c r="AU82" s="43"/>
      <c r="AV82" s="35"/>
      <c r="AW82" s="44" t="s">
        <v>465</v>
      </c>
      <c r="AX82" s="43" t="s">
        <v>422</v>
      </c>
      <c r="AY82" s="47" t="n">
        <v>46283</v>
      </c>
    </row>
    <row r="83" customFormat="false" ht="94.5" hidden="false" customHeight="true" outlineLevel="0" collapsed="false">
      <c r="A83" s="34" t="n">
        <v>82</v>
      </c>
      <c r="B83" s="35" t="s">
        <v>440</v>
      </c>
      <c r="C83" s="36" t="s">
        <v>423</v>
      </c>
      <c r="D83" s="36" t="s">
        <v>198</v>
      </c>
      <c r="E83" s="37" t="s">
        <v>324</v>
      </c>
      <c r="F83" s="38"/>
      <c r="G83" s="39" t="s">
        <v>426</v>
      </c>
      <c r="H83" s="36"/>
      <c r="I83" s="36"/>
      <c r="J83" s="36" t="s">
        <v>405</v>
      </c>
      <c r="K83" s="40"/>
      <c r="L83" s="35"/>
      <c r="M83" s="35"/>
      <c r="N83" s="35"/>
      <c r="O83" s="35"/>
      <c r="P83" s="42"/>
      <c r="Q83" s="36"/>
      <c r="R83" s="43" t="s">
        <v>439</v>
      </c>
      <c r="S83" s="43"/>
      <c r="T83" s="35"/>
      <c r="U83" s="36"/>
      <c r="V83" s="43" t="s">
        <v>464</v>
      </c>
      <c r="W83" s="35"/>
      <c r="X83" s="43"/>
      <c r="Y83" s="43"/>
      <c r="Z83" s="35"/>
      <c r="AA83" s="45"/>
      <c r="AB83" s="45" t="s">
        <v>430</v>
      </c>
      <c r="AC83" s="35" t="s">
        <v>431</v>
      </c>
      <c r="AD83" s="35"/>
      <c r="AE83" s="35"/>
      <c r="AF83" s="36"/>
      <c r="AG83" s="41" t="s">
        <v>432</v>
      </c>
      <c r="AH83" s="43"/>
      <c r="AI83" s="43"/>
      <c r="AJ83" s="35" t="s">
        <v>434</v>
      </c>
      <c r="AK83" s="35" t="s">
        <v>415</v>
      </c>
      <c r="AL83" s="35" t="s">
        <v>435</v>
      </c>
      <c r="AM83" s="46"/>
      <c r="AN83" s="47" t="n">
        <v>44280</v>
      </c>
      <c r="AO83" s="47" t="n">
        <v>45376</v>
      </c>
      <c r="AP83" s="47" t="n">
        <v>46470</v>
      </c>
      <c r="AQ83" s="41" t="s">
        <v>436</v>
      </c>
      <c r="AR83" s="36" t="s">
        <v>437</v>
      </c>
      <c r="AS83" s="43" t="s">
        <v>438</v>
      </c>
      <c r="AT83" s="36" t="s">
        <v>420</v>
      </c>
      <c r="AU83" s="43"/>
      <c r="AV83" s="35"/>
      <c r="AW83" s="44" t="s">
        <v>465</v>
      </c>
      <c r="AX83" s="43" t="s">
        <v>422</v>
      </c>
      <c r="AY83" s="47" t="n">
        <v>46283</v>
      </c>
    </row>
    <row r="84" customFormat="false" ht="94.5" hidden="false" customHeight="true" outlineLevel="0" collapsed="false">
      <c r="A84" s="34" t="n">
        <v>83</v>
      </c>
      <c r="B84" s="35" t="s">
        <v>440</v>
      </c>
      <c r="C84" s="36" t="s">
        <v>423</v>
      </c>
      <c r="D84" s="36" t="s">
        <v>61</v>
      </c>
      <c r="E84" s="37" t="s">
        <v>467</v>
      </c>
      <c r="F84" s="38"/>
      <c r="G84" s="39" t="s">
        <v>426</v>
      </c>
      <c r="H84" s="36"/>
      <c r="I84" s="36"/>
      <c r="J84" s="36" t="s">
        <v>405</v>
      </c>
      <c r="K84" s="40"/>
      <c r="L84" s="35"/>
      <c r="M84" s="35"/>
      <c r="N84" s="35"/>
      <c r="O84" s="35"/>
      <c r="P84" s="42"/>
      <c r="Q84" s="36"/>
      <c r="R84" s="43" t="s">
        <v>439</v>
      </c>
      <c r="S84" s="43"/>
      <c r="T84" s="35"/>
      <c r="U84" s="36"/>
      <c r="V84" s="43" t="s">
        <v>464</v>
      </c>
      <c r="W84" s="35"/>
      <c r="X84" s="43"/>
      <c r="Y84" s="43"/>
      <c r="Z84" s="35"/>
      <c r="AA84" s="45"/>
      <c r="AB84" s="45" t="s">
        <v>430</v>
      </c>
      <c r="AC84" s="35" t="s">
        <v>431</v>
      </c>
      <c r="AD84" s="35"/>
      <c r="AE84" s="35"/>
      <c r="AF84" s="36"/>
      <c r="AG84" s="41" t="s">
        <v>432</v>
      </c>
      <c r="AH84" s="43"/>
      <c r="AI84" s="43"/>
      <c r="AJ84" s="35" t="s">
        <v>434</v>
      </c>
      <c r="AK84" s="35" t="s">
        <v>415</v>
      </c>
      <c r="AL84" s="35" t="s">
        <v>435</v>
      </c>
      <c r="AM84" s="46"/>
      <c r="AN84" s="47" t="n">
        <v>44280</v>
      </c>
      <c r="AO84" s="47" t="n">
        <v>45376</v>
      </c>
      <c r="AP84" s="47" t="n">
        <v>46470</v>
      </c>
      <c r="AQ84" s="41" t="s">
        <v>436</v>
      </c>
      <c r="AR84" s="36" t="s">
        <v>437</v>
      </c>
      <c r="AS84" s="43" t="s">
        <v>438</v>
      </c>
      <c r="AT84" s="36" t="s">
        <v>420</v>
      </c>
      <c r="AU84" s="43"/>
      <c r="AV84" s="35"/>
      <c r="AW84" s="44" t="s">
        <v>465</v>
      </c>
      <c r="AX84" s="43" t="s">
        <v>422</v>
      </c>
      <c r="AY84" s="47" t="n">
        <v>46283</v>
      </c>
    </row>
    <row r="85" customFormat="false" ht="79.5" hidden="false" customHeight="true" outlineLevel="0" collapsed="false">
      <c r="A85" s="34" t="n">
        <v>84</v>
      </c>
      <c r="B85" s="35" t="s">
        <v>440</v>
      </c>
      <c r="C85" s="36" t="s">
        <v>468</v>
      </c>
      <c r="D85" s="36" t="s">
        <v>198</v>
      </c>
      <c r="E85" s="37" t="s">
        <v>469</v>
      </c>
      <c r="F85" s="38"/>
      <c r="G85" s="39" t="s">
        <v>426</v>
      </c>
      <c r="H85" s="36"/>
      <c r="I85" s="36"/>
      <c r="J85" s="36" t="s">
        <v>405</v>
      </c>
      <c r="K85" s="40"/>
      <c r="L85" s="35"/>
      <c r="M85" s="35"/>
      <c r="N85" s="35"/>
      <c r="O85" s="35"/>
      <c r="P85" s="42"/>
      <c r="Q85" s="36"/>
      <c r="R85" s="43" t="s">
        <v>428</v>
      </c>
      <c r="S85" s="43"/>
      <c r="T85" s="35"/>
      <c r="U85" s="36"/>
      <c r="V85" s="43" t="s">
        <v>464</v>
      </c>
      <c r="W85" s="35"/>
      <c r="X85" s="43"/>
      <c r="Y85" s="43"/>
      <c r="Z85" s="35"/>
      <c r="AA85" s="45"/>
      <c r="AB85" s="45" t="s">
        <v>430</v>
      </c>
      <c r="AC85" s="35" t="s">
        <v>431</v>
      </c>
      <c r="AD85" s="35"/>
      <c r="AE85" s="35"/>
      <c r="AF85" s="36"/>
      <c r="AG85" s="41" t="s">
        <v>432</v>
      </c>
      <c r="AH85" s="43"/>
      <c r="AI85" s="43"/>
      <c r="AJ85" s="35" t="s">
        <v>434</v>
      </c>
      <c r="AK85" s="35" t="s">
        <v>415</v>
      </c>
      <c r="AL85" s="35" t="s">
        <v>435</v>
      </c>
      <c r="AM85" s="46"/>
      <c r="AN85" s="47" t="n">
        <v>44280</v>
      </c>
      <c r="AO85" s="47" t="n">
        <v>45376</v>
      </c>
      <c r="AP85" s="47" t="n">
        <v>46470</v>
      </c>
      <c r="AQ85" s="41" t="s">
        <v>436</v>
      </c>
      <c r="AR85" s="36" t="s">
        <v>437</v>
      </c>
      <c r="AS85" s="43" t="s">
        <v>438</v>
      </c>
      <c r="AT85" s="36" t="s">
        <v>420</v>
      </c>
      <c r="AU85" s="43"/>
      <c r="AV85" s="35"/>
      <c r="AW85" s="44" t="s">
        <v>465</v>
      </c>
      <c r="AX85" s="43" t="s">
        <v>422</v>
      </c>
      <c r="AY85" s="47" t="n">
        <v>46283</v>
      </c>
    </row>
    <row r="86" customFormat="false" ht="34.5" hidden="false" customHeight="true" outlineLevel="0" collapsed="false">
      <c r="A86" s="34" t="n">
        <v>85</v>
      </c>
      <c r="B86" s="35" t="s">
        <v>470</v>
      </c>
      <c r="C86" s="36"/>
      <c r="D86" s="36" t="s">
        <v>61</v>
      </c>
      <c r="E86" s="37" t="s">
        <v>62</v>
      </c>
      <c r="F86" s="38"/>
      <c r="G86" s="39" t="s">
        <v>234</v>
      </c>
      <c r="H86" s="36"/>
      <c r="I86" s="36"/>
      <c r="J86" s="36" t="s">
        <v>471</v>
      </c>
      <c r="K86" s="40"/>
      <c r="L86" s="35"/>
      <c r="M86" s="35"/>
      <c r="N86" s="35"/>
      <c r="O86" s="35"/>
      <c r="P86" s="42"/>
      <c r="Q86" s="36"/>
      <c r="R86" s="43"/>
      <c r="S86" s="43"/>
      <c r="T86" s="35"/>
      <c r="U86" s="36"/>
      <c r="V86" s="43"/>
      <c r="W86" s="35"/>
      <c r="X86" s="43"/>
      <c r="Y86" s="43"/>
      <c r="Z86" s="35" t="s">
        <v>63</v>
      </c>
      <c r="AA86" s="36" t="s">
        <v>472</v>
      </c>
      <c r="AB86" s="36"/>
      <c r="AC86" s="35"/>
      <c r="AD86" s="35"/>
      <c r="AE86" s="35"/>
      <c r="AF86" s="36"/>
      <c r="AG86" s="35"/>
      <c r="AH86" s="43" t="s">
        <v>473</v>
      </c>
      <c r="AI86" s="43" t="s">
        <v>474</v>
      </c>
      <c r="AJ86" s="35"/>
      <c r="AK86" s="35"/>
      <c r="AL86" s="35"/>
      <c r="AM86" s="46"/>
      <c r="AN86" s="47"/>
      <c r="AO86" s="47"/>
      <c r="AP86" s="47"/>
      <c r="AQ86" s="35"/>
      <c r="AR86" s="36"/>
      <c r="AS86" s="43"/>
      <c r="AT86" s="36"/>
      <c r="AU86" s="43"/>
      <c r="AV86" s="35"/>
      <c r="AW86" s="44" t="s">
        <v>475</v>
      </c>
      <c r="AX86" s="44" t="s">
        <v>476</v>
      </c>
      <c r="AY86" s="47" t="n">
        <v>46283</v>
      </c>
    </row>
    <row r="87" customFormat="false" ht="34.5" hidden="false" customHeight="true" outlineLevel="0" collapsed="false">
      <c r="A87" s="34" t="n">
        <v>86</v>
      </c>
      <c r="B87" s="35" t="s">
        <v>470</v>
      </c>
      <c r="C87" s="36"/>
      <c r="D87" s="36" t="s">
        <v>61</v>
      </c>
      <c r="E87" s="37" t="s">
        <v>168</v>
      </c>
      <c r="F87" s="38"/>
      <c r="G87" s="39" t="s">
        <v>234</v>
      </c>
      <c r="H87" s="36"/>
      <c r="I87" s="36"/>
      <c r="J87" s="36" t="s">
        <v>471</v>
      </c>
      <c r="K87" s="40"/>
      <c r="L87" s="35"/>
      <c r="M87" s="35"/>
      <c r="N87" s="35"/>
      <c r="O87" s="35"/>
      <c r="P87" s="42"/>
      <c r="Q87" s="36"/>
      <c r="R87" s="43"/>
      <c r="S87" s="43"/>
      <c r="T87" s="35"/>
      <c r="U87" s="36"/>
      <c r="V87" s="43"/>
      <c r="W87" s="35"/>
      <c r="X87" s="43"/>
      <c r="Y87" s="43"/>
      <c r="Z87" s="35" t="s">
        <v>89</v>
      </c>
      <c r="AA87" s="36" t="s">
        <v>472</v>
      </c>
      <c r="AB87" s="36"/>
      <c r="AC87" s="35"/>
      <c r="AD87" s="35"/>
      <c r="AE87" s="35"/>
      <c r="AF87" s="36"/>
      <c r="AG87" s="35"/>
      <c r="AH87" s="43" t="s">
        <v>477</v>
      </c>
      <c r="AI87" s="43" t="s">
        <v>478</v>
      </c>
      <c r="AJ87" s="35"/>
      <c r="AK87" s="35"/>
      <c r="AL87" s="35"/>
      <c r="AM87" s="46"/>
      <c r="AN87" s="47"/>
      <c r="AO87" s="47"/>
      <c r="AP87" s="47"/>
      <c r="AQ87" s="35"/>
      <c r="AR87" s="36"/>
      <c r="AS87" s="43"/>
      <c r="AT87" s="36"/>
      <c r="AU87" s="43"/>
      <c r="AV87" s="35"/>
      <c r="AW87" s="44" t="s">
        <v>475</v>
      </c>
      <c r="AX87" s="44" t="s">
        <v>476</v>
      </c>
      <c r="AY87" s="47" t="n">
        <v>46283</v>
      </c>
    </row>
    <row r="88" customFormat="false" ht="34.5" hidden="false" customHeight="true" outlineLevel="0" collapsed="false">
      <c r="A88" s="34" t="n">
        <v>87</v>
      </c>
      <c r="B88" s="35" t="s">
        <v>470</v>
      </c>
      <c r="C88" s="36"/>
      <c r="D88" s="36" t="s">
        <v>61</v>
      </c>
      <c r="E88" s="37" t="s">
        <v>168</v>
      </c>
      <c r="F88" s="38"/>
      <c r="G88" s="39" t="s">
        <v>234</v>
      </c>
      <c r="H88" s="36"/>
      <c r="I88" s="36"/>
      <c r="J88" s="36" t="s">
        <v>471</v>
      </c>
      <c r="K88" s="40"/>
      <c r="L88" s="35"/>
      <c r="M88" s="35"/>
      <c r="N88" s="35"/>
      <c r="O88" s="35"/>
      <c r="P88" s="42"/>
      <c r="Q88" s="36"/>
      <c r="R88" s="43"/>
      <c r="S88" s="43"/>
      <c r="T88" s="35"/>
      <c r="U88" s="36"/>
      <c r="V88" s="43"/>
      <c r="W88" s="35"/>
      <c r="X88" s="43"/>
      <c r="Y88" s="43"/>
      <c r="Z88" s="35" t="s">
        <v>172</v>
      </c>
      <c r="AA88" s="36" t="s">
        <v>472</v>
      </c>
      <c r="AB88" s="36"/>
      <c r="AC88" s="35"/>
      <c r="AD88" s="35"/>
      <c r="AE88" s="35"/>
      <c r="AF88" s="36"/>
      <c r="AG88" s="35"/>
      <c r="AH88" s="43" t="s">
        <v>479</v>
      </c>
      <c r="AI88" s="43" t="s">
        <v>480</v>
      </c>
      <c r="AJ88" s="35"/>
      <c r="AK88" s="35"/>
      <c r="AL88" s="35"/>
      <c r="AM88" s="46"/>
      <c r="AN88" s="47"/>
      <c r="AO88" s="47"/>
      <c r="AP88" s="47"/>
      <c r="AQ88" s="35"/>
      <c r="AR88" s="36"/>
      <c r="AS88" s="43"/>
      <c r="AT88" s="36"/>
      <c r="AU88" s="43"/>
      <c r="AV88" s="35"/>
      <c r="AW88" s="44" t="s">
        <v>475</v>
      </c>
      <c r="AX88" s="44" t="s">
        <v>476</v>
      </c>
      <c r="AY88" s="47" t="n">
        <v>46283</v>
      </c>
    </row>
    <row r="89" customFormat="false" ht="34.5" hidden="false" customHeight="true" outlineLevel="0" collapsed="false">
      <c r="A89" s="34" t="n">
        <v>88</v>
      </c>
      <c r="B89" s="35" t="s">
        <v>470</v>
      </c>
      <c r="C89" s="36"/>
      <c r="D89" s="36" t="s">
        <v>61</v>
      </c>
      <c r="E89" s="37" t="s">
        <v>168</v>
      </c>
      <c r="F89" s="38"/>
      <c r="G89" s="39" t="s">
        <v>234</v>
      </c>
      <c r="H89" s="36"/>
      <c r="I89" s="36"/>
      <c r="J89" s="36" t="s">
        <v>471</v>
      </c>
      <c r="K89" s="40"/>
      <c r="L89" s="35"/>
      <c r="M89" s="35"/>
      <c r="N89" s="35"/>
      <c r="O89" s="35"/>
      <c r="P89" s="42"/>
      <c r="Q89" s="36"/>
      <c r="R89" s="43"/>
      <c r="S89" s="43"/>
      <c r="T89" s="35"/>
      <c r="U89" s="36"/>
      <c r="V89" s="43"/>
      <c r="W89" s="35"/>
      <c r="X89" s="43"/>
      <c r="Y89" s="43"/>
      <c r="Z89" s="35" t="s">
        <v>181</v>
      </c>
      <c r="AA89" s="36" t="s">
        <v>472</v>
      </c>
      <c r="AB89" s="36"/>
      <c r="AC89" s="35"/>
      <c r="AD89" s="35"/>
      <c r="AE89" s="35"/>
      <c r="AF89" s="36"/>
      <c r="AG89" s="35"/>
      <c r="AH89" s="43" t="s">
        <v>481</v>
      </c>
      <c r="AI89" s="43" t="s">
        <v>482</v>
      </c>
      <c r="AJ89" s="35"/>
      <c r="AK89" s="35"/>
      <c r="AL89" s="35"/>
      <c r="AM89" s="46"/>
      <c r="AN89" s="47"/>
      <c r="AO89" s="47"/>
      <c r="AP89" s="47"/>
      <c r="AQ89" s="35"/>
      <c r="AR89" s="36"/>
      <c r="AS89" s="43"/>
      <c r="AT89" s="36"/>
      <c r="AU89" s="43"/>
      <c r="AV89" s="35"/>
      <c r="AW89" s="44" t="s">
        <v>475</v>
      </c>
      <c r="AX89" s="44" t="s">
        <v>476</v>
      </c>
      <c r="AY89" s="47" t="n">
        <v>46283</v>
      </c>
    </row>
    <row r="90" customFormat="false" ht="34.5" hidden="false" customHeight="true" outlineLevel="0" collapsed="false">
      <c r="A90" s="34" t="n">
        <v>89</v>
      </c>
      <c r="B90" s="35" t="s">
        <v>470</v>
      </c>
      <c r="C90" s="36"/>
      <c r="D90" s="36" t="s">
        <v>61</v>
      </c>
      <c r="E90" s="37" t="s">
        <v>131</v>
      </c>
      <c r="F90" s="38"/>
      <c r="G90" s="39" t="s">
        <v>234</v>
      </c>
      <c r="H90" s="36"/>
      <c r="I90" s="36"/>
      <c r="J90" s="36" t="s">
        <v>471</v>
      </c>
      <c r="K90" s="40"/>
      <c r="L90" s="35"/>
      <c r="M90" s="35"/>
      <c r="N90" s="35"/>
      <c r="O90" s="35"/>
      <c r="P90" s="42"/>
      <c r="Q90" s="36"/>
      <c r="R90" s="43"/>
      <c r="S90" s="43"/>
      <c r="T90" s="35"/>
      <c r="U90" s="36"/>
      <c r="V90" s="43"/>
      <c r="W90" s="35"/>
      <c r="X90" s="43"/>
      <c r="Y90" s="43"/>
      <c r="Z90" s="35" t="s">
        <v>143</v>
      </c>
      <c r="AA90" s="36" t="s">
        <v>472</v>
      </c>
      <c r="AB90" s="36"/>
      <c r="AC90" s="35"/>
      <c r="AD90" s="35"/>
      <c r="AE90" s="35"/>
      <c r="AF90" s="36"/>
      <c r="AG90" s="35"/>
      <c r="AH90" s="43" t="s">
        <v>483</v>
      </c>
      <c r="AI90" s="43" t="s">
        <v>484</v>
      </c>
      <c r="AJ90" s="35"/>
      <c r="AK90" s="35"/>
      <c r="AL90" s="35"/>
      <c r="AM90" s="46"/>
      <c r="AN90" s="47"/>
      <c r="AO90" s="47"/>
      <c r="AP90" s="47"/>
      <c r="AQ90" s="35"/>
      <c r="AR90" s="36"/>
      <c r="AS90" s="43"/>
      <c r="AT90" s="36"/>
      <c r="AU90" s="43"/>
      <c r="AV90" s="35"/>
      <c r="AW90" s="44" t="s">
        <v>475</v>
      </c>
      <c r="AX90" s="44" t="s">
        <v>476</v>
      </c>
      <c r="AY90" s="47" t="n">
        <v>46283</v>
      </c>
    </row>
    <row r="91" customFormat="false" ht="49.5" hidden="false" customHeight="true" outlineLevel="0" collapsed="false">
      <c r="A91" s="34" t="n">
        <v>90</v>
      </c>
      <c r="B91" s="35" t="s">
        <v>470</v>
      </c>
      <c r="C91" s="36"/>
      <c r="D91" s="36" t="s">
        <v>61</v>
      </c>
      <c r="E91" s="37" t="s">
        <v>168</v>
      </c>
      <c r="F91" s="38"/>
      <c r="G91" s="39" t="s">
        <v>325</v>
      </c>
      <c r="H91" s="36"/>
      <c r="I91" s="36"/>
      <c r="J91" s="36" t="s">
        <v>471</v>
      </c>
      <c r="K91" s="40"/>
      <c r="L91" s="35"/>
      <c r="M91" s="35"/>
      <c r="N91" s="35"/>
      <c r="O91" s="35"/>
      <c r="P91" s="42"/>
      <c r="Q91" s="36"/>
      <c r="R91" s="43"/>
      <c r="S91" s="43"/>
      <c r="T91" s="35"/>
      <c r="U91" s="36"/>
      <c r="V91" s="43"/>
      <c r="W91" s="35"/>
      <c r="X91" s="43"/>
      <c r="Y91" s="43"/>
      <c r="Z91" s="35" t="s">
        <v>181</v>
      </c>
      <c r="AA91" s="36" t="s">
        <v>472</v>
      </c>
      <c r="AB91" s="36"/>
      <c r="AC91" s="35"/>
      <c r="AD91" s="35"/>
      <c r="AE91" s="35"/>
      <c r="AF91" s="36"/>
      <c r="AG91" s="35"/>
      <c r="AH91" s="43" t="s">
        <v>481</v>
      </c>
      <c r="AI91" s="43" t="s">
        <v>482</v>
      </c>
      <c r="AJ91" s="35"/>
      <c r="AK91" s="35"/>
      <c r="AL91" s="35"/>
      <c r="AM91" s="46"/>
      <c r="AN91" s="47"/>
      <c r="AO91" s="47"/>
      <c r="AP91" s="47"/>
      <c r="AQ91" s="35"/>
      <c r="AR91" s="36"/>
      <c r="AS91" s="43"/>
      <c r="AT91" s="36"/>
      <c r="AU91" s="43"/>
      <c r="AV91" s="35"/>
      <c r="AW91" s="44" t="s">
        <v>485</v>
      </c>
      <c r="AX91" s="44" t="s">
        <v>486</v>
      </c>
      <c r="AY91" s="47" t="n">
        <v>46283</v>
      </c>
    </row>
    <row r="92" customFormat="false" ht="49.5" hidden="false" customHeight="true" outlineLevel="0" collapsed="false">
      <c r="A92" s="34" t="n">
        <v>91</v>
      </c>
      <c r="B92" s="35" t="s">
        <v>470</v>
      </c>
      <c r="C92" s="36"/>
      <c r="D92" s="36"/>
      <c r="E92" s="37"/>
      <c r="F92" s="38"/>
      <c r="G92" s="39" t="s">
        <v>487</v>
      </c>
      <c r="H92" s="36"/>
      <c r="I92" s="36"/>
      <c r="J92" s="36" t="s">
        <v>471</v>
      </c>
      <c r="K92" s="40"/>
      <c r="L92" s="35"/>
      <c r="M92" s="35"/>
      <c r="N92" s="35"/>
      <c r="O92" s="35"/>
      <c r="P92" s="42"/>
      <c r="Q92" s="36"/>
      <c r="R92" s="43" t="s">
        <v>488</v>
      </c>
      <c r="S92" s="43"/>
      <c r="T92" s="35"/>
      <c r="U92" s="36"/>
      <c r="V92" s="43"/>
      <c r="W92" s="35"/>
      <c r="X92" s="43"/>
      <c r="Y92" s="43"/>
      <c r="Z92" s="35"/>
      <c r="AA92" s="36" t="s">
        <v>489</v>
      </c>
      <c r="AB92" s="36"/>
      <c r="AC92" s="35"/>
      <c r="AD92" s="35"/>
      <c r="AE92" s="35"/>
      <c r="AF92" s="36"/>
      <c r="AG92" s="35"/>
      <c r="AH92" s="43"/>
      <c r="AI92" s="43"/>
      <c r="AJ92" s="35"/>
      <c r="AK92" s="35"/>
      <c r="AL92" s="35"/>
      <c r="AM92" s="46"/>
      <c r="AN92" s="47"/>
      <c r="AO92" s="47"/>
      <c r="AP92" s="47"/>
      <c r="AQ92" s="35"/>
      <c r="AR92" s="36"/>
      <c r="AS92" s="43"/>
      <c r="AT92" s="36"/>
      <c r="AU92" s="43"/>
      <c r="AV92" s="35"/>
      <c r="AW92" s="44" t="s">
        <v>485</v>
      </c>
      <c r="AX92" s="44" t="s">
        <v>486</v>
      </c>
      <c r="AY92" s="47" t="n">
        <v>46283</v>
      </c>
    </row>
    <row r="93" customFormat="false" ht="64.5" hidden="false" customHeight="true" outlineLevel="0" collapsed="false">
      <c r="A93" s="34" t="n">
        <v>92</v>
      </c>
      <c r="B93" s="35" t="s">
        <v>490</v>
      </c>
      <c r="C93" s="36"/>
      <c r="D93" s="36"/>
      <c r="E93" s="37"/>
      <c r="F93" s="38"/>
      <c r="G93" s="39" t="s">
        <v>79</v>
      </c>
      <c r="H93" s="36"/>
      <c r="I93" s="36"/>
      <c r="J93" s="36" t="s">
        <v>471</v>
      </c>
      <c r="K93" s="40"/>
      <c r="L93" s="35"/>
      <c r="M93" s="35"/>
      <c r="N93" s="35"/>
      <c r="O93" s="35"/>
      <c r="P93" s="42"/>
      <c r="Q93" s="36"/>
      <c r="R93" s="43"/>
      <c r="S93" s="43"/>
      <c r="T93" s="35"/>
      <c r="U93" s="36"/>
      <c r="V93" s="43"/>
      <c r="W93" s="35"/>
      <c r="X93" s="43"/>
      <c r="Y93" s="43"/>
      <c r="Z93" s="35"/>
      <c r="AA93" s="36" t="s">
        <v>491</v>
      </c>
      <c r="AB93" s="36"/>
      <c r="AC93" s="35" t="s">
        <v>492</v>
      </c>
      <c r="AD93" s="35"/>
      <c r="AE93" s="35"/>
      <c r="AF93" s="36"/>
      <c r="AG93" s="41" t="s">
        <v>493</v>
      </c>
      <c r="AH93" s="43" t="s">
        <v>494</v>
      </c>
      <c r="AI93" s="43"/>
      <c r="AJ93" s="35"/>
      <c r="AK93" s="35"/>
      <c r="AL93" s="35"/>
      <c r="AM93" s="46"/>
      <c r="AN93" s="47"/>
      <c r="AO93" s="47"/>
      <c r="AP93" s="47"/>
      <c r="AQ93" s="35"/>
      <c r="AR93" s="36"/>
      <c r="AS93" s="43"/>
      <c r="AT93" s="36"/>
      <c r="AU93" s="43"/>
      <c r="AV93" s="35"/>
      <c r="AW93" s="44" t="s">
        <v>495</v>
      </c>
      <c r="AX93" s="44" t="s">
        <v>496</v>
      </c>
      <c r="AY93" s="47" t="n">
        <v>46283</v>
      </c>
    </row>
    <row r="94" customFormat="false" ht="64.5" hidden="false" customHeight="true" outlineLevel="0" collapsed="false">
      <c r="A94" s="34" t="n">
        <v>93</v>
      </c>
      <c r="B94" s="35" t="s">
        <v>490</v>
      </c>
      <c r="C94" s="36"/>
      <c r="D94" s="36"/>
      <c r="E94" s="37"/>
      <c r="F94" s="38"/>
      <c r="G94" s="39" t="s">
        <v>132</v>
      </c>
      <c r="H94" s="36"/>
      <c r="I94" s="36"/>
      <c r="J94" s="36" t="s">
        <v>471</v>
      </c>
      <c r="K94" s="40"/>
      <c r="L94" s="35"/>
      <c r="M94" s="35"/>
      <c r="N94" s="35"/>
      <c r="O94" s="35"/>
      <c r="P94" s="42"/>
      <c r="Q94" s="36"/>
      <c r="R94" s="43"/>
      <c r="S94" s="43"/>
      <c r="T94" s="35"/>
      <c r="U94" s="36"/>
      <c r="V94" s="43"/>
      <c r="W94" s="35"/>
      <c r="X94" s="43"/>
      <c r="Y94" s="43"/>
      <c r="Z94" s="35"/>
      <c r="AA94" s="36" t="s">
        <v>491</v>
      </c>
      <c r="AB94" s="36"/>
      <c r="AC94" s="35" t="s">
        <v>497</v>
      </c>
      <c r="AD94" s="35"/>
      <c r="AE94" s="35"/>
      <c r="AF94" s="36"/>
      <c r="AG94" s="35"/>
      <c r="AH94" s="43" t="s">
        <v>498</v>
      </c>
      <c r="AI94" s="43"/>
      <c r="AJ94" s="35"/>
      <c r="AK94" s="35"/>
      <c r="AL94" s="35"/>
      <c r="AM94" s="46"/>
      <c r="AN94" s="47"/>
      <c r="AO94" s="47"/>
      <c r="AP94" s="47"/>
      <c r="AQ94" s="35"/>
      <c r="AR94" s="36"/>
      <c r="AS94" s="43"/>
      <c r="AT94" s="36"/>
      <c r="AU94" s="43"/>
      <c r="AV94" s="35"/>
      <c r="AW94" s="44" t="s">
        <v>495</v>
      </c>
      <c r="AX94" s="44" t="s">
        <v>496</v>
      </c>
      <c r="AY94" s="47" t="n">
        <v>46283</v>
      </c>
    </row>
    <row r="95" customFormat="false" ht="64.5" hidden="false" customHeight="true" outlineLevel="0" collapsed="false">
      <c r="A95" s="34" t="n">
        <v>94</v>
      </c>
      <c r="B95" s="35" t="s">
        <v>490</v>
      </c>
      <c r="C95" s="36"/>
      <c r="D95" s="36"/>
      <c r="E95" s="37"/>
      <c r="F95" s="38"/>
      <c r="G95" s="39" t="s">
        <v>282</v>
      </c>
      <c r="H95" s="36"/>
      <c r="I95" s="36"/>
      <c r="J95" s="36" t="s">
        <v>471</v>
      </c>
      <c r="K95" s="40"/>
      <c r="L95" s="35"/>
      <c r="M95" s="35"/>
      <c r="N95" s="35"/>
      <c r="O95" s="35"/>
      <c r="P95" s="42"/>
      <c r="Q95" s="36"/>
      <c r="R95" s="43"/>
      <c r="S95" s="43"/>
      <c r="T95" s="35"/>
      <c r="U95" s="36"/>
      <c r="V95" s="43"/>
      <c r="W95" s="35"/>
      <c r="X95" s="43"/>
      <c r="Y95" s="43"/>
      <c r="Z95" s="35"/>
      <c r="AA95" s="36" t="s">
        <v>491</v>
      </c>
      <c r="AB95" s="36"/>
      <c r="AC95" s="35" t="s">
        <v>499</v>
      </c>
      <c r="AD95" s="35"/>
      <c r="AE95" s="35"/>
      <c r="AF95" s="36"/>
      <c r="AG95" s="41" t="s">
        <v>500</v>
      </c>
      <c r="AH95" s="43" t="s">
        <v>501</v>
      </c>
      <c r="AI95" s="43"/>
      <c r="AJ95" s="35"/>
      <c r="AK95" s="35"/>
      <c r="AL95" s="35"/>
      <c r="AM95" s="46"/>
      <c r="AN95" s="47"/>
      <c r="AO95" s="47"/>
      <c r="AP95" s="47"/>
      <c r="AQ95" s="35"/>
      <c r="AR95" s="36"/>
      <c r="AS95" s="43"/>
      <c r="AT95" s="36"/>
      <c r="AU95" s="43"/>
      <c r="AV95" s="35"/>
      <c r="AW95" s="44" t="s">
        <v>495</v>
      </c>
      <c r="AX95" s="44" t="s">
        <v>496</v>
      </c>
      <c r="AY95" s="47" t="n">
        <v>46283</v>
      </c>
    </row>
  </sheetData>
  <conditionalFormatting sqref="I2:I3000">
    <cfRule type="expression" priority="2" aboveAverage="0" equalAverage="0" bottom="0" percent="0" rank="0" text="" dxfId="16">
      <formula>$I2="보유"</formula>
    </cfRule>
  </conditionalFormatting>
  <conditionalFormatting sqref="R2:R3000">
    <cfRule type="expression" priority="3" aboveAverage="0" equalAverage="0" bottom="0" percent="0" rank="0" text="" dxfId="17">
      <formula>LEN($R2)&gt;0</formula>
    </cfRule>
  </conditionalFormatting>
  <dataValidations count="7">
    <dataValidation allowBlank="true" error="[참고 사항] 시트의 분류 값 목록에 있는 값을 선택하세요." errorStyle="stop" errorTitle="입력값 확인" operator="between" showDropDown="false" showErrorMessage="false" showInputMessage="false" sqref="B2:B1095" type="list">
      <formula1>목록_정보구분</formula1>
      <formula2>0</formula2>
    </dataValidation>
    <dataValidation allowBlank="true" error="[참고 사항] 시트의 분류 값 목록에 있는 값을 선택하세요." errorStyle="stop" errorTitle="입력값 확인" operator="between" showDropDown="false" showErrorMessage="false" showInputMessage="false" sqref="D2:D1095" type="list">
      <formula1>목록_병해충구분</formula1>
      <formula2>0</formula2>
    </dataValidation>
    <dataValidation allowBlank="true" error="[참고 사항] 시트의 분류 값 목록에 있는 값을 선택하세요." errorStyle="stop" errorTitle="입력값 확인" operator="between" showDropDown="false" showErrorMessage="false" showInputMessage="false" sqref="J2:J1095" type="list">
      <formula1>목록_방제구분</formula1>
      <formula2>0</formula2>
    </dataValidation>
    <dataValidation allowBlank="true" error="[참고 사항] 시트의 분류 값 목록에 있는 값을 선택하세요." errorStyle="stop" errorTitle="입력값 확인" operator="between" showDropDown="false" showErrorMessage="false" showInputMessage="false" sqref="I2:I1095" type="list">
      <formula1>목록_학교보유</formula1>
      <formula2>0</formula2>
    </dataValidation>
    <dataValidation allowBlank="true" error="[참고 사항] 시트의 분류 값 목록에 있는 값을 선택하세요." errorStyle="stop" errorTitle="입력값 확인" operator="between" showDropDown="false" showErrorMessage="false" showInputMessage="false" sqref="AA2:AA1095" type="list">
      <formula1>목록_혼용가능여부</formula1>
      <formula2>0</formula2>
    </dataValidation>
    <dataValidation allowBlank="true" error="[참고 사항] 시트의 분류 값 목록에 있는 값을 선택하세요." errorStyle="warning" errorTitle="입력값 확인" operator="between" showDropDown="false" showErrorMessage="false" showInputMessage="false" sqref="H2:H1095" type="list">
      <formula1>목록_제형</formula1>
      <formula2>0</formula2>
    </dataValidation>
    <dataValidation allowBlank="true" error="[참고 사항] 시트의 분류 값 목록에 있는 값을 선택하세요." errorStyle="warning" errorTitle="입력값 확인" operator="between" showDropDown="false" showErrorMessage="false" showInputMessage="false" sqref="M2:M1095" type="list">
      <formula1>목록_살포방법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6"/>
    <col collapsed="false" customWidth="true" hidden="false" outlineLevel="0" max="8" min="8" style="0" width="30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2" min="12" style="0" width="10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14"/>
    <col collapsed="false" customWidth="true" hidden="false" outlineLevel="0" max="17" min="17" style="0" width="16"/>
    <col collapsed="false" customWidth="true" hidden="false" outlineLevel="0" max="18" min="18" style="0" width="13"/>
    <col collapsed="false" customWidth="true" hidden="false" outlineLevel="0" max="19" min="19" style="0" width="10"/>
    <col collapsed="false" customWidth="true" hidden="false" outlineLevel="0" max="20" min="20" style="0" width="11"/>
    <col collapsed="false" customWidth="true" hidden="false" outlineLevel="0" max="21" min="21" style="0" width="13"/>
    <col collapsed="false" customWidth="true" hidden="false" outlineLevel="0" max="22" min="22" style="0" width="8"/>
    <col collapsed="false" customWidth="true" hidden="false" outlineLevel="0" max="23" min="23" style="0" width="7"/>
    <col collapsed="false" customWidth="true" hidden="false" outlineLevel="0" max="24" min="24" style="0" width="18"/>
    <col collapsed="false" customWidth="true" hidden="false" outlineLevel="0" max="25" min="25" style="0" width="13"/>
    <col collapsed="false" customWidth="true" hidden="false" outlineLevel="0" max="26" min="26" style="0" width="11"/>
    <col collapsed="false" customWidth="true" hidden="false" outlineLevel="0" max="27" min="27" style="0" width="22"/>
  </cols>
  <sheetData>
    <row r="1" customFormat="false" ht="33.75" hidden="false" customHeight="true" outlineLevel="0" collapsed="false">
      <c r="A1" s="33" t="s">
        <v>8</v>
      </c>
      <c r="B1" s="29" t="s">
        <v>12</v>
      </c>
      <c r="C1" s="33" t="s">
        <v>30</v>
      </c>
      <c r="D1" s="33" t="s">
        <v>31</v>
      </c>
      <c r="E1" s="33" t="s">
        <v>10</v>
      </c>
      <c r="F1" s="30" t="s">
        <v>502</v>
      </c>
      <c r="G1" s="30" t="s">
        <v>503</v>
      </c>
      <c r="H1" s="30" t="s">
        <v>504</v>
      </c>
      <c r="I1" s="30" t="s">
        <v>505</v>
      </c>
      <c r="J1" s="30" t="s">
        <v>506</v>
      </c>
      <c r="K1" s="30" t="s">
        <v>507</v>
      </c>
      <c r="L1" s="30" t="s">
        <v>508</v>
      </c>
      <c r="M1" s="33" t="s">
        <v>509</v>
      </c>
      <c r="N1" s="31" t="s">
        <v>18</v>
      </c>
      <c r="O1" s="31" t="s">
        <v>19</v>
      </c>
      <c r="P1" s="31" t="s">
        <v>510</v>
      </c>
      <c r="Q1" s="31" t="s">
        <v>511</v>
      </c>
      <c r="R1" s="31" t="s">
        <v>512</v>
      </c>
      <c r="S1" s="31" t="s">
        <v>513</v>
      </c>
      <c r="T1" s="33" t="s">
        <v>15</v>
      </c>
      <c r="U1" s="32" t="s">
        <v>27</v>
      </c>
      <c r="V1" s="32" t="s">
        <v>28</v>
      </c>
      <c r="W1" s="33" t="s">
        <v>514</v>
      </c>
      <c r="X1" s="33" t="s">
        <v>515</v>
      </c>
      <c r="Y1" s="33" t="s">
        <v>38</v>
      </c>
      <c r="Z1" s="33" t="s">
        <v>516</v>
      </c>
      <c r="AA1" s="33" t="s">
        <v>517</v>
      </c>
    </row>
    <row r="2" customFormat="false" ht="34.5" hidden="false" customHeight="true" outlineLevel="0" collapsed="false">
      <c r="A2" s="34" t="n">
        <v>1</v>
      </c>
      <c r="B2" s="37" t="s">
        <v>199</v>
      </c>
      <c r="C2" s="45" t="s">
        <v>207</v>
      </c>
      <c r="D2" s="43" t="s">
        <v>208</v>
      </c>
      <c r="E2" s="35" t="s">
        <v>211</v>
      </c>
      <c r="F2" s="39" t="s">
        <v>518</v>
      </c>
      <c r="G2" s="43" t="s">
        <v>519</v>
      </c>
      <c r="H2" s="44" t="s">
        <v>206</v>
      </c>
      <c r="I2" s="45" t="s">
        <v>520</v>
      </c>
      <c r="J2" s="45"/>
      <c r="K2" s="36"/>
      <c r="L2" s="45"/>
      <c r="M2" s="36" t="s">
        <v>521</v>
      </c>
      <c r="N2" s="40"/>
      <c r="O2" s="41" t="s">
        <v>522</v>
      </c>
      <c r="P2" s="35" t="s">
        <v>523</v>
      </c>
      <c r="Q2" s="35" t="s">
        <v>189</v>
      </c>
      <c r="R2" s="35" t="s">
        <v>202</v>
      </c>
      <c r="S2" s="42" t="n">
        <v>1</v>
      </c>
      <c r="T2" s="35" t="s">
        <v>127</v>
      </c>
      <c r="U2" s="35" t="s">
        <v>204</v>
      </c>
      <c r="V2" s="36" t="s">
        <v>226</v>
      </c>
      <c r="W2" s="36" t="s">
        <v>524</v>
      </c>
      <c r="X2" s="44" t="s">
        <v>230</v>
      </c>
      <c r="Y2" s="41" t="s">
        <v>525</v>
      </c>
      <c r="Z2" s="47" t="n">
        <v>36944</v>
      </c>
      <c r="AA2" s="35" t="s">
        <v>526</v>
      </c>
    </row>
    <row r="3" customFormat="false" ht="34.5" hidden="false" customHeight="true" outlineLevel="0" collapsed="false">
      <c r="A3" s="34" t="n">
        <v>2</v>
      </c>
      <c r="B3" s="37" t="s">
        <v>199</v>
      </c>
      <c r="C3" s="45" t="s">
        <v>207</v>
      </c>
      <c r="D3" s="43" t="s">
        <v>208</v>
      </c>
      <c r="E3" s="35" t="s">
        <v>211</v>
      </c>
      <c r="F3" s="39" t="s">
        <v>200</v>
      </c>
      <c r="G3" s="43" t="s">
        <v>519</v>
      </c>
      <c r="H3" s="44" t="s">
        <v>206</v>
      </c>
      <c r="I3" s="45" t="s">
        <v>520</v>
      </c>
      <c r="J3" s="45"/>
      <c r="K3" s="36"/>
      <c r="L3" s="45" t="s">
        <v>527</v>
      </c>
      <c r="M3" s="36" t="s">
        <v>521</v>
      </c>
      <c r="N3" s="40"/>
      <c r="O3" s="41" t="s">
        <v>201</v>
      </c>
      <c r="P3" s="35" t="s">
        <v>523</v>
      </c>
      <c r="Q3" s="35" t="s">
        <v>189</v>
      </c>
      <c r="R3" s="35" t="s">
        <v>202</v>
      </c>
      <c r="S3" s="42" t="n">
        <v>1</v>
      </c>
      <c r="T3" s="35" t="s">
        <v>127</v>
      </c>
      <c r="U3" s="35" t="s">
        <v>204</v>
      </c>
      <c r="V3" s="36" t="s">
        <v>205</v>
      </c>
      <c r="W3" s="36" t="s">
        <v>524</v>
      </c>
      <c r="X3" s="44" t="s">
        <v>210</v>
      </c>
      <c r="Y3" s="41" t="s">
        <v>212</v>
      </c>
      <c r="Z3" s="47" t="n">
        <v>36187</v>
      </c>
      <c r="AA3" s="35" t="s">
        <v>526</v>
      </c>
    </row>
    <row r="4" customFormat="false" ht="34.5" hidden="false" customHeight="true" outlineLevel="0" collapsed="false">
      <c r="A4" s="34" t="n">
        <v>3</v>
      </c>
      <c r="B4" s="37" t="s">
        <v>199</v>
      </c>
      <c r="C4" s="45" t="s">
        <v>219</v>
      </c>
      <c r="D4" s="43" t="s">
        <v>220</v>
      </c>
      <c r="E4" s="35" t="s">
        <v>211</v>
      </c>
      <c r="F4" s="39" t="s">
        <v>216</v>
      </c>
      <c r="G4" s="43" t="s">
        <v>528</v>
      </c>
      <c r="H4" s="44" t="s">
        <v>218</v>
      </c>
      <c r="I4" s="45" t="s">
        <v>529</v>
      </c>
      <c r="J4" s="45"/>
      <c r="K4" s="36"/>
      <c r="L4" s="45" t="s">
        <v>530</v>
      </c>
      <c r="M4" s="36" t="s">
        <v>521</v>
      </c>
      <c r="N4" s="40"/>
      <c r="O4" s="41" t="s">
        <v>217</v>
      </c>
      <c r="P4" s="35" t="s">
        <v>523</v>
      </c>
      <c r="Q4" s="35" t="s">
        <v>189</v>
      </c>
      <c r="R4" s="35" t="s">
        <v>202</v>
      </c>
      <c r="S4" s="42" t="n">
        <v>1</v>
      </c>
      <c r="T4" s="35" t="s">
        <v>127</v>
      </c>
      <c r="U4" s="35" t="s">
        <v>204</v>
      </c>
      <c r="V4" s="36" t="s">
        <v>205</v>
      </c>
      <c r="W4" s="36" t="s">
        <v>524</v>
      </c>
      <c r="X4" s="44" t="s">
        <v>221</v>
      </c>
      <c r="Y4" s="41" t="s">
        <v>222</v>
      </c>
      <c r="Z4" s="47" t="n">
        <v>44671</v>
      </c>
      <c r="AA4" s="35" t="s">
        <v>526</v>
      </c>
    </row>
    <row r="5" customFormat="false" ht="49.5" hidden="false" customHeight="true" outlineLevel="0" collapsed="false">
      <c r="A5" s="34" t="n">
        <v>4</v>
      </c>
      <c r="B5" s="37" t="s">
        <v>199</v>
      </c>
      <c r="C5" s="45" t="s">
        <v>531</v>
      </c>
      <c r="D5" s="43" t="s">
        <v>532</v>
      </c>
      <c r="E5" s="35" t="s">
        <v>211</v>
      </c>
      <c r="F5" s="39" t="s">
        <v>533</v>
      </c>
      <c r="G5" s="43" t="s">
        <v>534</v>
      </c>
      <c r="H5" s="44" t="s">
        <v>535</v>
      </c>
      <c r="I5" s="45" t="s">
        <v>536</v>
      </c>
      <c r="J5" s="45"/>
      <c r="K5" s="36"/>
      <c r="L5" s="45"/>
      <c r="M5" s="36" t="s">
        <v>521</v>
      </c>
      <c r="N5" s="40"/>
      <c r="O5" s="41" t="s">
        <v>522</v>
      </c>
      <c r="P5" s="35" t="s">
        <v>523</v>
      </c>
      <c r="Q5" s="35" t="s">
        <v>189</v>
      </c>
      <c r="R5" s="35" t="s">
        <v>202</v>
      </c>
      <c r="S5" s="42" t="n">
        <v>1</v>
      </c>
      <c r="T5" s="35" t="s">
        <v>127</v>
      </c>
      <c r="U5" s="35" t="s">
        <v>537</v>
      </c>
      <c r="V5" s="36" t="s">
        <v>226</v>
      </c>
      <c r="W5" s="36" t="s">
        <v>524</v>
      </c>
      <c r="X5" s="43" t="s">
        <v>300</v>
      </c>
      <c r="Y5" s="41" t="s">
        <v>538</v>
      </c>
      <c r="Z5" s="47" t="n">
        <v>39538</v>
      </c>
      <c r="AA5" s="35" t="s">
        <v>526</v>
      </c>
    </row>
    <row r="6" customFormat="false" ht="64.5" hidden="false" customHeight="true" outlineLevel="0" collapsed="false">
      <c r="A6" s="34" t="n">
        <v>5</v>
      </c>
      <c r="B6" s="37" t="s">
        <v>199</v>
      </c>
      <c r="C6" s="45" t="s">
        <v>228</v>
      </c>
      <c r="D6" s="43" t="s">
        <v>229</v>
      </c>
      <c r="E6" s="35" t="s">
        <v>211</v>
      </c>
      <c r="F6" s="39" t="s">
        <v>224</v>
      </c>
      <c r="G6" s="43" t="s">
        <v>539</v>
      </c>
      <c r="H6" s="44" t="s">
        <v>227</v>
      </c>
      <c r="I6" s="45" t="s">
        <v>540</v>
      </c>
      <c r="J6" s="45"/>
      <c r="K6" s="36"/>
      <c r="L6" s="45" t="s">
        <v>541</v>
      </c>
      <c r="M6" s="36" t="s">
        <v>521</v>
      </c>
      <c r="N6" s="40"/>
      <c r="O6" s="41" t="s">
        <v>225</v>
      </c>
      <c r="P6" s="35" t="s">
        <v>523</v>
      </c>
      <c r="Q6" s="35" t="s">
        <v>189</v>
      </c>
      <c r="R6" s="35" t="s">
        <v>202</v>
      </c>
      <c r="S6" s="42" t="n">
        <v>1</v>
      </c>
      <c r="T6" s="35" t="s">
        <v>127</v>
      </c>
      <c r="U6" s="35" t="s">
        <v>204</v>
      </c>
      <c r="V6" s="36" t="s">
        <v>226</v>
      </c>
      <c r="W6" s="36" t="s">
        <v>524</v>
      </c>
      <c r="X6" s="44" t="s">
        <v>230</v>
      </c>
      <c r="Y6" s="41" t="s">
        <v>231</v>
      </c>
      <c r="Z6" s="47" t="n">
        <v>44819</v>
      </c>
      <c r="AA6" s="35" t="s">
        <v>526</v>
      </c>
    </row>
    <row r="7" customFormat="false" ht="64.5" hidden="false" customHeight="true" outlineLevel="0" collapsed="false">
      <c r="A7" s="34" t="n">
        <v>6</v>
      </c>
      <c r="B7" s="37" t="s">
        <v>199</v>
      </c>
      <c r="C7" s="45" t="s">
        <v>228</v>
      </c>
      <c r="D7" s="43" t="s">
        <v>229</v>
      </c>
      <c r="E7" s="35" t="s">
        <v>211</v>
      </c>
      <c r="F7" s="39" t="s">
        <v>542</v>
      </c>
      <c r="G7" s="43" t="s">
        <v>543</v>
      </c>
      <c r="H7" s="44" t="s">
        <v>544</v>
      </c>
      <c r="I7" s="45" t="s">
        <v>545</v>
      </c>
      <c r="J7" s="45"/>
      <c r="K7" s="36"/>
      <c r="L7" s="45"/>
      <c r="M7" s="36" t="s">
        <v>521</v>
      </c>
      <c r="N7" s="40"/>
      <c r="O7" s="41" t="s">
        <v>522</v>
      </c>
      <c r="P7" s="35" t="s">
        <v>523</v>
      </c>
      <c r="Q7" s="35" t="s">
        <v>189</v>
      </c>
      <c r="R7" s="35" t="s">
        <v>546</v>
      </c>
      <c r="S7" s="42" t="n">
        <v>1</v>
      </c>
      <c r="T7" s="35" t="s">
        <v>127</v>
      </c>
      <c r="U7" s="35" t="s">
        <v>204</v>
      </c>
      <c r="V7" s="36" t="s">
        <v>226</v>
      </c>
      <c r="W7" s="36" t="s">
        <v>524</v>
      </c>
      <c r="X7" s="44" t="s">
        <v>547</v>
      </c>
      <c r="Y7" s="41" t="s">
        <v>548</v>
      </c>
      <c r="Z7" s="47" t="n">
        <v>45919</v>
      </c>
      <c r="AA7" s="35" t="s">
        <v>526</v>
      </c>
    </row>
    <row r="8" customFormat="false" ht="64.5" hidden="false" customHeight="true" outlineLevel="0" collapsed="false">
      <c r="A8" s="34" t="n">
        <v>7</v>
      </c>
      <c r="B8" s="37" t="s">
        <v>199</v>
      </c>
      <c r="C8" s="45" t="s">
        <v>228</v>
      </c>
      <c r="D8" s="43" t="s">
        <v>229</v>
      </c>
      <c r="E8" s="35" t="s">
        <v>211</v>
      </c>
      <c r="F8" s="39" t="s">
        <v>549</v>
      </c>
      <c r="G8" s="43" t="s">
        <v>550</v>
      </c>
      <c r="H8" s="44" t="s">
        <v>551</v>
      </c>
      <c r="I8" s="45" t="s">
        <v>552</v>
      </c>
      <c r="J8" s="45"/>
      <c r="K8" s="36"/>
      <c r="L8" s="45"/>
      <c r="M8" s="36" t="s">
        <v>521</v>
      </c>
      <c r="N8" s="40"/>
      <c r="O8" s="41" t="s">
        <v>225</v>
      </c>
      <c r="P8" s="35" t="s">
        <v>523</v>
      </c>
      <c r="Q8" s="35" t="s">
        <v>189</v>
      </c>
      <c r="R8" s="35" t="s">
        <v>202</v>
      </c>
      <c r="S8" s="42" t="n">
        <v>1</v>
      </c>
      <c r="T8" s="35" t="s">
        <v>127</v>
      </c>
      <c r="U8" s="35" t="s">
        <v>537</v>
      </c>
      <c r="V8" s="36" t="s">
        <v>284</v>
      </c>
      <c r="W8" s="36" t="s">
        <v>524</v>
      </c>
      <c r="X8" s="44" t="s">
        <v>553</v>
      </c>
      <c r="Y8" s="41" t="s">
        <v>554</v>
      </c>
      <c r="Z8" s="47" t="n">
        <v>44690</v>
      </c>
      <c r="AA8" s="35" t="s">
        <v>526</v>
      </c>
    </row>
    <row r="9" customFormat="false" ht="64.5" hidden="false" customHeight="true" outlineLevel="0" collapsed="false">
      <c r="A9" s="34" t="n">
        <v>8</v>
      </c>
      <c r="B9" s="37" t="s">
        <v>199</v>
      </c>
      <c r="C9" s="36" t="s">
        <v>555</v>
      </c>
      <c r="D9" s="44" t="s">
        <v>556</v>
      </c>
      <c r="E9" s="35" t="s">
        <v>211</v>
      </c>
      <c r="F9" s="39" t="s">
        <v>557</v>
      </c>
      <c r="G9" s="43" t="s">
        <v>558</v>
      </c>
      <c r="H9" s="44" t="s">
        <v>559</v>
      </c>
      <c r="I9" s="45" t="s">
        <v>560</v>
      </c>
      <c r="J9" s="45"/>
      <c r="K9" s="36"/>
      <c r="L9" s="45"/>
      <c r="M9" s="36" t="s">
        <v>561</v>
      </c>
      <c r="N9" s="40"/>
      <c r="O9" s="41" t="s">
        <v>522</v>
      </c>
      <c r="P9" s="35" t="s">
        <v>523</v>
      </c>
      <c r="Q9" s="35" t="s">
        <v>189</v>
      </c>
      <c r="R9" s="35" t="s">
        <v>546</v>
      </c>
      <c r="S9" s="42" t="n">
        <v>1</v>
      </c>
      <c r="T9" s="35" t="s">
        <v>127</v>
      </c>
      <c r="U9" s="35" t="s">
        <v>537</v>
      </c>
      <c r="V9" s="36" t="s">
        <v>226</v>
      </c>
      <c r="W9" s="36" t="s">
        <v>524</v>
      </c>
      <c r="X9" s="44" t="s">
        <v>210</v>
      </c>
      <c r="Y9" s="41" t="s">
        <v>562</v>
      </c>
      <c r="Z9" s="47" t="n">
        <v>42305</v>
      </c>
      <c r="AA9" s="35" t="s">
        <v>526</v>
      </c>
    </row>
    <row r="10" customFormat="false" ht="64.5" hidden="false" customHeight="true" outlineLevel="0" collapsed="false">
      <c r="A10" s="34" t="n">
        <v>9</v>
      </c>
      <c r="B10" s="37" t="s">
        <v>199</v>
      </c>
      <c r="C10" s="36" t="s">
        <v>563</v>
      </c>
      <c r="D10" s="44" t="s">
        <v>564</v>
      </c>
      <c r="E10" s="35" t="s">
        <v>211</v>
      </c>
      <c r="F10" s="39" t="s">
        <v>565</v>
      </c>
      <c r="G10" s="43" t="s">
        <v>566</v>
      </c>
      <c r="H10" s="44" t="s">
        <v>567</v>
      </c>
      <c r="I10" s="45" t="s">
        <v>568</v>
      </c>
      <c r="J10" s="45"/>
      <c r="K10" s="36"/>
      <c r="L10" s="45"/>
      <c r="M10" s="36" t="s">
        <v>561</v>
      </c>
      <c r="N10" s="40"/>
      <c r="O10" s="41" t="s">
        <v>569</v>
      </c>
      <c r="P10" s="35" t="s">
        <v>523</v>
      </c>
      <c r="Q10" s="35" t="s">
        <v>189</v>
      </c>
      <c r="R10" s="35" t="s">
        <v>202</v>
      </c>
      <c r="S10" s="42" t="n">
        <v>1</v>
      </c>
      <c r="T10" s="35" t="s">
        <v>127</v>
      </c>
      <c r="U10" s="35" t="s">
        <v>204</v>
      </c>
      <c r="V10" s="36" t="s">
        <v>284</v>
      </c>
      <c r="W10" s="36" t="s">
        <v>524</v>
      </c>
      <c r="X10" s="44" t="s">
        <v>341</v>
      </c>
      <c r="Y10" s="41" t="s">
        <v>570</v>
      </c>
      <c r="Z10" s="47" t="n">
        <v>42618</v>
      </c>
      <c r="AA10" s="35" t="s">
        <v>526</v>
      </c>
    </row>
    <row r="11" customFormat="false" ht="34.5" hidden="false" customHeight="true" outlineLevel="0" collapsed="false">
      <c r="A11" s="34" t="n">
        <v>10</v>
      </c>
      <c r="B11" s="37" t="s">
        <v>233</v>
      </c>
      <c r="C11" s="45" t="s">
        <v>571</v>
      </c>
      <c r="D11" s="43" t="s">
        <v>572</v>
      </c>
      <c r="E11" s="35" t="s">
        <v>211</v>
      </c>
      <c r="F11" s="39" t="s">
        <v>573</v>
      </c>
      <c r="G11" s="43" t="s">
        <v>574</v>
      </c>
      <c r="H11" s="43" t="s">
        <v>575</v>
      </c>
      <c r="I11" s="45" t="s">
        <v>576</v>
      </c>
      <c r="J11" s="36" t="s">
        <v>80</v>
      </c>
      <c r="K11" s="36" t="s">
        <v>577</v>
      </c>
      <c r="L11" s="45"/>
      <c r="M11" s="36" t="s">
        <v>521</v>
      </c>
      <c r="N11" s="40"/>
      <c r="O11" s="35"/>
      <c r="P11" s="35"/>
      <c r="Q11" s="35"/>
      <c r="R11" s="35"/>
      <c r="S11" s="42"/>
      <c r="T11" s="35" t="s">
        <v>64</v>
      </c>
      <c r="U11" s="35"/>
      <c r="V11" s="36"/>
      <c r="W11" s="36"/>
      <c r="X11" s="43"/>
      <c r="Y11" s="35"/>
      <c r="Z11" s="47"/>
      <c r="AA11" s="35" t="s">
        <v>578</v>
      </c>
    </row>
    <row r="12" customFormat="false" ht="34.5" hidden="false" customHeight="true" outlineLevel="0" collapsed="false">
      <c r="A12" s="34" t="n">
        <v>11</v>
      </c>
      <c r="B12" s="37" t="s">
        <v>233</v>
      </c>
      <c r="C12" s="45" t="s">
        <v>579</v>
      </c>
      <c r="D12" s="43" t="s">
        <v>580</v>
      </c>
      <c r="E12" s="35" t="s">
        <v>211</v>
      </c>
      <c r="F12" s="39" t="s">
        <v>581</v>
      </c>
      <c r="G12" s="43" t="s">
        <v>582</v>
      </c>
      <c r="H12" s="43" t="s">
        <v>583</v>
      </c>
      <c r="I12" s="45" t="s">
        <v>584</v>
      </c>
      <c r="J12" s="36"/>
      <c r="K12" s="36"/>
      <c r="L12" s="45"/>
      <c r="M12" s="36" t="s">
        <v>521</v>
      </c>
      <c r="N12" s="40"/>
      <c r="O12" s="35"/>
      <c r="P12" s="35"/>
      <c r="Q12" s="35"/>
      <c r="R12" s="35"/>
      <c r="S12" s="42"/>
      <c r="T12" s="35" t="s">
        <v>64</v>
      </c>
      <c r="U12" s="35"/>
      <c r="V12" s="36"/>
      <c r="W12" s="36"/>
      <c r="X12" s="43"/>
      <c r="Y12" s="35"/>
      <c r="Z12" s="47"/>
      <c r="AA12" s="35" t="s">
        <v>526</v>
      </c>
    </row>
    <row r="13" customFormat="false" ht="34.5" hidden="false" customHeight="true" outlineLevel="0" collapsed="false">
      <c r="A13" s="34" t="n">
        <v>12</v>
      </c>
      <c r="B13" s="37" t="s">
        <v>233</v>
      </c>
      <c r="C13" s="45" t="s">
        <v>579</v>
      </c>
      <c r="D13" s="43" t="s">
        <v>580</v>
      </c>
      <c r="E13" s="35" t="s">
        <v>211</v>
      </c>
      <c r="F13" s="39" t="s">
        <v>581</v>
      </c>
      <c r="G13" s="43" t="s">
        <v>585</v>
      </c>
      <c r="H13" s="43" t="s">
        <v>583</v>
      </c>
      <c r="I13" s="45" t="s">
        <v>586</v>
      </c>
      <c r="J13" s="36"/>
      <c r="K13" s="36"/>
      <c r="L13" s="45"/>
      <c r="M13" s="36" t="s">
        <v>521</v>
      </c>
      <c r="N13" s="40"/>
      <c r="O13" s="35"/>
      <c r="P13" s="35"/>
      <c r="Q13" s="35"/>
      <c r="R13" s="35"/>
      <c r="S13" s="42"/>
      <c r="T13" s="35" t="s">
        <v>90</v>
      </c>
      <c r="U13" s="35"/>
      <c r="V13" s="36"/>
      <c r="W13" s="36"/>
      <c r="X13" s="43"/>
      <c r="Y13" s="35"/>
      <c r="Z13" s="47"/>
      <c r="AA13" s="35" t="s">
        <v>526</v>
      </c>
    </row>
    <row r="14" customFormat="false" ht="34.5" hidden="false" customHeight="true" outlineLevel="0" collapsed="false">
      <c r="A14" s="34" t="n">
        <v>13</v>
      </c>
      <c r="B14" s="37" t="s">
        <v>233</v>
      </c>
      <c r="C14" s="45" t="s">
        <v>579</v>
      </c>
      <c r="D14" s="43" t="s">
        <v>580</v>
      </c>
      <c r="E14" s="35" t="s">
        <v>211</v>
      </c>
      <c r="F14" s="39" t="s">
        <v>587</v>
      </c>
      <c r="G14" s="43" t="s">
        <v>582</v>
      </c>
      <c r="H14" s="43" t="s">
        <v>583</v>
      </c>
      <c r="I14" s="45" t="s">
        <v>584</v>
      </c>
      <c r="J14" s="36"/>
      <c r="K14" s="36"/>
      <c r="L14" s="45"/>
      <c r="M14" s="36" t="s">
        <v>521</v>
      </c>
      <c r="N14" s="40"/>
      <c r="O14" s="35"/>
      <c r="P14" s="35"/>
      <c r="Q14" s="35"/>
      <c r="R14" s="35"/>
      <c r="S14" s="42"/>
      <c r="T14" s="35" t="s">
        <v>64</v>
      </c>
      <c r="U14" s="35"/>
      <c r="V14" s="36"/>
      <c r="W14" s="36"/>
      <c r="X14" s="43"/>
      <c r="Y14" s="35"/>
      <c r="Z14" s="47"/>
      <c r="AA14" s="35" t="s">
        <v>526</v>
      </c>
    </row>
    <row r="15" customFormat="false" ht="34.5" hidden="false" customHeight="true" outlineLevel="0" collapsed="false">
      <c r="A15" s="34" t="n">
        <v>14</v>
      </c>
      <c r="B15" s="37" t="s">
        <v>233</v>
      </c>
      <c r="C15" s="45" t="s">
        <v>579</v>
      </c>
      <c r="D15" s="43" t="s">
        <v>580</v>
      </c>
      <c r="E15" s="35" t="s">
        <v>211</v>
      </c>
      <c r="F15" s="39" t="s">
        <v>588</v>
      </c>
      <c r="G15" s="43" t="s">
        <v>582</v>
      </c>
      <c r="H15" s="43" t="s">
        <v>583</v>
      </c>
      <c r="I15" s="45" t="s">
        <v>584</v>
      </c>
      <c r="J15" s="36"/>
      <c r="K15" s="36"/>
      <c r="L15" s="45"/>
      <c r="M15" s="36" t="s">
        <v>521</v>
      </c>
      <c r="N15" s="40"/>
      <c r="O15" s="35"/>
      <c r="P15" s="35"/>
      <c r="Q15" s="35"/>
      <c r="R15" s="35"/>
      <c r="S15" s="42"/>
      <c r="T15" s="35" t="s">
        <v>64</v>
      </c>
      <c r="U15" s="35"/>
      <c r="V15" s="36"/>
      <c r="W15" s="36"/>
      <c r="X15" s="43"/>
      <c r="Y15" s="35"/>
      <c r="Z15" s="47"/>
      <c r="AA15" s="35" t="s">
        <v>526</v>
      </c>
    </row>
    <row r="16" customFormat="false" ht="34.5" hidden="false" customHeight="true" outlineLevel="0" collapsed="false">
      <c r="A16" s="34" t="n">
        <v>15</v>
      </c>
      <c r="B16" s="37" t="s">
        <v>233</v>
      </c>
      <c r="C16" s="45" t="s">
        <v>579</v>
      </c>
      <c r="D16" s="43" t="s">
        <v>580</v>
      </c>
      <c r="E16" s="35" t="s">
        <v>211</v>
      </c>
      <c r="F16" s="39" t="s">
        <v>589</v>
      </c>
      <c r="G16" s="43" t="s">
        <v>585</v>
      </c>
      <c r="H16" s="43" t="s">
        <v>583</v>
      </c>
      <c r="I16" s="45" t="s">
        <v>586</v>
      </c>
      <c r="J16" s="36"/>
      <c r="K16" s="36"/>
      <c r="L16" s="45"/>
      <c r="M16" s="36" t="s">
        <v>521</v>
      </c>
      <c r="N16" s="40"/>
      <c r="O16" s="35"/>
      <c r="P16" s="35"/>
      <c r="Q16" s="35"/>
      <c r="R16" s="35"/>
      <c r="S16" s="42"/>
      <c r="T16" s="35" t="s">
        <v>90</v>
      </c>
      <c r="U16" s="35"/>
      <c r="V16" s="36"/>
      <c r="W16" s="36"/>
      <c r="X16" s="43"/>
      <c r="Y16" s="35"/>
      <c r="Z16" s="47"/>
      <c r="AA16" s="35" t="s">
        <v>526</v>
      </c>
    </row>
    <row r="17" customFormat="false" ht="34.5" hidden="false" customHeight="true" outlineLevel="0" collapsed="false">
      <c r="A17" s="34" t="n">
        <v>16</v>
      </c>
      <c r="B17" s="37" t="s">
        <v>233</v>
      </c>
      <c r="C17" s="45" t="s">
        <v>579</v>
      </c>
      <c r="D17" s="43" t="s">
        <v>580</v>
      </c>
      <c r="E17" s="35" t="s">
        <v>211</v>
      </c>
      <c r="F17" s="39" t="s">
        <v>590</v>
      </c>
      <c r="G17" s="43" t="s">
        <v>582</v>
      </c>
      <c r="H17" s="43" t="s">
        <v>583</v>
      </c>
      <c r="I17" s="45" t="s">
        <v>584</v>
      </c>
      <c r="J17" s="36"/>
      <c r="K17" s="36"/>
      <c r="L17" s="45"/>
      <c r="M17" s="36" t="s">
        <v>521</v>
      </c>
      <c r="N17" s="40"/>
      <c r="O17" s="35"/>
      <c r="P17" s="35"/>
      <c r="Q17" s="35"/>
      <c r="R17" s="35"/>
      <c r="S17" s="42"/>
      <c r="T17" s="35" t="s">
        <v>64</v>
      </c>
      <c r="U17" s="35"/>
      <c r="V17" s="36"/>
      <c r="W17" s="36"/>
      <c r="X17" s="43"/>
      <c r="Y17" s="35"/>
      <c r="Z17" s="47"/>
      <c r="AA17" s="35" t="s">
        <v>526</v>
      </c>
    </row>
    <row r="18" customFormat="false" ht="34.5" hidden="false" customHeight="true" outlineLevel="0" collapsed="false">
      <c r="A18" s="34" t="n">
        <v>17</v>
      </c>
      <c r="B18" s="37" t="s">
        <v>233</v>
      </c>
      <c r="C18" s="45" t="s">
        <v>579</v>
      </c>
      <c r="D18" s="43" t="s">
        <v>580</v>
      </c>
      <c r="E18" s="35" t="s">
        <v>211</v>
      </c>
      <c r="F18" s="39" t="s">
        <v>591</v>
      </c>
      <c r="G18" s="43" t="s">
        <v>585</v>
      </c>
      <c r="H18" s="43" t="s">
        <v>583</v>
      </c>
      <c r="I18" s="45" t="s">
        <v>586</v>
      </c>
      <c r="J18" s="36"/>
      <c r="K18" s="36"/>
      <c r="L18" s="45"/>
      <c r="M18" s="36" t="s">
        <v>521</v>
      </c>
      <c r="N18" s="40"/>
      <c r="O18" s="35"/>
      <c r="P18" s="35"/>
      <c r="Q18" s="35"/>
      <c r="R18" s="35"/>
      <c r="S18" s="42"/>
      <c r="T18" s="35" t="s">
        <v>90</v>
      </c>
      <c r="U18" s="35"/>
      <c r="V18" s="36"/>
      <c r="W18" s="36"/>
      <c r="X18" s="43"/>
      <c r="Y18" s="35"/>
      <c r="Z18" s="47"/>
      <c r="AA18" s="35" t="s">
        <v>526</v>
      </c>
    </row>
    <row r="19" customFormat="false" ht="34.5" hidden="false" customHeight="true" outlineLevel="0" collapsed="false">
      <c r="A19" s="34" t="n">
        <v>18</v>
      </c>
      <c r="B19" s="37" t="s">
        <v>233</v>
      </c>
      <c r="C19" s="45" t="s">
        <v>579</v>
      </c>
      <c r="D19" s="43" t="s">
        <v>580</v>
      </c>
      <c r="E19" s="35" t="s">
        <v>211</v>
      </c>
      <c r="F19" s="39" t="s">
        <v>592</v>
      </c>
      <c r="G19" s="43" t="s">
        <v>585</v>
      </c>
      <c r="H19" s="43" t="s">
        <v>583</v>
      </c>
      <c r="I19" s="45" t="s">
        <v>586</v>
      </c>
      <c r="J19" s="36"/>
      <c r="K19" s="36"/>
      <c r="L19" s="45"/>
      <c r="M19" s="36" t="s">
        <v>521</v>
      </c>
      <c r="N19" s="40"/>
      <c r="O19" s="35"/>
      <c r="P19" s="35"/>
      <c r="Q19" s="35"/>
      <c r="R19" s="35"/>
      <c r="S19" s="42"/>
      <c r="T19" s="35" t="s">
        <v>90</v>
      </c>
      <c r="U19" s="35"/>
      <c r="V19" s="36"/>
      <c r="W19" s="36"/>
      <c r="X19" s="43"/>
      <c r="Y19" s="35"/>
      <c r="Z19" s="47"/>
      <c r="AA19" s="35" t="s">
        <v>526</v>
      </c>
    </row>
    <row r="20" customFormat="false" ht="34.5" hidden="false" customHeight="true" outlineLevel="0" collapsed="false">
      <c r="A20" s="34" t="n">
        <v>19</v>
      </c>
      <c r="B20" s="37" t="s">
        <v>233</v>
      </c>
      <c r="C20" s="45" t="s">
        <v>579</v>
      </c>
      <c r="D20" s="43" t="s">
        <v>580</v>
      </c>
      <c r="E20" s="35" t="s">
        <v>211</v>
      </c>
      <c r="F20" s="39" t="s">
        <v>593</v>
      </c>
      <c r="G20" s="43" t="s">
        <v>582</v>
      </c>
      <c r="H20" s="43" t="s">
        <v>583</v>
      </c>
      <c r="I20" s="45" t="s">
        <v>584</v>
      </c>
      <c r="J20" s="36"/>
      <c r="K20" s="36"/>
      <c r="L20" s="45"/>
      <c r="M20" s="36" t="s">
        <v>521</v>
      </c>
      <c r="N20" s="40"/>
      <c r="O20" s="35"/>
      <c r="P20" s="35"/>
      <c r="Q20" s="35"/>
      <c r="R20" s="35"/>
      <c r="S20" s="42"/>
      <c r="T20" s="35" t="s">
        <v>64</v>
      </c>
      <c r="U20" s="35"/>
      <c r="V20" s="36"/>
      <c r="W20" s="36"/>
      <c r="X20" s="43"/>
      <c r="Y20" s="35"/>
      <c r="Z20" s="47"/>
      <c r="AA20" s="35" t="s">
        <v>526</v>
      </c>
    </row>
    <row r="21" customFormat="false" ht="34.5" hidden="false" customHeight="true" outlineLevel="0" collapsed="false">
      <c r="A21" s="34" t="n">
        <v>20</v>
      </c>
      <c r="B21" s="37" t="s">
        <v>233</v>
      </c>
      <c r="C21" s="45" t="s">
        <v>579</v>
      </c>
      <c r="D21" s="43" t="s">
        <v>580</v>
      </c>
      <c r="E21" s="35" t="s">
        <v>211</v>
      </c>
      <c r="F21" s="39" t="s">
        <v>594</v>
      </c>
      <c r="G21" s="43" t="s">
        <v>585</v>
      </c>
      <c r="H21" s="43" t="s">
        <v>583</v>
      </c>
      <c r="I21" s="45" t="s">
        <v>586</v>
      </c>
      <c r="J21" s="36"/>
      <c r="K21" s="36"/>
      <c r="L21" s="45"/>
      <c r="M21" s="36" t="s">
        <v>521</v>
      </c>
      <c r="N21" s="40"/>
      <c r="O21" s="35"/>
      <c r="P21" s="35"/>
      <c r="Q21" s="35"/>
      <c r="R21" s="35"/>
      <c r="S21" s="42"/>
      <c r="T21" s="35" t="s">
        <v>90</v>
      </c>
      <c r="U21" s="35"/>
      <c r="V21" s="36"/>
      <c r="W21" s="36"/>
      <c r="X21" s="43"/>
      <c r="Y21" s="35"/>
      <c r="Z21" s="47"/>
      <c r="AA21" s="35" t="s">
        <v>526</v>
      </c>
    </row>
    <row r="22" customFormat="false" ht="34.5" hidden="false" customHeight="true" outlineLevel="0" collapsed="false">
      <c r="A22" s="34" t="n">
        <v>21</v>
      </c>
      <c r="B22" s="37" t="s">
        <v>233</v>
      </c>
      <c r="C22" s="45" t="s">
        <v>579</v>
      </c>
      <c r="D22" s="43" t="s">
        <v>580</v>
      </c>
      <c r="E22" s="35" t="s">
        <v>211</v>
      </c>
      <c r="F22" s="39" t="s">
        <v>595</v>
      </c>
      <c r="G22" s="43" t="s">
        <v>585</v>
      </c>
      <c r="H22" s="43" t="s">
        <v>583</v>
      </c>
      <c r="I22" s="45" t="s">
        <v>586</v>
      </c>
      <c r="J22" s="36"/>
      <c r="K22" s="36"/>
      <c r="L22" s="45"/>
      <c r="M22" s="36" t="s">
        <v>521</v>
      </c>
      <c r="N22" s="40"/>
      <c r="O22" s="35"/>
      <c r="P22" s="35"/>
      <c r="Q22" s="35"/>
      <c r="R22" s="35"/>
      <c r="S22" s="42"/>
      <c r="T22" s="35" t="s">
        <v>90</v>
      </c>
      <c r="U22" s="35"/>
      <c r="V22" s="36"/>
      <c r="W22" s="36"/>
      <c r="X22" s="43"/>
      <c r="Y22" s="35"/>
      <c r="Z22" s="47"/>
      <c r="AA22" s="35" t="s">
        <v>526</v>
      </c>
    </row>
    <row r="23" customFormat="false" ht="34.5" hidden="false" customHeight="true" outlineLevel="0" collapsed="false">
      <c r="A23" s="34" t="n">
        <v>22</v>
      </c>
      <c r="B23" s="37" t="s">
        <v>233</v>
      </c>
      <c r="C23" s="45" t="s">
        <v>579</v>
      </c>
      <c r="D23" s="43" t="s">
        <v>580</v>
      </c>
      <c r="E23" s="35" t="s">
        <v>211</v>
      </c>
      <c r="F23" s="39" t="s">
        <v>596</v>
      </c>
      <c r="G23" s="43" t="s">
        <v>585</v>
      </c>
      <c r="H23" s="43" t="s">
        <v>583</v>
      </c>
      <c r="I23" s="45" t="s">
        <v>586</v>
      </c>
      <c r="J23" s="36"/>
      <c r="K23" s="36"/>
      <c r="L23" s="45"/>
      <c r="M23" s="36" t="s">
        <v>521</v>
      </c>
      <c r="N23" s="40"/>
      <c r="O23" s="35"/>
      <c r="P23" s="35"/>
      <c r="Q23" s="35"/>
      <c r="R23" s="35"/>
      <c r="S23" s="42"/>
      <c r="T23" s="35" t="s">
        <v>90</v>
      </c>
      <c r="U23" s="35"/>
      <c r="V23" s="36"/>
      <c r="W23" s="36"/>
      <c r="X23" s="43"/>
      <c r="Y23" s="35"/>
      <c r="Z23" s="47"/>
      <c r="AA23" s="35" t="s">
        <v>526</v>
      </c>
    </row>
    <row r="24" customFormat="false" ht="34.5" hidden="false" customHeight="true" outlineLevel="0" collapsed="false">
      <c r="A24" s="34" t="n">
        <v>23</v>
      </c>
      <c r="B24" s="37" t="s">
        <v>233</v>
      </c>
      <c r="C24" s="45" t="s">
        <v>579</v>
      </c>
      <c r="D24" s="43" t="s">
        <v>580</v>
      </c>
      <c r="E24" s="35" t="s">
        <v>211</v>
      </c>
      <c r="F24" s="39" t="s">
        <v>597</v>
      </c>
      <c r="G24" s="43" t="s">
        <v>582</v>
      </c>
      <c r="H24" s="43" t="s">
        <v>583</v>
      </c>
      <c r="I24" s="45" t="s">
        <v>584</v>
      </c>
      <c r="J24" s="36"/>
      <c r="K24" s="36"/>
      <c r="L24" s="45"/>
      <c r="M24" s="36" t="s">
        <v>521</v>
      </c>
      <c r="N24" s="40"/>
      <c r="O24" s="35"/>
      <c r="P24" s="35"/>
      <c r="Q24" s="35"/>
      <c r="R24" s="35"/>
      <c r="S24" s="42"/>
      <c r="T24" s="35" t="s">
        <v>64</v>
      </c>
      <c r="U24" s="35"/>
      <c r="V24" s="36"/>
      <c r="W24" s="36"/>
      <c r="X24" s="43"/>
      <c r="Y24" s="35"/>
      <c r="Z24" s="47"/>
      <c r="AA24" s="35" t="s">
        <v>526</v>
      </c>
    </row>
    <row r="25" customFormat="false" ht="34.5" hidden="false" customHeight="true" outlineLevel="0" collapsed="false">
      <c r="A25" s="34" t="n">
        <v>24</v>
      </c>
      <c r="B25" s="37" t="s">
        <v>233</v>
      </c>
      <c r="C25" s="45" t="s">
        <v>579</v>
      </c>
      <c r="D25" s="43" t="s">
        <v>580</v>
      </c>
      <c r="E25" s="35" t="s">
        <v>211</v>
      </c>
      <c r="F25" s="39" t="s">
        <v>598</v>
      </c>
      <c r="G25" s="43" t="s">
        <v>585</v>
      </c>
      <c r="H25" s="43" t="s">
        <v>583</v>
      </c>
      <c r="I25" s="45" t="s">
        <v>586</v>
      </c>
      <c r="J25" s="36"/>
      <c r="K25" s="36"/>
      <c r="L25" s="45"/>
      <c r="M25" s="36" t="s">
        <v>521</v>
      </c>
      <c r="N25" s="40"/>
      <c r="O25" s="35"/>
      <c r="P25" s="35"/>
      <c r="Q25" s="35"/>
      <c r="R25" s="35"/>
      <c r="S25" s="42"/>
      <c r="T25" s="35" t="s">
        <v>90</v>
      </c>
      <c r="U25" s="35"/>
      <c r="V25" s="36"/>
      <c r="W25" s="36"/>
      <c r="X25" s="43"/>
      <c r="Y25" s="35"/>
      <c r="Z25" s="47"/>
      <c r="AA25" s="35" t="s">
        <v>526</v>
      </c>
    </row>
    <row r="26" customFormat="false" ht="34.5" hidden="false" customHeight="true" outlineLevel="0" collapsed="false">
      <c r="A26" s="34" t="n">
        <v>25</v>
      </c>
      <c r="B26" s="37" t="s">
        <v>233</v>
      </c>
      <c r="C26" s="45" t="s">
        <v>579</v>
      </c>
      <c r="D26" s="43" t="s">
        <v>580</v>
      </c>
      <c r="E26" s="35" t="s">
        <v>211</v>
      </c>
      <c r="F26" s="39" t="s">
        <v>599</v>
      </c>
      <c r="G26" s="43" t="s">
        <v>582</v>
      </c>
      <c r="H26" s="43" t="s">
        <v>583</v>
      </c>
      <c r="I26" s="45" t="s">
        <v>584</v>
      </c>
      <c r="J26" s="36"/>
      <c r="K26" s="36"/>
      <c r="L26" s="45"/>
      <c r="M26" s="36" t="s">
        <v>521</v>
      </c>
      <c r="N26" s="40"/>
      <c r="O26" s="35"/>
      <c r="P26" s="35"/>
      <c r="Q26" s="35"/>
      <c r="R26" s="35"/>
      <c r="S26" s="42"/>
      <c r="T26" s="35" t="s">
        <v>64</v>
      </c>
      <c r="U26" s="35"/>
      <c r="V26" s="36"/>
      <c r="W26" s="36"/>
      <c r="X26" s="43"/>
      <c r="Y26" s="35"/>
      <c r="Z26" s="47"/>
      <c r="AA26" s="35" t="s">
        <v>526</v>
      </c>
    </row>
    <row r="27" customFormat="false" ht="34.5" hidden="false" customHeight="true" outlineLevel="0" collapsed="false">
      <c r="A27" s="34" t="n">
        <v>26</v>
      </c>
      <c r="B27" s="37" t="s">
        <v>233</v>
      </c>
      <c r="C27" s="45" t="s">
        <v>579</v>
      </c>
      <c r="D27" s="43" t="s">
        <v>580</v>
      </c>
      <c r="E27" s="35" t="s">
        <v>211</v>
      </c>
      <c r="F27" s="39" t="s">
        <v>600</v>
      </c>
      <c r="G27" s="43" t="s">
        <v>585</v>
      </c>
      <c r="H27" s="43" t="s">
        <v>583</v>
      </c>
      <c r="I27" s="45" t="s">
        <v>586</v>
      </c>
      <c r="J27" s="36"/>
      <c r="K27" s="36"/>
      <c r="L27" s="45"/>
      <c r="M27" s="36" t="s">
        <v>521</v>
      </c>
      <c r="N27" s="40"/>
      <c r="O27" s="35"/>
      <c r="P27" s="35"/>
      <c r="Q27" s="35"/>
      <c r="R27" s="35"/>
      <c r="S27" s="42"/>
      <c r="T27" s="35" t="s">
        <v>90</v>
      </c>
      <c r="U27" s="35"/>
      <c r="V27" s="36"/>
      <c r="W27" s="36"/>
      <c r="X27" s="43"/>
      <c r="Y27" s="35"/>
      <c r="Z27" s="47"/>
      <c r="AA27" s="35" t="s">
        <v>526</v>
      </c>
    </row>
    <row r="28" customFormat="false" ht="34.5" hidden="false" customHeight="true" outlineLevel="0" collapsed="false">
      <c r="A28" s="34" t="n">
        <v>27</v>
      </c>
      <c r="B28" s="37" t="s">
        <v>233</v>
      </c>
      <c r="C28" s="45" t="s">
        <v>579</v>
      </c>
      <c r="D28" s="43" t="s">
        <v>580</v>
      </c>
      <c r="E28" s="35" t="s">
        <v>211</v>
      </c>
      <c r="F28" s="39" t="s">
        <v>601</v>
      </c>
      <c r="G28" s="43" t="s">
        <v>585</v>
      </c>
      <c r="H28" s="43" t="s">
        <v>583</v>
      </c>
      <c r="I28" s="45" t="s">
        <v>586</v>
      </c>
      <c r="J28" s="36"/>
      <c r="K28" s="36"/>
      <c r="L28" s="45"/>
      <c r="M28" s="36" t="s">
        <v>521</v>
      </c>
      <c r="N28" s="40"/>
      <c r="O28" s="35"/>
      <c r="P28" s="35"/>
      <c r="Q28" s="35"/>
      <c r="R28" s="35"/>
      <c r="S28" s="42"/>
      <c r="T28" s="35" t="s">
        <v>90</v>
      </c>
      <c r="U28" s="35"/>
      <c r="V28" s="36"/>
      <c r="W28" s="36"/>
      <c r="X28" s="43"/>
      <c r="Y28" s="35"/>
      <c r="Z28" s="47"/>
      <c r="AA28" s="35" t="s">
        <v>526</v>
      </c>
    </row>
    <row r="29" customFormat="false" ht="34.5" hidden="false" customHeight="true" outlineLevel="0" collapsed="false">
      <c r="A29" s="34" t="n">
        <v>28</v>
      </c>
      <c r="B29" s="37" t="s">
        <v>233</v>
      </c>
      <c r="C29" s="45" t="s">
        <v>579</v>
      </c>
      <c r="D29" s="43" t="s">
        <v>580</v>
      </c>
      <c r="E29" s="35" t="s">
        <v>211</v>
      </c>
      <c r="F29" s="39" t="s">
        <v>602</v>
      </c>
      <c r="G29" s="43" t="s">
        <v>582</v>
      </c>
      <c r="H29" s="43" t="s">
        <v>583</v>
      </c>
      <c r="I29" s="45" t="s">
        <v>584</v>
      </c>
      <c r="J29" s="36"/>
      <c r="K29" s="36"/>
      <c r="L29" s="45"/>
      <c r="M29" s="36" t="s">
        <v>521</v>
      </c>
      <c r="N29" s="40"/>
      <c r="O29" s="35"/>
      <c r="P29" s="35"/>
      <c r="Q29" s="35"/>
      <c r="R29" s="35"/>
      <c r="S29" s="42"/>
      <c r="T29" s="35" t="s">
        <v>64</v>
      </c>
      <c r="U29" s="35"/>
      <c r="V29" s="36"/>
      <c r="W29" s="36"/>
      <c r="X29" s="43"/>
      <c r="Y29" s="35"/>
      <c r="Z29" s="47"/>
      <c r="AA29" s="35" t="s">
        <v>526</v>
      </c>
    </row>
    <row r="30" customFormat="false" ht="34.5" hidden="false" customHeight="true" outlineLevel="0" collapsed="false">
      <c r="A30" s="34" t="n">
        <v>29</v>
      </c>
      <c r="B30" s="37" t="s">
        <v>233</v>
      </c>
      <c r="C30" s="45" t="s">
        <v>579</v>
      </c>
      <c r="D30" s="43" t="s">
        <v>580</v>
      </c>
      <c r="E30" s="35" t="s">
        <v>211</v>
      </c>
      <c r="F30" s="39" t="s">
        <v>603</v>
      </c>
      <c r="G30" s="43" t="s">
        <v>604</v>
      </c>
      <c r="H30" s="43" t="s">
        <v>583</v>
      </c>
      <c r="I30" s="45" t="s">
        <v>576</v>
      </c>
      <c r="J30" s="36"/>
      <c r="K30" s="36"/>
      <c r="L30" s="45"/>
      <c r="M30" s="36" t="s">
        <v>521</v>
      </c>
      <c r="N30" s="40"/>
      <c r="O30" s="35"/>
      <c r="P30" s="35"/>
      <c r="Q30" s="35"/>
      <c r="R30" s="35"/>
      <c r="S30" s="42"/>
      <c r="T30" s="35" t="s">
        <v>98</v>
      </c>
      <c r="U30" s="35"/>
      <c r="V30" s="36"/>
      <c r="W30" s="36"/>
      <c r="X30" s="43"/>
      <c r="Y30" s="35"/>
      <c r="Z30" s="47"/>
      <c r="AA30" s="35" t="s">
        <v>526</v>
      </c>
    </row>
    <row r="31" customFormat="false" ht="34.5" hidden="false" customHeight="true" outlineLevel="0" collapsed="false">
      <c r="A31" s="34" t="n">
        <v>30</v>
      </c>
      <c r="B31" s="37" t="s">
        <v>233</v>
      </c>
      <c r="C31" s="45" t="s">
        <v>579</v>
      </c>
      <c r="D31" s="43" t="s">
        <v>580</v>
      </c>
      <c r="E31" s="35" t="s">
        <v>211</v>
      </c>
      <c r="F31" s="39" t="s">
        <v>603</v>
      </c>
      <c r="G31" s="43" t="s">
        <v>582</v>
      </c>
      <c r="H31" s="43" t="s">
        <v>583</v>
      </c>
      <c r="I31" s="45" t="s">
        <v>584</v>
      </c>
      <c r="J31" s="36"/>
      <c r="K31" s="36"/>
      <c r="L31" s="45"/>
      <c r="M31" s="36" t="s">
        <v>521</v>
      </c>
      <c r="N31" s="40"/>
      <c r="O31" s="35"/>
      <c r="P31" s="35"/>
      <c r="Q31" s="35"/>
      <c r="R31" s="35"/>
      <c r="S31" s="42"/>
      <c r="T31" s="35" t="s">
        <v>64</v>
      </c>
      <c r="U31" s="35"/>
      <c r="V31" s="36"/>
      <c r="W31" s="36"/>
      <c r="X31" s="43"/>
      <c r="Y31" s="35"/>
      <c r="Z31" s="47"/>
      <c r="AA31" s="35" t="s">
        <v>526</v>
      </c>
    </row>
    <row r="32" customFormat="false" ht="34.5" hidden="false" customHeight="true" outlineLevel="0" collapsed="false">
      <c r="A32" s="34" t="n">
        <v>31</v>
      </c>
      <c r="B32" s="37" t="s">
        <v>233</v>
      </c>
      <c r="C32" s="45" t="s">
        <v>579</v>
      </c>
      <c r="D32" s="43" t="s">
        <v>580</v>
      </c>
      <c r="E32" s="35" t="s">
        <v>211</v>
      </c>
      <c r="F32" s="39" t="s">
        <v>603</v>
      </c>
      <c r="G32" s="43" t="s">
        <v>585</v>
      </c>
      <c r="H32" s="43" t="s">
        <v>583</v>
      </c>
      <c r="I32" s="45" t="s">
        <v>586</v>
      </c>
      <c r="J32" s="36"/>
      <c r="K32" s="36"/>
      <c r="L32" s="45"/>
      <c r="M32" s="36" t="s">
        <v>521</v>
      </c>
      <c r="N32" s="40"/>
      <c r="O32" s="35"/>
      <c r="P32" s="35"/>
      <c r="Q32" s="35"/>
      <c r="R32" s="35"/>
      <c r="S32" s="42"/>
      <c r="T32" s="35" t="s">
        <v>90</v>
      </c>
      <c r="U32" s="35"/>
      <c r="V32" s="36"/>
      <c r="W32" s="36"/>
      <c r="X32" s="43"/>
      <c r="Y32" s="35"/>
      <c r="Z32" s="47"/>
      <c r="AA32" s="35" t="s">
        <v>526</v>
      </c>
    </row>
    <row r="33" customFormat="false" ht="34.5" hidden="false" customHeight="true" outlineLevel="0" collapsed="false">
      <c r="A33" s="34" t="n">
        <v>32</v>
      </c>
      <c r="B33" s="37" t="s">
        <v>233</v>
      </c>
      <c r="C33" s="45" t="s">
        <v>579</v>
      </c>
      <c r="D33" s="43" t="s">
        <v>580</v>
      </c>
      <c r="E33" s="35" t="s">
        <v>211</v>
      </c>
      <c r="F33" s="39" t="s">
        <v>605</v>
      </c>
      <c r="G33" s="43" t="s">
        <v>585</v>
      </c>
      <c r="H33" s="43" t="s">
        <v>583</v>
      </c>
      <c r="I33" s="45" t="s">
        <v>586</v>
      </c>
      <c r="J33" s="36"/>
      <c r="K33" s="36"/>
      <c r="L33" s="45"/>
      <c r="M33" s="36" t="s">
        <v>521</v>
      </c>
      <c r="N33" s="40"/>
      <c r="O33" s="35"/>
      <c r="P33" s="35"/>
      <c r="Q33" s="35"/>
      <c r="R33" s="35"/>
      <c r="S33" s="42"/>
      <c r="T33" s="35" t="s">
        <v>90</v>
      </c>
      <c r="U33" s="35"/>
      <c r="V33" s="36"/>
      <c r="W33" s="36"/>
      <c r="X33" s="43"/>
      <c r="Y33" s="35"/>
      <c r="Z33" s="47"/>
      <c r="AA33" s="35" t="s">
        <v>526</v>
      </c>
    </row>
    <row r="34" customFormat="false" ht="34.5" hidden="false" customHeight="true" outlineLevel="0" collapsed="false">
      <c r="A34" s="34" t="n">
        <v>33</v>
      </c>
      <c r="B34" s="37" t="s">
        <v>233</v>
      </c>
      <c r="C34" s="45" t="s">
        <v>579</v>
      </c>
      <c r="D34" s="43" t="s">
        <v>580</v>
      </c>
      <c r="E34" s="35" t="s">
        <v>211</v>
      </c>
      <c r="F34" s="39" t="s">
        <v>606</v>
      </c>
      <c r="G34" s="43" t="s">
        <v>585</v>
      </c>
      <c r="H34" s="43" t="s">
        <v>583</v>
      </c>
      <c r="I34" s="45" t="s">
        <v>586</v>
      </c>
      <c r="J34" s="36"/>
      <c r="K34" s="36"/>
      <c r="L34" s="45"/>
      <c r="M34" s="36" t="s">
        <v>521</v>
      </c>
      <c r="N34" s="40"/>
      <c r="O34" s="35"/>
      <c r="P34" s="35"/>
      <c r="Q34" s="35"/>
      <c r="R34" s="35"/>
      <c r="S34" s="42"/>
      <c r="T34" s="35" t="s">
        <v>90</v>
      </c>
      <c r="U34" s="35"/>
      <c r="V34" s="36"/>
      <c r="W34" s="36"/>
      <c r="X34" s="43"/>
      <c r="Y34" s="35"/>
      <c r="Z34" s="47"/>
      <c r="AA34" s="35" t="s">
        <v>526</v>
      </c>
    </row>
    <row r="35" customFormat="false" ht="34.5" hidden="false" customHeight="true" outlineLevel="0" collapsed="false">
      <c r="A35" s="34" t="n">
        <v>34</v>
      </c>
      <c r="B35" s="37" t="s">
        <v>233</v>
      </c>
      <c r="C35" s="45" t="s">
        <v>579</v>
      </c>
      <c r="D35" s="43" t="s">
        <v>580</v>
      </c>
      <c r="E35" s="35" t="s">
        <v>211</v>
      </c>
      <c r="F35" s="39" t="s">
        <v>607</v>
      </c>
      <c r="G35" s="43" t="s">
        <v>604</v>
      </c>
      <c r="H35" s="43" t="s">
        <v>583</v>
      </c>
      <c r="I35" s="45" t="s">
        <v>576</v>
      </c>
      <c r="J35" s="36"/>
      <c r="K35" s="36"/>
      <c r="L35" s="45"/>
      <c r="M35" s="36" t="s">
        <v>521</v>
      </c>
      <c r="N35" s="40"/>
      <c r="O35" s="35"/>
      <c r="P35" s="35"/>
      <c r="Q35" s="35"/>
      <c r="R35" s="35"/>
      <c r="S35" s="42"/>
      <c r="T35" s="35" t="s">
        <v>98</v>
      </c>
      <c r="U35" s="35"/>
      <c r="V35" s="36"/>
      <c r="W35" s="36"/>
      <c r="X35" s="43"/>
      <c r="Y35" s="35"/>
      <c r="Z35" s="47"/>
      <c r="AA35" s="35" t="s">
        <v>526</v>
      </c>
    </row>
    <row r="36" customFormat="false" ht="34.5" hidden="false" customHeight="true" outlineLevel="0" collapsed="false">
      <c r="A36" s="34" t="n">
        <v>35</v>
      </c>
      <c r="B36" s="37" t="s">
        <v>233</v>
      </c>
      <c r="C36" s="45" t="s">
        <v>579</v>
      </c>
      <c r="D36" s="43" t="s">
        <v>580</v>
      </c>
      <c r="E36" s="35" t="s">
        <v>211</v>
      </c>
      <c r="F36" s="39" t="s">
        <v>608</v>
      </c>
      <c r="G36" s="43" t="s">
        <v>609</v>
      </c>
      <c r="H36" s="43" t="s">
        <v>583</v>
      </c>
      <c r="I36" s="45" t="s">
        <v>584</v>
      </c>
      <c r="J36" s="36"/>
      <c r="K36" s="36"/>
      <c r="L36" s="45"/>
      <c r="M36" s="36" t="s">
        <v>521</v>
      </c>
      <c r="N36" s="40"/>
      <c r="O36" s="35"/>
      <c r="P36" s="35"/>
      <c r="Q36" s="35"/>
      <c r="R36" s="35"/>
      <c r="S36" s="42"/>
      <c r="T36" s="35" t="s">
        <v>610</v>
      </c>
      <c r="U36" s="35"/>
      <c r="V36" s="36"/>
      <c r="W36" s="36"/>
      <c r="X36" s="43"/>
      <c r="Y36" s="35"/>
      <c r="Z36" s="47"/>
      <c r="AA36" s="35" t="s">
        <v>526</v>
      </c>
    </row>
    <row r="37" customFormat="false" ht="34.5" hidden="false" customHeight="true" outlineLevel="0" collapsed="false">
      <c r="A37" s="34" t="n">
        <v>36</v>
      </c>
      <c r="B37" s="37" t="s">
        <v>233</v>
      </c>
      <c r="C37" s="45" t="s">
        <v>579</v>
      </c>
      <c r="D37" s="43" t="s">
        <v>580</v>
      </c>
      <c r="E37" s="35" t="s">
        <v>211</v>
      </c>
      <c r="F37" s="39" t="s">
        <v>611</v>
      </c>
      <c r="G37" s="43" t="s">
        <v>582</v>
      </c>
      <c r="H37" s="43" t="s">
        <v>583</v>
      </c>
      <c r="I37" s="45" t="s">
        <v>584</v>
      </c>
      <c r="J37" s="36"/>
      <c r="K37" s="36"/>
      <c r="L37" s="45"/>
      <c r="M37" s="36" t="s">
        <v>521</v>
      </c>
      <c r="N37" s="40"/>
      <c r="O37" s="35"/>
      <c r="P37" s="35"/>
      <c r="Q37" s="35"/>
      <c r="R37" s="35"/>
      <c r="S37" s="42"/>
      <c r="T37" s="35" t="s">
        <v>64</v>
      </c>
      <c r="U37" s="35"/>
      <c r="V37" s="36"/>
      <c r="W37" s="36"/>
      <c r="X37" s="43"/>
      <c r="Y37" s="35"/>
      <c r="Z37" s="47"/>
      <c r="AA37" s="35" t="s">
        <v>526</v>
      </c>
    </row>
    <row r="38" customFormat="false" ht="34.5" hidden="false" customHeight="true" outlineLevel="0" collapsed="false">
      <c r="A38" s="34" t="n">
        <v>37</v>
      </c>
      <c r="B38" s="37" t="s">
        <v>233</v>
      </c>
      <c r="C38" s="45" t="s">
        <v>579</v>
      </c>
      <c r="D38" s="43" t="s">
        <v>580</v>
      </c>
      <c r="E38" s="35" t="s">
        <v>211</v>
      </c>
      <c r="F38" s="39" t="s">
        <v>612</v>
      </c>
      <c r="G38" s="43" t="s">
        <v>582</v>
      </c>
      <c r="H38" s="43" t="s">
        <v>583</v>
      </c>
      <c r="I38" s="45" t="s">
        <v>584</v>
      </c>
      <c r="J38" s="36"/>
      <c r="K38" s="36"/>
      <c r="L38" s="45"/>
      <c r="M38" s="36" t="s">
        <v>521</v>
      </c>
      <c r="N38" s="40"/>
      <c r="O38" s="35"/>
      <c r="P38" s="35"/>
      <c r="Q38" s="35"/>
      <c r="R38" s="35"/>
      <c r="S38" s="42"/>
      <c r="T38" s="35" t="s">
        <v>64</v>
      </c>
      <c r="U38" s="35"/>
      <c r="V38" s="36"/>
      <c r="W38" s="36"/>
      <c r="X38" s="43"/>
      <c r="Y38" s="35"/>
      <c r="Z38" s="47"/>
      <c r="AA38" s="35" t="s">
        <v>526</v>
      </c>
    </row>
    <row r="39" customFormat="false" ht="34.5" hidden="false" customHeight="true" outlineLevel="0" collapsed="false">
      <c r="A39" s="34" t="n">
        <v>38</v>
      </c>
      <c r="B39" s="37" t="s">
        <v>233</v>
      </c>
      <c r="C39" s="45" t="s">
        <v>579</v>
      </c>
      <c r="D39" s="43" t="s">
        <v>580</v>
      </c>
      <c r="E39" s="35" t="s">
        <v>211</v>
      </c>
      <c r="F39" s="39" t="s">
        <v>613</v>
      </c>
      <c r="G39" s="43" t="s">
        <v>582</v>
      </c>
      <c r="H39" s="43" t="s">
        <v>583</v>
      </c>
      <c r="I39" s="45" t="s">
        <v>584</v>
      </c>
      <c r="J39" s="36"/>
      <c r="K39" s="36"/>
      <c r="L39" s="45"/>
      <c r="M39" s="36" t="s">
        <v>521</v>
      </c>
      <c r="N39" s="40"/>
      <c r="O39" s="35"/>
      <c r="P39" s="35"/>
      <c r="Q39" s="35"/>
      <c r="R39" s="35"/>
      <c r="S39" s="42"/>
      <c r="T39" s="35" t="s">
        <v>64</v>
      </c>
      <c r="U39" s="35"/>
      <c r="V39" s="36"/>
      <c r="W39" s="36"/>
      <c r="X39" s="43"/>
      <c r="Y39" s="35"/>
      <c r="Z39" s="47"/>
      <c r="AA39" s="35" t="s">
        <v>526</v>
      </c>
    </row>
    <row r="40" customFormat="false" ht="34.5" hidden="false" customHeight="true" outlineLevel="0" collapsed="false">
      <c r="A40" s="34" t="n">
        <v>39</v>
      </c>
      <c r="B40" s="37" t="s">
        <v>233</v>
      </c>
      <c r="C40" s="45" t="s">
        <v>579</v>
      </c>
      <c r="D40" s="43" t="s">
        <v>580</v>
      </c>
      <c r="E40" s="35" t="s">
        <v>211</v>
      </c>
      <c r="F40" s="39" t="s">
        <v>614</v>
      </c>
      <c r="G40" s="43" t="s">
        <v>585</v>
      </c>
      <c r="H40" s="43" t="s">
        <v>583</v>
      </c>
      <c r="I40" s="45" t="s">
        <v>586</v>
      </c>
      <c r="J40" s="36"/>
      <c r="K40" s="36"/>
      <c r="L40" s="45"/>
      <c r="M40" s="36" t="s">
        <v>521</v>
      </c>
      <c r="N40" s="40"/>
      <c r="O40" s="35"/>
      <c r="P40" s="35"/>
      <c r="Q40" s="35"/>
      <c r="R40" s="35"/>
      <c r="S40" s="42"/>
      <c r="T40" s="35" t="s">
        <v>90</v>
      </c>
      <c r="U40" s="35"/>
      <c r="V40" s="36"/>
      <c r="W40" s="36"/>
      <c r="X40" s="43"/>
      <c r="Y40" s="35"/>
      <c r="Z40" s="47"/>
      <c r="AA40" s="35" t="s">
        <v>526</v>
      </c>
    </row>
    <row r="41" customFormat="false" ht="34.5" hidden="false" customHeight="true" outlineLevel="0" collapsed="false">
      <c r="A41" s="34" t="n">
        <v>40</v>
      </c>
      <c r="B41" s="37" t="s">
        <v>233</v>
      </c>
      <c r="C41" s="45" t="s">
        <v>579</v>
      </c>
      <c r="D41" s="43" t="s">
        <v>580</v>
      </c>
      <c r="E41" s="35" t="s">
        <v>211</v>
      </c>
      <c r="F41" s="39" t="s">
        <v>615</v>
      </c>
      <c r="G41" s="43" t="s">
        <v>582</v>
      </c>
      <c r="H41" s="43" t="s">
        <v>583</v>
      </c>
      <c r="I41" s="45" t="s">
        <v>584</v>
      </c>
      <c r="J41" s="36"/>
      <c r="K41" s="36"/>
      <c r="L41" s="45"/>
      <c r="M41" s="36" t="s">
        <v>521</v>
      </c>
      <c r="N41" s="40"/>
      <c r="O41" s="35"/>
      <c r="P41" s="35"/>
      <c r="Q41" s="35"/>
      <c r="R41" s="35"/>
      <c r="S41" s="42"/>
      <c r="T41" s="35" t="s">
        <v>64</v>
      </c>
      <c r="U41" s="35"/>
      <c r="V41" s="36"/>
      <c r="W41" s="36"/>
      <c r="X41" s="43"/>
      <c r="Y41" s="35"/>
      <c r="Z41" s="47"/>
      <c r="AA41" s="35" t="s">
        <v>526</v>
      </c>
    </row>
    <row r="42" customFormat="false" ht="34.5" hidden="false" customHeight="true" outlineLevel="0" collapsed="false">
      <c r="A42" s="34" t="n">
        <v>41</v>
      </c>
      <c r="B42" s="37" t="s">
        <v>233</v>
      </c>
      <c r="C42" s="45" t="s">
        <v>579</v>
      </c>
      <c r="D42" s="43" t="s">
        <v>580</v>
      </c>
      <c r="E42" s="35" t="s">
        <v>211</v>
      </c>
      <c r="F42" s="39" t="s">
        <v>616</v>
      </c>
      <c r="G42" s="43" t="s">
        <v>585</v>
      </c>
      <c r="H42" s="43" t="s">
        <v>583</v>
      </c>
      <c r="I42" s="45" t="s">
        <v>586</v>
      </c>
      <c r="J42" s="36"/>
      <c r="K42" s="36"/>
      <c r="L42" s="45"/>
      <c r="M42" s="36" t="s">
        <v>521</v>
      </c>
      <c r="N42" s="40"/>
      <c r="O42" s="35"/>
      <c r="P42" s="35"/>
      <c r="Q42" s="35"/>
      <c r="R42" s="35"/>
      <c r="S42" s="42"/>
      <c r="T42" s="35" t="s">
        <v>90</v>
      </c>
      <c r="U42" s="35"/>
      <c r="V42" s="36"/>
      <c r="W42" s="36"/>
      <c r="X42" s="43"/>
      <c r="Y42" s="35"/>
      <c r="Z42" s="47"/>
      <c r="AA42" s="35" t="s">
        <v>526</v>
      </c>
    </row>
    <row r="43" customFormat="false" ht="34.5" hidden="false" customHeight="true" outlineLevel="0" collapsed="false">
      <c r="A43" s="34" t="n">
        <v>42</v>
      </c>
      <c r="B43" s="37" t="s">
        <v>233</v>
      </c>
      <c r="C43" s="45" t="s">
        <v>579</v>
      </c>
      <c r="D43" s="43" t="s">
        <v>580</v>
      </c>
      <c r="E43" s="35" t="s">
        <v>211</v>
      </c>
      <c r="F43" s="39" t="s">
        <v>617</v>
      </c>
      <c r="G43" s="43" t="s">
        <v>585</v>
      </c>
      <c r="H43" s="43" t="s">
        <v>583</v>
      </c>
      <c r="I43" s="45" t="s">
        <v>586</v>
      </c>
      <c r="J43" s="36"/>
      <c r="K43" s="36"/>
      <c r="L43" s="45"/>
      <c r="M43" s="36" t="s">
        <v>521</v>
      </c>
      <c r="N43" s="40"/>
      <c r="O43" s="35"/>
      <c r="P43" s="35"/>
      <c r="Q43" s="35"/>
      <c r="R43" s="35"/>
      <c r="S43" s="42"/>
      <c r="T43" s="35" t="s">
        <v>90</v>
      </c>
      <c r="U43" s="35"/>
      <c r="V43" s="36"/>
      <c r="W43" s="36"/>
      <c r="X43" s="43"/>
      <c r="Y43" s="35"/>
      <c r="Z43" s="47"/>
      <c r="AA43" s="35" t="s">
        <v>526</v>
      </c>
    </row>
    <row r="44" customFormat="false" ht="34.5" hidden="false" customHeight="true" outlineLevel="0" collapsed="false">
      <c r="A44" s="34" t="n">
        <v>43</v>
      </c>
      <c r="B44" s="37" t="s">
        <v>233</v>
      </c>
      <c r="C44" s="45" t="s">
        <v>579</v>
      </c>
      <c r="D44" s="43" t="s">
        <v>580</v>
      </c>
      <c r="E44" s="35" t="s">
        <v>211</v>
      </c>
      <c r="F44" s="39" t="s">
        <v>618</v>
      </c>
      <c r="G44" s="43" t="s">
        <v>582</v>
      </c>
      <c r="H44" s="43" t="s">
        <v>583</v>
      </c>
      <c r="I44" s="45" t="s">
        <v>584</v>
      </c>
      <c r="J44" s="36"/>
      <c r="K44" s="36"/>
      <c r="L44" s="45"/>
      <c r="M44" s="36" t="s">
        <v>521</v>
      </c>
      <c r="N44" s="40"/>
      <c r="O44" s="35"/>
      <c r="P44" s="35"/>
      <c r="Q44" s="35"/>
      <c r="R44" s="35"/>
      <c r="S44" s="42"/>
      <c r="T44" s="35" t="s">
        <v>64</v>
      </c>
      <c r="U44" s="35"/>
      <c r="V44" s="36"/>
      <c r="W44" s="36"/>
      <c r="X44" s="43"/>
      <c r="Y44" s="35"/>
      <c r="Z44" s="47"/>
      <c r="AA44" s="35" t="s">
        <v>526</v>
      </c>
    </row>
    <row r="45" customFormat="false" ht="34.5" hidden="false" customHeight="true" outlineLevel="0" collapsed="false">
      <c r="A45" s="34" t="n">
        <v>44</v>
      </c>
      <c r="B45" s="37" t="s">
        <v>233</v>
      </c>
      <c r="C45" s="45" t="s">
        <v>579</v>
      </c>
      <c r="D45" s="43" t="s">
        <v>580</v>
      </c>
      <c r="E45" s="35" t="s">
        <v>211</v>
      </c>
      <c r="F45" s="39" t="s">
        <v>619</v>
      </c>
      <c r="G45" s="43" t="s">
        <v>582</v>
      </c>
      <c r="H45" s="43" t="s">
        <v>583</v>
      </c>
      <c r="I45" s="45" t="s">
        <v>584</v>
      </c>
      <c r="J45" s="36"/>
      <c r="K45" s="36"/>
      <c r="L45" s="45"/>
      <c r="M45" s="36" t="s">
        <v>521</v>
      </c>
      <c r="N45" s="40"/>
      <c r="O45" s="35"/>
      <c r="P45" s="35"/>
      <c r="Q45" s="35"/>
      <c r="R45" s="35"/>
      <c r="S45" s="42"/>
      <c r="T45" s="35" t="s">
        <v>64</v>
      </c>
      <c r="U45" s="35"/>
      <c r="V45" s="36"/>
      <c r="W45" s="36"/>
      <c r="X45" s="43"/>
      <c r="Y45" s="35"/>
      <c r="Z45" s="47"/>
      <c r="AA45" s="35" t="s">
        <v>526</v>
      </c>
    </row>
    <row r="46" customFormat="false" ht="34.5" hidden="false" customHeight="true" outlineLevel="0" collapsed="false">
      <c r="A46" s="34" t="n">
        <v>45</v>
      </c>
      <c r="B46" s="37" t="s">
        <v>233</v>
      </c>
      <c r="C46" s="45" t="s">
        <v>579</v>
      </c>
      <c r="D46" s="43" t="s">
        <v>580</v>
      </c>
      <c r="E46" s="35" t="s">
        <v>211</v>
      </c>
      <c r="F46" s="39" t="s">
        <v>620</v>
      </c>
      <c r="G46" s="43" t="s">
        <v>585</v>
      </c>
      <c r="H46" s="43" t="s">
        <v>583</v>
      </c>
      <c r="I46" s="45" t="s">
        <v>586</v>
      </c>
      <c r="J46" s="36"/>
      <c r="K46" s="36"/>
      <c r="L46" s="45"/>
      <c r="M46" s="36" t="s">
        <v>521</v>
      </c>
      <c r="N46" s="40"/>
      <c r="O46" s="35"/>
      <c r="P46" s="35"/>
      <c r="Q46" s="35"/>
      <c r="R46" s="35"/>
      <c r="S46" s="42"/>
      <c r="T46" s="35" t="s">
        <v>90</v>
      </c>
      <c r="U46" s="35"/>
      <c r="V46" s="36"/>
      <c r="W46" s="36"/>
      <c r="X46" s="43"/>
      <c r="Y46" s="35"/>
      <c r="Z46" s="47"/>
      <c r="AA46" s="35" t="s">
        <v>526</v>
      </c>
    </row>
    <row r="47" customFormat="false" ht="34.5" hidden="false" customHeight="true" outlineLevel="0" collapsed="false">
      <c r="A47" s="34" t="n">
        <v>46</v>
      </c>
      <c r="B47" s="37" t="s">
        <v>233</v>
      </c>
      <c r="C47" s="45" t="s">
        <v>579</v>
      </c>
      <c r="D47" s="43" t="s">
        <v>580</v>
      </c>
      <c r="E47" s="35" t="s">
        <v>211</v>
      </c>
      <c r="F47" s="39" t="s">
        <v>621</v>
      </c>
      <c r="G47" s="43" t="s">
        <v>585</v>
      </c>
      <c r="H47" s="43" t="s">
        <v>583</v>
      </c>
      <c r="I47" s="45" t="s">
        <v>586</v>
      </c>
      <c r="J47" s="36"/>
      <c r="K47" s="36"/>
      <c r="L47" s="45"/>
      <c r="M47" s="36" t="s">
        <v>521</v>
      </c>
      <c r="N47" s="40"/>
      <c r="O47" s="35"/>
      <c r="P47" s="35"/>
      <c r="Q47" s="35"/>
      <c r="R47" s="35"/>
      <c r="S47" s="42"/>
      <c r="T47" s="35" t="s">
        <v>90</v>
      </c>
      <c r="U47" s="35"/>
      <c r="V47" s="36"/>
      <c r="W47" s="36"/>
      <c r="X47" s="43"/>
      <c r="Y47" s="35"/>
      <c r="Z47" s="47"/>
      <c r="AA47" s="35" t="s">
        <v>526</v>
      </c>
    </row>
    <row r="48" customFormat="false" ht="49.5" hidden="false" customHeight="true" outlineLevel="0" collapsed="false">
      <c r="A48" s="34" t="n">
        <v>47</v>
      </c>
      <c r="B48" s="37" t="s">
        <v>233</v>
      </c>
      <c r="C48" s="45" t="s">
        <v>622</v>
      </c>
      <c r="D48" s="43" t="s">
        <v>623</v>
      </c>
      <c r="E48" s="35" t="s">
        <v>211</v>
      </c>
      <c r="F48" s="39" t="s">
        <v>624</v>
      </c>
      <c r="G48" s="43" t="s">
        <v>625</v>
      </c>
      <c r="H48" s="43" t="s">
        <v>626</v>
      </c>
      <c r="I48" s="45" t="s">
        <v>584</v>
      </c>
      <c r="J48" s="36"/>
      <c r="K48" s="36"/>
      <c r="L48" s="45"/>
      <c r="M48" s="36" t="s">
        <v>521</v>
      </c>
      <c r="N48" s="40"/>
      <c r="O48" s="35"/>
      <c r="P48" s="35"/>
      <c r="Q48" s="35"/>
      <c r="R48" s="35"/>
      <c r="S48" s="42"/>
      <c r="T48" s="35" t="s">
        <v>90</v>
      </c>
      <c r="U48" s="35"/>
      <c r="V48" s="36"/>
      <c r="W48" s="36"/>
      <c r="X48" s="43"/>
      <c r="Y48" s="35"/>
      <c r="Z48" s="47"/>
      <c r="AA48" s="35" t="s">
        <v>526</v>
      </c>
    </row>
    <row r="49" customFormat="false" ht="49.5" hidden="false" customHeight="true" outlineLevel="0" collapsed="false">
      <c r="A49" s="34" t="n">
        <v>48</v>
      </c>
      <c r="B49" s="37" t="s">
        <v>233</v>
      </c>
      <c r="C49" s="45" t="s">
        <v>622</v>
      </c>
      <c r="D49" s="43" t="s">
        <v>623</v>
      </c>
      <c r="E49" s="35" t="s">
        <v>211</v>
      </c>
      <c r="F49" s="39" t="s">
        <v>627</v>
      </c>
      <c r="G49" s="43" t="s">
        <v>625</v>
      </c>
      <c r="H49" s="43" t="s">
        <v>626</v>
      </c>
      <c r="I49" s="45" t="s">
        <v>584</v>
      </c>
      <c r="J49" s="36"/>
      <c r="K49" s="36"/>
      <c r="L49" s="45"/>
      <c r="M49" s="36" t="s">
        <v>521</v>
      </c>
      <c r="N49" s="40"/>
      <c r="O49" s="35"/>
      <c r="P49" s="35"/>
      <c r="Q49" s="35"/>
      <c r="R49" s="35"/>
      <c r="S49" s="42"/>
      <c r="T49" s="35" t="s">
        <v>90</v>
      </c>
      <c r="U49" s="35"/>
      <c r="V49" s="36"/>
      <c r="W49" s="36"/>
      <c r="X49" s="43"/>
      <c r="Y49" s="35"/>
      <c r="Z49" s="47"/>
      <c r="AA49" s="35" t="s">
        <v>526</v>
      </c>
    </row>
    <row r="50" customFormat="false" ht="49.5" hidden="false" customHeight="true" outlineLevel="0" collapsed="false">
      <c r="A50" s="34" t="n">
        <v>49</v>
      </c>
      <c r="B50" s="37" t="s">
        <v>233</v>
      </c>
      <c r="C50" s="45" t="s">
        <v>622</v>
      </c>
      <c r="D50" s="43" t="s">
        <v>623</v>
      </c>
      <c r="E50" s="35" t="s">
        <v>211</v>
      </c>
      <c r="F50" s="39" t="s">
        <v>628</v>
      </c>
      <c r="G50" s="43" t="s">
        <v>629</v>
      </c>
      <c r="H50" s="43" t="s">
        <v>630</v>
      </c>
      <c r="I50" s="45" t="s">
        <v>631</v>
      </c>
      <c r="J50" s="36"/>
      <c r="K50" s="36"/>
      <c r="L50" s="45"/>
      <c r="M50" s="36" t="s">
        <v>521</v>
      </c>
      <c r="N50" s="40"/>
      <c r="O50" s="35"/>
      <c r="P50" s="35"/>
      <c r="Q50" s="35"/>
      <c r="R50" s="35"/>
      <c r="S50" s="42"/>
      <c r="T50" s="35" t="s">
        <v>632</v>
      </c>
      <c r="U50" s="35"/>
      <c r="V50" s="36"/>
      <c r="W50" s="36"/>
      <c r="X50" s="43"/>
      <c r="Y50" s="35"/>
      <c r="Z50" s="47"/>
      <c r="AA50" s="35" t="s">
        <v>526</v>
      </c>
    </row>
    <row r="51" customFormat="false" ht="49.5" hidden="false" customHeight="true" outlineLevel="0" collapsed="false">
      <c r="A51" s="34" t="n">
        <v>50</v>
      </c>
      <c r="B51" s="37" t="s">
        <v>233</v>
      </c>
      <c r="C51" s="45" t="s">
        <v>622</v>
      </c>
      <c r="D51" s="43" t="s">
        <v>623</v>
      </c>
      <c r="E51" s="35" t="s">
        <v>211</v>
      </c>
      <c r="F51" s="39" t="s">
        <v>633</v>
      </c>
      <c r="G51" s="43" t="s">
        <v>625</v>
      </c>
      <c r="H51" s="43" t="s">
        <v>626</v>
      </c>
      <c r="I51" s="45" t="s">
        <v>584</v>
      </c>
      <c r="J51" s="36"/>
      <c r="K51" s="36"/>
      <c r="L51" s="45"/>
      <c r="M51" s="36" t="s">
        <v>521</v>
      </c>
      <c r="N51" s="40"/>
      <c r="O51" s="35"/>
      <c r="P51" s="35"/>
      <c r="Q51" s="35"/>
      <c r="R51" s="35"/>
      <c r="S51" s="42"/>
      <c r="T51" s="35" t="s">
        <v>90</v>
      </c>
      <c r="U51" s="35"/>
      <c r="V51" s="36"/>
      <c r="W51" s="36"/>
      <c r="X51" s="43"/>
      <c r="Y51" s="35"/>
      <c r="Z51" s="47"/>
      <c r="AA51" s="35" t="s">
        <v>526</v>
      </c>
    </row>
    <row r="52" customFormat="false" ht="49.5" hidden="false" customHeight="true" outlineLevel="0" collapsed="false">
      <c r="A52" s="34" t="n">
        <v>51</v>
      </c>
      <c r="B52" s="37" t="s">
        <v>233</v>
      </c>
      <c r="C52" s="45" t="s">
        <v>622</v>
      </c>
      <c r="D52" s="43" t="s">
        <v>623</v>
      </c>
      <c r="E52" s="35" t="s">
        <v>211</v>
      </c>
      <c r="F52" s="39" t="s">
        <v>634</v>
      </c>
      <c r="G52" s="43" t="s">
        <v>625</v>
      </c>
      <c r="H52" s="43" t="s">
        <v>626</v>
      </c>
      <c r="I52" s="45" t="s">
        <v>584</v>
      </c>
      <c r="J52" s="36"/>
      <c r="K52" s="36"/>
      <c r="L52" s="45"/>
      <c r="M52" s="36" t="s">
        <v>521</v>
      </c>
      <c r="N52" s="40"/>
      <c r="O52" s="35"/>
      <c r="P52" s="35"/>
      <c r="Q52" s="35"/>
      <c r="R52" s="35"/>
      <c r="S52" s="42"/>
      <c r="T52" s="35" t="s">
        <v>90</v>
      </c>
      <c r="U52" s="35"/>
      <c r="V52" s="36"/>
      <c r="W52" s="36"/>
      <c r="X52" s="43"/>
      <c r="Y52" s="35"/>
      <c r="Z52" s="47"/>
      <c r="AA52" s="35" t="s">
        <v>526</v>
      </c>
    </row>
    <row r="53" customFormat="false" ht="49.5" hidden="false" customHeight="true" outlineLevel="0" collapsed="false">
      <c r="A53" s="34" t="n">
        <v>52</v>
      </c>
      <c r="B53" s="37" t="s">
        <v>233</v>
      </c>
      <c r="C53" s="45" t="s">
        <v>622</v>
      </c>
      <c r="D53" s="43" t="s">
        <v>623</v>
      </c>
      <c r="E53" s="35" t="s">
        <v>211</v>
      </c>
      <c r="F53" s="39" t="s">
        <v>635</v>
      </c>
      <c r="G53" s="43" t="s">
        <v>629</v>
      </c>
      <c r="H53" s="43" t="s">
        <v>630</v>
      </c>
      <c r="I53" s="45" t="s">
        <v>631</v>
      </c>
      <c r="J53" s="36"/>
      <c r="K53" s="36"/>
      <c r="L53" s="45"/>
      <c r="M53" s="36" t="s">
        <v>521</v>
      </c>
      <c r="N53" s="40"/>
      <c r="O53" s="35"/>
      <c r="P53" s="35"/>
      <c r="Q53" s="35"/>
      <c r="R53" s="35"/>
      <c r="S53" s="42"/>
      <c r="T53" s="35" t="s">
        <v>632</v>
      </c>
      <c r="U53" s="35"/>
      <c r="V53" s="36"/>
      <c r="W53" s="36"/>
      <c r="X53" s="43"/>
      <c r="Y53" s="35"/>
      <c r="Z53" s="47"/>
      <c r="AA53" s="35" t="s">
        <v>526</v>
      </c>
    </row>
    <row r="54" customFormat="false" ht="49.5" hidden="false" customHeight="true" outlineLevel="0" collapsed="false">
      <c r="A54" s="34" t="n">
        <v>53</v>
      </c>
      <c r="B54" s="37" t="s">
        <v>233</v>
      </c>
      <c r="C54" s="45" t="s">
        <v>622</v>
      </c>
      <c r="D54" s="43" t="s">
        <v>623</v>
      </c>
      <c r="E54" s="35" t="s">
        <v>211</v>
      </c>
      <c r="F54" s="39" t="s">
        <v>636</v>
      </c>
      <c r="G54" s="43" t="s">
        <v>637</v>
      </c>
      <c r="H54" s="43" t="s">
        <v>626</v>
      </c>
      <c r="I54" s="45" t="s">
        <v>638</v>
      </c>
      <c r="J54" s="36"/>
      <c r="K54" s="36"/>
      <c r="L54" s="45"/>
      <c r="M54" s="36" t="s">
        <v>521</v>
      </c>
      <c r="N54" s="40"/>
      <c r="O54" s="35"/>
      <c r="P54" s="35"/>
      <c r="Q54" s="35"/>
      <c r="R54" s="35"/>
      <c r="S54" s="42"/>
      <c r="T54" s="35" t="s">
        <v>64</v>
      </c>
      <c r="U54" s="35"/>
      <c r="V54" s="36"/>
      <c r="W54" s="36"/>
      <c r="X54" s="43"/>
      <c r="Y54" s="35"/>
      <c r="Z54" s="47"/>
      <c r="AA54" s="35" t="s">
        <v>526</v>
      </c>
    </row>
    <row r="55" customFormat="false" ht="49.5" hidden="false" customHeight="true" outlineLevel="0" collapsed="false">
      <c r="A55" s="34" t="n">
        <v>54</v>
      </c>
      <c r="B55" s="37" t="s">
        <v>233</v>
      </c>
      <c r="C55" s="45" t="s">
        <v>622</v>
      </c>
      <c r="D55" s="43" t="s">
        <v>623</v>
      </c>
      <c r="E55" s="35" t="s">
        <v>211</v>
      </c>
      <c r="F55" s="39" t="s">
        <v>639</v>
      </c>
      <c r="G55" s="43" t="s">
        <v>625</v>
      </c>
      <c r="H55" s="43" t="s">
        <v>626</v>
      </c>
      <c r="I55" s="45" t="s">
        <v>584</v>
      </c>
      <c r="J55" s="36"/>
      <c r="K55" s="36"/>
      <c r="L55" s="45"/>
      <c r="M55" s="36" t="s">
        <v>521</v>
      </c>
      <c r="N55" s="40"/>
      <c r="O55" s="35"/>
      <c r="P55" s="35"/>
      <c r="Q55" s="35"/>
      <c r="R55" s="35"/>
      <c r="S55" s="42"/>
      <c r="T55" s="35" t="s">
        <v>90</v>
      </c>
      <c r="U55" s="35"/>
      <c r="V55" s="36"/>
      <c r="W55" s="36"/>
      <c r="X55" s="43"/>
      <c r="Y55" s="35"/>
      <c r="Z55" s="47"/>
      <c r="AA55" s="35" t="s">
        <v>526</v>
      </c>
    </row>
    <row r="56" customFormat="false" ht="49.5" hidden="false" customHeight="true" outlineLevel="0" collapsed="false">
      <c r="A56" s="34" t="n">
        <v>55</v>
      </c>
      <c r="B56" s="37" t="s">
        <v>233</v>
      </c>
      <c r="C56" s="45" t="s">
        <v>622</v>
      </c>
      <c r="D56" s="43" t="s">
        <v>623</v>
      </c>
      <c r="E56" s="35" t="s">
        <v>211</v>
      </c>
      <c r="F56" s="39" t="s">
        <v>640</v>
      </c>
      <c r="G56" s="43" t="s">
        <v>625</v>
      </c>
      <c r="H56" s="43" t="s">
        <v>626</v>
      </c>
      <c r="I56" s="45" t="s">
        <v>584</v>
      </c>
      <c r="J56" s="36"/>
      <c r="K56" s="36"/>
      <c r="L56" s="45"/>
      <c r="M56" s="36" t="s">
        <v>521</v>
      </c>
      <c r="N56" s="40"/>
      <c r="O56" s="35"/>
      <c r="P56" s="35"/>
      <c r="Q56" s="35"/>
      <c r="R56" s="35"/>
      <c r="S56" s="42"/>
      <c r="T56" s="35" t="s">
        <v>90</v>
      </c>
      <c r="U56" s="35"/>
      <c r="V56" s="36"/>
      <c r="W56" s="36"/>
      <c r="X56" s="43"/>
      <c r="Y56" s="35"/>
      <c r="Z56" s="47"/>
      <c r="AA56" s="35" t="s">
        <v>526</v>
      </c>
    </row>
    <row r="57" customFormat="false" ht="49.5" hidden="false" customHeight="true" outlineLevel="0" collapsed="false">
      <c r="A57" s="34" t="n">
        <v>56</v>
      </c>
      <c r="B57" s="37" t="s">
        <v>233</v>
      </c>
      <c r="C57" s="45" t="s">
        <v>622</v>
      </c>
      <c r="D57" s="43" t="s">
        <v>623</v>
      </c>
      <c r="E57" s="35" t="s">
        <v>211</v>
      </c>
      <c r="F57" s="39" t="s">
        <v>641</v>
      </c>
      <c r="G57" s="43" t="s">
        <v>625</v>
      </c>
      <c r="H57" s="43" t="s">
        <v>626</v>
      </c>
      <c r="I57" s="45" t="s">
        <v>584</v>
      </c>
      <c r="J57" s="36"/>
      <c r="K57" s="36"/>
      <c r="L57" s="45"/>
      <c r="M57" s="36" t="s">
        <v>521</v>
      </c>
      <c r="N57" s="40"/>
      <c r="O57" s="35"/>
      <c r="P57" s="35"/>
      <c r="Q57" s="35"/>
      <c r="R57" s="35"/>
      <c r="S57" s="42"/>
      <c r="T57" s="35" t="s">
        <v>90</v>
      </c>
      <c r="U57" s="35"/>
      <c r="V57" s="36"/>
      <c r="W57" s="36"/>
      <c r="X57" s="43"/>
      <c r="Y57" s="35"/>
      <c r="Z57" s="47"/>
      <c r="AA57" s="35" t="s">
        <v>526</v>
      </c>
    </row>
    <row r="58" customFormat="false" ht="49.5" hidden="false" customHeight="true" outlineLevel="0" collapsed="false">
      <c r="A58" s="34" t="n">
        <v>57</v>
      </c>
      <c r="B58" s="37" t="s">
        <v>233</v>
      </c>
      <c r="C58" s="45" t="s">
        <v>622</v>
      </c>
      <c r="D58" s="43" t="s">
        <v>623</v>
      </c>
      <c r="E58" s="35" t="s">
        <v>211</v>
      </c>
      <c r="F58" s="39" t="s">
        <v>642</v>
      </c>
      <c r="G58" s="43" t="s">
        <v>643</v>
      </c>
      <c r="H58" s="43" t="s">
        <v>630</v>
      </c>
      <c r="I58" s="45" t="s">
        <v>576</v>
      </c>
      <c r="J58" s="36"/>
      <c r="K58" s="36"/>
      <c r="L58" s="45"/>
      <c r="M58" s="36" t="s">
        <v>521</v>
      </c>
      <c r="N58" s="40"/>
      <c r="O58" s="35"/>
      <c r="P58" s="35"/>
      <c r="Q58" s="35"/>
      <c r="R58" s="35"/>
      <c r="S58" s="42"/>
      <c r="T58" s="35" t="s">
        <v>644</v>
      </c>
      <c r="U58" s="35"/>
      <c r="V58" s="36"/>
      <c r="W58" s="36"/>
      <c r="X58" s="43"/>
      <c r="Y58" s="35"/>
      <c r="Z58" s="47"/>
      <c r="AA58" s="35" t="s">
        <v>526</v>
      </c>
    </row>
    <row r="59" customFormat="false" ht="49.5" hidden="false" customHeight="true" outlineLevel="0" collapsed="false">
      <c r="A59" s="34" t="n">
        <v>58</v>
      </c>
      <c r="B59" s="37" t="s">
        <v>233</v>
      </c>
      <c r="C59" s="45" t="s">
        <v>622</v>
      </c>
      <c r="D59" s="43" t="s">
        <v>623</v>
      </c>
      <c r="E59" s="35" t="s">
        <v>211</v>
      </c>
      <c r="F59" s="39" t="s">
        <v>645</v>
      </c>
      <c r="G59" s="43" t="s">
        <v>637</v>
      </c>
      <c r="H59" s="43" t="s">
        <v>626</v>
      </c>
      <c r="I59" s="45" t="s">
        <v>638</v>
      </c>
      <c r="J59" s="36"/>
      <c r="K59" s="36"/>
      <c r="L59" s="45"/>
      <c r="M59" s="36" t="s">
        <v>521</v>
      </c>
      <c r="N59" s="40"/>
      <c r="O59" s="35"/>
      <c r="P59" s="35"/>
      <c r="Q59" s="35"/>
      <c r="R59" s="35"/>
      <c r="S59" s="42"/>
      <c r="T59" s="35" t="s">
        <v>64</v>
      </c>
      <c r="U59" s="35"/>
      <c r="V59" s="36"/>
      <c r="W59" s="36"/>
      <c r="X59" s="43"/>
      <c r="Y59" s="35"/>
      <c r="Z59" s="47"/>
      <c r="AA59" s="35" t="s">
        <v>526</v>
      </c>
    </row>
    <row r="60" customFormat="false" ht="49.5" hidden="false" customHeight="true" outlineLevel="0" collapsed="false">
      <c r="A60" s="34" t="n">
        <v>59</v>
      </c>
      <c r="B60" s="37" t="s">
        <v>233</v>
      </c>
      <c r="C60" s="45" t="s">
        <v>622</v>
      </c>
      <c r="D60" s="43" t="s">
        <v>623</v>
      </c>
      <c r="E60" s="35" t="s">
        <v>211</v>
      </c>
      <c r="F60" s="39" t="s">
        <v>646</v>
      </c>
      <c r="G60" s="43" t="s">
        <v>625</v>
      </c>
      <c r="H60" s="43" t="s">
        <v>626</v>
      </c>
      <c r="I60" s="45" t="s">
        <v>584</v>
      </c>
      <c r="J60" s="36"/>
      <c r="K60" s="36"/>
      <c r="L60" s="45"/>
      <c r="M60" s="36" t="s">
        <v>521</v>
      </c>
      <c r="N60" s="40"/>
      <c r="O60" s="35"/>
      <c r="P60" s="35"/>
      <c r="Q60" s="35"/>
      <c r="R60" s="35"/>
      <c r="S60" s="42"/>
      <c r="T60" s="35" t="s">
        <v>90</v>
      </c>
      <c r="U60" s="35"/>
      <c r="V60" s="36"/>
      <c r="W60" s="36"/>
      <c r="X60" s="43"/>
      <c r="Y60" s="35"/>
      <c r="Z60" s="47"/>
      <c r="AA60" s="35" t="s">
        <v>526</v>
      </c>
    </row>
    <row r="61" customFormat="false" ht="49.5" hidden="false" customHeight="true" outlineLevel="0" collapsed="false">
      <c r="A61" s="34" t="n">
        <v>60</v>
      </c>
      <c r="B61" s="37" t="s">
        <v>233</v>
      </c>
      <c r="C61" s="45" t="s">
        <v>622</v>
      </c>
      <c r="D61" s="43" t="s">
        <v>623</v>
      </c>
      <c r="E61" s="35" t="s">
        <v>211</v>
      </c>
      <c r="F61" s="39" t="s">
        <v>647</v>
      </c>
      <c r="G61" s="43" t="s">
        <v>637</v>
      </c>
      <c r="H61" s="43" t="s">
        <v>626</v>
      </c>
      <c r="I61" s="45" t="s">
        <v>638</v>
      </c>
      <c r="J61" s="36"/>
      <c r="K61" s="36"/>
      <c r="L61" s="45"/>
      <c r="M61" s="36" t="s">
        <v>521</v>
      </c>
      <c r="N61" s="40"/>
      <c r="O61" s="35"/>
      <c r="P61" s="35"/>
      <c r="Q61" s="35"/>
      <c r="R61" s="35"/>
      <c r="S61" s="42"/>
      <c r="T61" s="35" t="s">
        <v>64</v>
      </c>
      <c r="U61" s="35"/>
      <c r="V61" s="36"/>
      <c r="W61" s="36"/>
      <c r="X61" s="43"/>
      <c r="Y61" s="35"/>
      <c r="Z61" s="47"/>
      <c r="AA61" s="35" t="s">
        <v>526</v>
      </c>
    </row>
    <row r="62" customFormat="false" ht="49.5" hidden="false" customHeight="true" outlineLevel="0" collapsed="false">
      <c r="A62" s="34" t="n">
        <v>61</v>
      </c>
      <c r="B62" s="37" t="s">
        <v>233</v>
      </c>
      <c r="C62" s="45" t="s">
        <v>622</v>
      </c>
      <c r="D62" s="43" t="s">
        <v>623</v>
      </c>
      <c r="E62" s="35" t="s">
        <v>211</v>
      </c>
      <c r="F62" s="39" t="s">
        <v>648</v>
      </c>
      <c r="G62" s="43" t="s">
        <v>637</v>
      </c>
      <c r="H62" s="43" t="s">
        <v>626</v>
      </c>
      <c r="I62" s="45" t="s">
        <v>638</v>
      </c>
      <c r="J62" s="36"/>
      <c r="K62" s="36"/>
      <c r="L62" s="45"/>
      <c r="M62" s="36" t="s">
        <v>521</v>
      </c>
      <c r="N62" s="40"/>
      <c r="O62" s="35"/>
      <c r="P62" s="35"/>
      <c r="Q62" s="35"/>
      <c r="R62" s="35"/>
      <c r="S62" s="42"/>
      <c r="T62" s="35" t="s">
        <v>64</v>
      </c>
      <c r="U62" s="35"/>
      <c r="V62" s="36"/>
      <c r="W62" s="36"/>
      <c r="X62" s="43"/>
      <c r="Y62" s="35"/>
      <c r="Z62" s="47"/>
      <c r="AA62" s="35" t="s">
        <v>526</v>
      </c>
    </row>
    <row r="63" customFormat="false" ht="49.5" hidden="false" customHeight="true" outlineLevel="0" collapsed="false">
      <c r="A63" s="34" t="n">
        <v>62</v>
      </c>
      <c r="B63" s="37" t="s">
        <v>233</v>
      </c>
      <c r="C63" s="45" t="s">
        <v>622</v>
      </c>
      <c r="D63" s="43" t="s">
        <v>623</v>
      </c>
      <c r="E63" s="35" t="s">
        <v>211</v>
      </c>
      <c r="F63" s="39" t="s">
        <v>649</v>
      </c>
      <c r="G63" s="43" t="s">
        <v>650</v>
      </c>
      <c r="H63" s="43" t="s">
        <v>630</v>
      </c>
      <c r="I63" s="45" t="s">
        <v>584</v>
      </c>
      <c r="J63" s="36"/>
      <c r="K63" s="36"/>
      <c r="L63" s="45"/>
      <c r="M63" s="36" t="s">
        <v>521</v>
      </c>
      <c r="N63" s="40"/>
      <c r="O63" s="35"/>
      <c r="P63" s="35"/>
      <c r="Q63" s="35"/>
      <c r="R63" s="35"/>
      <c r="S63" s="42"/>
      <c r="T63" s="35" t="s">
        <v>610</v>
      </c>
      <c r="U63" s="35"/>
      <c r="V63" s="36"/>
      <c r="W63" s="36"/>
      <c r="X63" s="43"/>
      <c r="Y63" s="35"/>
      <c r="Z63" s="47"/>
      <c r="AA63" s="35" t="s">
        <v>526</v>
      </c>
    </row>
    <row r="64" customFormat="false" ht="49.5" hidden="false" customHeight="true" outlineLevel="0" collapsed="false">
      <c r="A64" s="34" t="n">
        <v>63</v>
      </c>
      <c r="B64" s="37" t="s">
        <v>233</v>
      </c>
      <c r="C64" s="45" t="s">
        <v>622</v>
      </c>
      <c r="D64" s="43" t="s">
        <v>623</v>
      </c>
      <c r="E64" s="35" t="s">
        <v>211</v>
      </c>
      <c r="F64" s="39" t="s">
        <v>651</v>
      </c>
      <c r="G64" s="43" t="s">
        <v>652</v>
      </c>
      <c r="H64" s="43" t="s">
        <v>626</v>
      </c>
      <c r="I64" s="45" t="s">
        <v>653</v>
      </c>
      <c r="J64" s="36"/>
      <c r="K64" s="36"/>
      <c r="L64" s="45"/>
      <c r="M64" s="36" t="s">
        <v>521</v>
      </c>
      <c r="N64" s="40"/>
      <c r="O64" s="35"/>
      <c r="P64" s="35"/>
      <c r="Q64" s="35"/>
      <c r="R64" s="35"/>
      <c r="S64" s="42"/>
      <c r="T64" s="35" t="s">
        <v>98</v>
      </c>
      <c r="U64" s="35"/>
      <c r="V64" s="36"/>
      <c r="W64" s="36"/>
      <c r="X64" s="43"/>
      <c r="Y64" s="35"/>
      <c r="Z64" s="47"/>
      <c r="AA64" s="35" t="s">
        <v>526</v>
      </c>
    </row>
    <row r="65" customFormat="false" ht="49.5" hidden="false" customHeight="true" outlineLevel="0" collapsed="false">
      <c r="A65" s="34" t="n">
        <v>64</v>
      </c>
      <c r="B65" s="37" t="s">
        <v>233</v>
      </c>
      <c r="C65" s="45" t="s">
        <v>622</v>
      </c>
      <c r="D65" s="43" t="s">
        <v>623</v>
      </c>
      <c r="E65" s="35" t="s">
        <v>211</v>
      </c>
      <c r="F65" s="39" t="s">
        <v>654</v>
      </c>
      <c r="G65" s="43" t="s">
        <v>655</v>
      </c>
      <c r="H65" s="43" t="s">
        <v>626</v>
      </c>
      <c r="I65" s="45" t="s">
        <v>584</v>
      </c>
      <c r="J65" s="36"/>
      <c r="K65" s="36"/>
      <c r="L65" s="45"/>
      <c r="M65" s="36" t="s">
        <v>521</v>
      </c>
      <c r="N65" s="40"/>
      <c r="O65" s="35"/>
      <c r="P65" s="35"/>
      <c r="Q65" s="35"/>
      <c r="R65" s="35"/>
      <c r="S65" s="42"/>
      <c r="T65" s="35" t="s">
        <v>64</v>
      </c>
      <c r="U65" s="35"/>
      <c r="V65" s="36"/>
      <c r="W65" s="36"/>
      <c r="X65" s="43"/>
      <c r="Y65" s="35"/>
      <c r="Z65" s="47"/>
      <c r="AA65" s="35" t="s">
        <v>526</v>
      </c>
    </row>
    <row r="66" customFormat="false" ht="49.5" hidden="false" customHeight="true" outlineLevel="0" collapsed="false">
      <c r="A66" s="34" t="n">
        <v>65</v>
      </c>
      <c r="B66" s="37" t="s">
        <v>233</v>
      </c>
      <c r="C66" s="45" t="s">
        <v>622</v>
      </c>
      <c r="D66" s="43" t="s">
        <v>623</v>
      </c>
      <c r="E66" s="35" t="s">
        <v>211</v>
      </c>
      <c r="F66" s="39" t="s">
        <v>656</v>
      </c>
      <c r="G66" s="43" t="s">
        <v>657</v>
      </c>
      <c r="H66" s="43" t="s">
        <v>630</v>
      </c>
      <c r="I66" s="45" t="s">
        <v>584</v>
      </c>
      <c r="J66" s="36"/>
      <c r="K66" s="36"/>
      <c r="L66" s="45"/>
      <c r="M66" s="36" t="s">
        <v>521</v>
      </c>
      <c r="N66" s="40"/>
      <c r="O66" s="35"/>
      <c r="P66" s="35"/>
      <c r="Q66" s="35"/>
      <c r="R66" s="35"/>
      <c r="S66" s="42"/>
      <c r="T66" s="35" t="s">
        <v>246</v>
      </c>
      <c r="U66" s="35"/>
      <c r="V66" s="36"/>
      <c r="W66" s="36"/>
      <c r="X66" s="43"/>
      <c r="Y66" s="35"/>
      <c r="Z66" s="47"/>
      <c r="AA66" s="35" t="s">
        <v>526</v>
      </c>
    </row>
    <row r="67" customFormat="false" ht="49.5" hidden="false" customHeight="true" outlineLevel="0" collapsed="false">
      <c r="A67" s="34" t="n">
        <v>66</v>
      </c>
      <c r="B67" s="37" t="s">
        <v>233</v>
      </c>
      <c r="C67" s="45" t="s">
        <v>622</v>
      </c>
      <c r="D67" s="43" t="s">
        <v>623</v>
      </c>
      <c r="E67" s="35" t="s">
        <v>211</v>
      </c>
      <c r="F67" s="39" t="s">
        <v>658</v>
      </c>
      <c r="G67" s="43" t="s">
        <v>637</v>
      </c>
      <c r="H67" s="43" t="s">
        <v>626</v>
      </c>
      <c r="I67" s="45" t="s">
        <v>638</v>
      </c>
      <c r="J67" s="36"/>
      <c r="K67" s="36"/>
      <c r="L67" s="45"/>
      <c r="M67" s="36" t="s">
        <v>521</v>
      </c>
      <c r="N67" s="40"/>
      <c r="O67" s="35"/>
      <c r="P67" s="35"/>
      <c r="Q67" s="35"/>
      <c r="R67" s="35"/>
      <c r="S67" s="42"/>
      <c r="T67" s="35" t="s">
        <v>64</v>
      </c>
      <c r="U67" s="35"/>
      <c r="V67" s="36"/>
      <c r="W67" s="36"/>
      <c r="X67" s="43"/>
      <c r="Y67" s="35"/>
      <c r="Z67" s="47"/>
      <c r="AA67" s="35" t="s">
        <v>526</v>
      </c>
    </row>
    <row r="68" customFormat="false" ht="34.5" hidden="false" customHeight="true" outlineLevel="0" collapsed="false">
      <c r="A68" s="34" t="n">
        <v>67</v>
      </c>
      <c r="B68" s="37" t="s">
        <v>233</v>
      </c>
      <c r="C68" s="45" t="s">
        <v>261</v>
      </c>
      <c r="D68" s="43" t="s">
        <v>262</v>
      </c>
      <c r="E68" s="35" t="s">
        <v>211</v>
      </c>
      <c r="F68" s="39" t="s">
        <v>659</v>
      </c>
      <c r="G68" s="43" t="s">
        <v>660</v>
      </c>
      <c r="H68" s="43" t="s">
        <v>260</v>
      </c>
      <c r="I68" s="45" t="s">
        <v>661</v>
      </c>
      <c r="J68" s="36"/>
      <c r="K68" s="36"/>
      <c r="L68" s="45"/>
      <c r="M68" s="36" t="s">
        <v>521</v>
      </c>
      <c r="N68" s="40"/>
      <c r="O68" s="35"/>
      <c r="P68" s="35"/>
      <c r="Q68" s="35"/>
      <c r="R68" s="35"/>
      <c r="S68" s="42"/>
      <c r="T68" s="35" t="s">
        <v>246</v>
      </c>
      <c r="U68" s="35"/>
      <c r="V68" s="36"/>
      <c r="W68" s="36"/>
      <c r="X68" s="43"/>
      <c r="Y68" s="35"/>
      <c r="Z68" s="47"/>
      <c r="AA68" s="35" t="s">
        <v>526</v>
      </c>
    </row>
    <row r="69" customFormat="false" ht="34.5" hidden="false" customHeight="true" outlineLevel="0" collapsed="false">
      <c r="A69" s="34" t="n">
        <v>68</v>
      </c>
      <c r="B69" s="37" t="s">
        <v>233</v>
      </c>
      <c r="C69" s="45" t="s">
        <v>261</v>
      </c>
      <c r="D69" s="43" t="s">
        <v>262</v>
      </c>
      <c r="E69" s="35" t="s">
        <v>211</v>
      </c>
      <c r="F69" s="39" t="s">
        <v>662</v>
      </c>
      <c r="G69" s="43" t="s">
        <v>663</v>
      </c>
      <c r="H69" s="43" t="s">
        <v>664</v>
      </c>
      <c r="I69" s="45" t="s">
        <v>576</v>
      </c>
      <c r="J69" s="36"/>
      <c r="K69" s="36"/>
      <c r="L69" s="45"/>
      <c r="M69" s="36" t="s">
        <v>521</v>
      </c>
      <c r="N69" s="40"/>
      <c r="O69" s="35"/>
      <c r="P69" s="35"/>
      <c r="Q69" s="35"/>
      <c r="R69" s="35"/>
      <c r="S69" s="42"/>
      <c r="T69" s="35" t="s">
        <v>665</v>
      </c>
      <c r="U69" s="35"/>
      <c r="V69" s="36"/>
      <c r="W69" s="36"/>
      <c r="X69" s="43"/>
      <c r="Y69" s="35"/>
      <c r="Z69" s="47"/>
      <c r="AA69" s="35" t="s">
        <v>526</v>
      </c>
    </row>
    <row r="70" customFormat="false" ht="34.5" hidden="false" customHeight="true" outlineLevel="0" collapsed="false">
      <c r="A70" s="34" t="n">
        <v>69</v>
      </c>
      <c r="B70" s="37" t="s">
        <v>233</v>
      </c>
      <c r="C70" s="45" t="s">
        <v>261</v>
      </c>
      <c r="D70" s="43" t="s">
        <v>262</v>
      </c>
      <c r="E70" s="35" t="s">
        <v>211</v>
      </c>
      <c r="F70" s="39" t="s">
        <v>666</v>
      </c>
      <c r="G70" s="43" t="s">
        <v>660</v>
      </c>
      <c r="H70" s="43" t="s">
        <v>260</v>
      </c>
      <c r="I70" s="45" t="s">
        <v>661</v>
      </c>
      <c r="J70" s="36"/>
      <c r="K70" s="36"/>
      <c r="L70" s="45"/>
      <c r="M70" s="36" t="s">
        <v>521</v>
      </c>
      <c r="N70" s="40"/>
      <c r="O70" s="35"/>
      <c r="P70" s="35"/>
      <c r="Q70" s="35"/>
      <c r="R70" s="35"/>
      <c r="S70" s="42"/>
      <c r="T70" s="35" t="s">
        <v>246</v>
      </c>
      <c r="U70" s="35"/>
      <c r="V70" s="36"/>
      <c r="W70" s="36"/>
      <c r="X70" s="43"/>
      <c r="Y70" s="35"/>
      <c r="Z70" s="47"/>
      <c r="AA70" s="35" t="s">
        <v>526</v>
      </c>
    </row>
    <row r="71" customFormat="false" ht="34.5" hidden="false" customHeight="true" outlineLevel="0" collapsed="false">
      <c r="A71" s="34" t="n">
        <v>70</v>
      </c>
      <c r="B71" s="37" t="s">
        <v>233</v>
      </c>
      <c r="C71" s="45" t="s">
        <v>261</v>
      </c>
      <c r="D71" s="43" t="s">
        <v>262</v>
      </c>
      <c r="E71" s="35" t="s">
        <v>211</v>
      </c>
      <c r="F71" s="39" t="s">
        <v>258</v>
      </c>
      <c r="G71" s="43" t="s">
        <v>660</v>
      </c>
      <c r="H71" s="43" t="s">
        <v>260</v>
      </c>
      <c r="I71" s="45" t="s">
        <v>661</v>
      </c>
      <c r="J71" s="36" t="s">
        <v>80</v>
      </c>
      <c r="K71" s="36"/>
      <c r="L71" s="45" t="s">
        <v>667</v>
      </c>
      <c r="M71" s="36" t="s">
        <v>521</v>
      </c>
      <c r="N71" s="40"/>
      <c r="O71" s="35"/>
      <c r="P71" s="35"/>
      <c r="Q71" s="35"/>
      <c r="R71" s="35"/>
      <c r="S71" s="42"/>
      <c r="T71" s="35" t="s">
        <v>246</v>
      </c>
      <c r="U71" s="35"/>
      <c r="V71" s="36"/>
      <c r="W71" s="36"/>
      <c r="X71" s="43"/>
      <c r="Y71" s="35"/>
      <c r="Z71" s="47"/>
      <c r="AA71" s="35" t="s">
        <v>578</v>
      </c>
    </row>
    <row r="72" customFormat="false" ht="34.5" hidden="false" customHeight="true" outlineLevel="0" collapsed="false">
      <c r="A72" s="34" t="n">
        <v>71</v>
      </c>
      <c r="B72" s="37" t="s">
        <v>233</v>
      </c>
      <c r="C72" s="45" t="s">
        <v>261</v>
      </c>
      <c r="D72" s="43" t="s">
        <v>262</v>
      </c>
      <c r="E72" s="35" t="s">
        <v>211</v>
      </c>
      <c r="F72" s="39" t="s">
        <v>668</v>
      </c>
      <c r="G72" s="43" t="s">
        <v>660</v>
      </c>
      <c r="H72" s="43" t="s">
        <v>260</v>
      </c>
      <c r="I72" s="45" t="s">
        <v>661</v>
      </c>
      <c r="J72" s="36"/>
      <c r="K72" s="36"/>
      <c r="L72" s="45"/>
      <c r="M72" s="36" t="s">
        <v>521</v>
      </c>
      <c r="N72" s="40"/>
      <c r="O72" s="35"/>
      <c r="P72" s="35"/>
      <c r="Q72" s="35"/>
      <c r="R72" s="35"/>
      <c r="S72" s="42"/>
      <c r="T72" s="35" t="s">
        <v>246</v>
      </c>
      <c r="U72" s="35"/>
      <c r="V72" s="36"/>
      <c r="W72" s="36"/>
      <c r="X72" s="43"/>
      <c r="Y72" s="35"/>
      <c r="Z72" s="47"/>
      <c r="AA72" s="35" t="s">
        <v>526</v>
      </c>
    </row>
    <row r="73" customFormat="false" ht="34.5" hidden="false" customHeight="true" outlineLevel="0" collapsed="false">
      <c r="A73" s="34" t="n">
        <v>72</v>
      </c>
      <c r="B73" s="37" t="s">
        <v>233</v>
      </c>
      <c r="C73" s="45" t="s">
        <v>261</v>
      </c>
      <c r="D73" s="43" t="s">
        <v>262</v>
      </c>
      <c r="E73" s="35" t="s">
        <v>211</v>
      </c>
      <c r="F73" s="39" t="s">
        <v>669</v>
      </c>
      <c r="G73" s="43" t="s">
        <v>670</v>
      </c>
      <c r="H73" s="43" t="s">
        <v>671</v>
      </c>
      <c r="I73" s="45" t="s">
        <v>672</v>
      </c>
      <c r="J73" s="36"/>
      <c r="K73" s="36"/>
      <c r="L73" s="45"/>
      <c r="M73" s="36" t="s">
        <v>521</v>
      </c>
      <c r="N73" s="40"/>
      <c r="O73" s="35"/>
      <c r="P73" s="35"/>
      <c r="Q73" s="35"/>
      <c r="R73" s="35"/>
      <c r="S73" s="42"/>
      <c r="T73" s="35" t="s">
        <v>665</v>
      </c>
      <c r="U73" s="35"/>
      <c r="V73" s="36"/>
      <c r="W73" s="36"/>
      <c r="X73" s="43"/>
      <c r="Y73" s="35"/>
      <c r="Z73" s="47"/>
      <c r="AA73" s="35" t="s">
        <v>526</v>
      </c>
    </row>
    <row r="74" customFormat="false" ht="34.5" hidden="false" customHeight="true" outlineLevel="0" collapsed="false">
      <c r="A74" s="34" t="n">
        <v>73</v>
      </c>
      <c r="B74" s="37" t="s">
        <v>233</v>
      </c>
      <c r="C74" s="45" t="s">
        <v>261</v>
      </c>
      <c r="D74" s="43" t="s">
        <v>262</v>
      </c>
      <c r="E74" s="35" t="s">
        <v>211</v>
      </c>
      <c r="F74" s="39" t="s">
        <v>673</v>
      </c>
      <c r="G74" s="43" t="s">
        <v>674</v>
      </c>
      <c r="H74" s="43" t="s">
        <v>671</v>
      </c>
      <c r="I74" s="45" t="s">
        <v>661</v>
      </c>
      <c r="J74" s="36"/>
      <c r="K74" s="36"/>
      <c r="L74" s="45"/>
      <c r="M74" s="36" t="s">
        <v>521</v>
      </c>
      <c r="N74" s="40"/>
      <c r="O74" s="35"/>
      <c r="P74" s="35"/>
      <c r="Q74" s="35"/>
      <c r="R74" s="35"/>
      <c r="S74" s="42"/>
      <c r="T74" s="35" t="s">
        <v>246</v>
      </c>
      <c r="U74" s="35"/>
      <c r="V74" s="36"/>
      <c r="W74" s="36"/>
      <c r="X74" s="43"/>
      <c r="Y74" s="35"/>
      <c r="Z74" s="47"/>
      <c r="AA74" s="35" t="s">
        <v>526</v>
      </c>
    </row>
    <row r="75" customFormat="false" ht="34.5" hidden="false" customHeight="true" outlineLevel="0" collapsed="false">
      <c r="A75" s="34" t="n">
        <v>74</v>
      </c>
      <c r="B75" s="37" t="s">
        <v>233</v>
      </c>
      <c r="C75" s="45" t="s">
        <v>261</v>
      </c>
      <c r="D75" s="43" t="s">
        <v>262</v>
      </c>
      <c r="E75" s="35" t="s">
        <v>211</v>
      </c>
      <c r="F75" s="39" t="s">
        <v>675</v>
      </c>
      <c r="G75" s="43" t="s">
        <v>674</v>
      </c>
      <c r="H75" s="43" t="s">
        <v>671</v>
      </c>
      <c r="I75" s="45" t="s">
        <v>661</v>
      </c>
      <c r="J75" s="36"/>
      <c r="K75" s="36"/>
      <c r="L75" s="45"/>
      <c r="M75" s="36" t="s">
        <v>521</v>
      </c>
      <c r="N75" s="40"/>
      <c r="O75" s="35"/>
      <c r="P75" s="35"/>
      <c r="Q75" s="35"/>
      <c r="R75" s="35"/>
      <c r="S75" s="42"/>
      <c r="T75" s="35" t="s">
        <v>246</v>
      </c>
      <c r="U75" s="35"/>
      <c r="V75" s="36"/>
      <c r="W75" s="36"/>
      <c r="X75" s="43"/>
      <c r="Y75" s="35"/>
      <c r="Z75" s="47"/>
      <c r="AA75" s="35" t="s">
        <v>526</v>
      </c>
    </row>
    <row r="76" customFormat="false" ht="34.5" hidden="false" customHeight="true" outlineLevel="0" collapsed="false">
      <c r="A76" s="34" t="n">
        <v>75</v>
      </c>
      <c r="B76" s="37" t="s">
        <v>233</v>
      </c>
      <c r="C76" s="45" t="s">
        <v>261</v>
      </c>
      <c r="D76" s="43" t="s">
        <v>262</v>
      </c>
      <c r="E76" s="35" t="s">
        <v>211</v>
      </c>
      <c r="F76" s="39" t="s">
        <v>676</v>
      </c>
      <c r="G76" s="43" t="s">
        <v>674</v>
      </c>
      <c r="H76" s="43" t="s">
        <v>671</v>
      </c>
      <c r="I76" s="45" t="s">
        <v>661</v>
      </c>
      <c r="J76" s="36"/>
      <c r="K76" s="36"/>
      <c r="L76" s="45"/>
      <c r="M76" s="36" t="s">
        <v>521</v>
      </c>
      <c r="N76" s="40"/>
      <c r="O76" s="35"/>
      <c r="P76" s="35"/>
      <c r="Q76" s="35"/>
      <c r="R76" s="35"/>
      <c r="S76" s="42"/>
      <c r="T76" s="35" t="s">
        <v>246</v>
      </c>
      <c r="U76" s="35"/>
      <c r="V76" s="36"/>
      <c r="W76" s="36"/>
      <c r="X76" s="43"/>
      <c r="Y76" s="35"/>
      <c r="Z76" s="47"/>
      <c r="AA76" s="35" t="s">
        <v>526</v>
      </c>
    </row>
    <row r="77" customFormat="false" ht="34.5" hidden="false" customHeight="true" outlineLevel="0" collapsed="false">
      <c r="A77" s="34" t="n">
        <v>76</v>
      </c>
      <c r="B77" s="37" t="s">
        <v>233</v>
      </c>
      <c r="C77" s="45" t="s">
        <v>261</v>
      </c>
      <c r="D77" s="43" t="s">
        <v>262</v>
      </c>
      <c r="E77" s="35" t="s">
        <v>211</v>
      </c>
      <c r="F77" s="39" t="s">
        <v>677</v>
      </c>
      <c r="G77" s="43" t="s">
        <v>678</v>
      </c>
      <c r="H77" s="43" t="s">
        <v>664</v>
      </c>
      <c r="I77" s="45" t="s">
        <v>679</v>
      </c>
      <c r="J77" s="36"/>
      <c r="K77" s="36"/>
      <c r="L77" s="45"/>
      <c r="M77" s="36" t="s">
        <v>521</v>
      </c>
      <c r="N77" s="40"/>
      <c r="O77" s="35"/>
      <c r="P77" s="35"/>
      <c r="Q77" s="35"/>
      <c r="R77" s="35"/>
      <c r="S77" s="42"/>
      <c r="T77" s="35" t="s">
        <v>246</v>
      </c>
      <c r="U77" s="35"/>
      <c r="V77" s="36"/>
      <c r="W77" s="36"/>
      <c r="X77" s="43"/>
      <c r="Y77" s="35"/>
      <c r="Z77" s="47"/>
      <c r="AA77" s="35" t="s">
        <v>526</v>
      </c>
    </row>
    <row r="78" customFormat="false" ht="34.5" hidden="false" customHeight="true" outlineLevel="0" collapsed="false">
      <c r="A78" s="34" t="n">
        <v>77</v>
      </c>
      <c r="B78" s="37" t="s">
        <v>233</v>
      </c>
      <c r="C78" s="45" t="s">
        <v>261</v>
      </c>
      <c r="D78" s="43" t="s">
        <v>262</v>
      </c>
      <c r="E78" s="35" t="s">
        <v>211</v>
      </c>
      <c r="F78" s="39" t="s">
        <v>680</v>
      </c>
      <c r="G78" s="43" t="s">
        <v>670</v>
      </c>
      <c r="H78" s="43" t="s">
        <v>671</v>
      </c>
      <c r="I78" s="45" t="s">
        <v>672</v>
      </c>
      <c r="J78" s="36"/>
      <c r="K78" s="36"/>
      <c r="L78" s="45"/>
      <c r="M78" s="36" t="s">
        <v>521</v>
      </c>
      <c r="N78" s="40"/>
      <c r="O78" s="35"/>
      <c r="P78" s="35"/>
      <c r="Q78" s="35"/>
      <c r="R78" s="35"/>
      <c r="S78" s="42"/>
      <c r="T78" s="35" t="s">
        <v>665</v>
      </c>
      <c r="U78" s="35"/>
      <c r="V78" s="36"/>
      <c r="W78" s="36"/>
      <c r="X78" s="43"/>
      <c r="Y78" s="35"/>
      <c r="Z78" s="47"/>
      <c r="AA78" s="35" t="s">
        <v>526</v>
      </c>
    </row>
    <row r="79" customFormat="false" ht="34.5" hidden="false" customHeight="true" outlineLevel="0" collapsed="false">
      <c r="A79" s="34" t="n">
        <v>78</v>
      </c>
      <c r="B79" s="37" t="s">
        <v>233</v>
      </c>
      <c r="C79" s="45" t="s">
        <v>261</v>
      </c>
      <c r="D79" s="43" t="s">
        <v>262</v>
      </c>
      <c r="E79" s="35" t="s">
        <v>211</v>
      </c>
      <c r="F79" s="39" t="s">
        <v>681</v>
      </c>
      <c r="G79" s="43" t="s">
        <v>674</v>
      </c>
      <c r="H79" s="43" t="s">
        <v>671</v>
      </c>
      <c r="I79" s="45" t="s">
        <v>661</v>
      </c>
      <c r="J79" s="36"/>
      <c r="K79" s="36"/>
      <c r="L79" s="45"/>
      <c r="M79" s="36" t="s">
        <v>521</v>
      </c>
      <c r="N79" s="40"/>
      <c r="O79" s="35"/>
      <c r="P79" s="35"/>
      <c r="Q79" s="35"/>
      <c r="R79" s="35"/>
      <c r="S79" s="42"/>
      <c r="T79" s="35" t="s">
        <v>246</v>
      </c>
      <c r="U79" s="35"/>
      <c r="V79" s="36"/>
      <c r="W79" s="36"/>
      <c r="X79" s="43"/>
      <c r="Y79" s="35"/>
      <c r="Z79" s="47"/>
      <c r="AA79" s="35" t="s">
        <v>526</v>
      </c>
    </row>
    <row r="80" customFormat="false" ht="34.5" hidden="false" customHeight="true" outlineLevel="0" collapsed="false">
      <c r="A80" s="34" t="n">
        <v>79</v>
      </c>
      <c r="B80" s="37" t="s">
        <v>233</v>
      </c>
      <c r="C80" s="45" t="s">
        <v>261</v>
      </c>
      <c r="D80" s="43" t="s">
        <v>262</v>
      </c>
      <c r="E80" s="35" t="s">
        <v>211</v>
      </c>
      <c r="F80" s="39" t="s">
        <v>682</v>
      </c>
      <c r="G80" s="43" t="s">
        <v>683</v>
      </c>
      <c r="H80" s="43" t="s">
        <v>260</v>
      </c>
      <c r="I80" s="45" t="s">
        <v>529</v>
      </c>
      <c r="J80" s="36"/>
      <c r="K80" s="36"/>
      <c r="L80" s="45"/>
      <c r="M80" s="36" t="s">
        <v>521</v>
      </c>
      <c r="N80" s="40"/>
      <c r="O80" s="35"/>
      <c r="P80" s="35"/>
      <c r="Q80" s="35"/>
      <c r="R80" s="35"/>
      <c r="S80" s="42"/>
      <c r="T80" s="35" t="s">
        <v>64</v>
      </c>
      <c r="U80" s="35"/>
      <c r="V80" s="36"/>
      <c r="W80" s="36"/>
      <c r="X80" s="43"/>
      <c r="Y80" s="35"/>
      <c r="Z80" s="47"/>
      <c r="AA80" s="35" t="s">
        <v>526</v>
      </c>
    </row>
    <row r="81" customFormat="false" ht="34.5" hidden="false" customHeight="true" outlineLevel="0" collapsed="false">
      <c r="A81" s="34" t="n">
        <v>80</v>
      </c>
      <c r="B81" s="37" t="s">
        <v>233</v>
      </c>
      <c r="C81" s="45" t="s">
        <v>261</v>
      </c>
      <c r="D81" s="43" t="s">
        <v>262</v>
      </c>
      <c r="E81" s="35" t="s">
        <v>211</v>
      </c>
      <c r="F81" s="39" t="s">
        <v>684</v>
      </c>
      <c r="G81" s="43" t="s">
        <v>685</v>
      </c>
      <c r="H81" s="43" t="s">
        <v>260</v>
      </c>
      <c r="I81" s="45" t="s">
        <v>576</v>
      </c>
      <c r="J81" s="36"/>
      <c r="K81" s="36"/>
      <c r="L81" s="45"/>
      <c r="M81" s="36" t="s">
        <v>521</v>
      </c>
      <c r="N81" s="40"/>
      <c r="O81" s="35"/>
      <c r="P81" s="35"/>
      <c r="Q81" s="35"/>
      <c r="R81" s="35"/>
      <c r="S81" s="42"/>
      <c r="T81" s="35" t="s">
        <v>665</v>
      </c>
      <c r="U81" s="35"/>
      <c r="V81" s="36"/>
      <c r="W81" s="36"/>
      <c r="X81" s="43"/>
      <c r="Y81" s="35"/>
      <c r="Z81" s="47"/>
      <c r="AA81" s="35" t="s">
        <v>526</v>
      </c>
    </row>
    <row r="82" customFormat="false" ht="34.5" hidden="false" customHeight="true" outlineLevel="0" collapsed="false">
      <c r="A82" s="34" t="n">
        <v>81</v>
      </c>
      <c r="B82" s="37" t="s">
        <v>233</v>
      </c>
      <c r="C82" s="45" t="s">
        <v>261</v>
      </c>
      <c r="D82" s="43" t="s">
        <v>262</v>
      </c>
      <c r="E82" s="35" t="s">
        <v>211</v>
      </c>
      <c r="F82" s="39" t="s">
        <v>686</v>
      </c>
      <c r="G82" s="43" t="s">
        <v>687</v>
      </c>
      <c r="H82" s="43" t="s">
        <v>260</v>
      </c>
      <c r="I82" s="45" t="s">
        <v>688</v>
      </c>
      <c r="J82" s="36"/>
      <c r="K82" s="36"/>
      <c r="L82" s="45"/>
      <c r="M82" s="36" t="s">
        <v>521</v>
      </c>
      <c r="N82" s="40"/>
      <c r="O82" s="35"/>
      <c r="P82" s="35"/>
      <c r="Q82" s="35"/>
      <c r="R82" s="35"/>
      <c r="S82" s="42"/>
      <c r="T82" s="35" t="s">
        <v>90</v>
      </c>
      <c r="U82" s="35"/>
      <c r="V82" s="36"/>
      <c r="W82" s="36"/>
      <c r="X82" s="43"/>
      <c r="Y82" s="35"/>
      <c r="Z82" s="47"/>
      <c r="AA82" s="35" t="s">
        <v>526</v>
      </c>
    </row>
    <row r="83" customFormat="false" ht="34.5" hidden="false" customHeight="true" outlineLevel="0" collapsed="false">
      <c r="A83" s="34" t="n">
        <v>82</v>
      </c>
      <c r="B83" s="37" t="s">
        <v>233</v>
      </c>
      <c r="C83" s="45" t="s">
        <v>261</v>
      </c>
      <c r="D83" s="43" t="s">
        <v>262</v>
      </c>
      <c r="E83" s="35" t="s">
        <v>211</v>
      </c>
      <c r="F83" s="39" t="s">
        <v>689</v>
      </c>
      <c r="G83" s="43" t="s">
        <v>674</v>
      </c>
      <c r="H83" s="43" t="s">
        <v>671</v>
      </c>
      <c r="I83" s="45" t="s">
        <v>661</v>
      </c>
      <c r="J83" s="36"/>
      <c r="K83" s="36"/>
      <c r="L83" s="45"/>
      <c r="M83" s="36" t="s">
        <v>521</v>
      </c>
      <c r="N83" s="40"/>
      <c r="O83" s="35"/>
      <c r="P83" s="35"/>
      <c r="Q83" s="35"/>
      <c r="R83" s="35"/>
      <c r="S83" s="42"/>
      <c r="T83" s="35" t="s">
        <v>246</v>
      </c>
      <c r="U83" s="35"/>
      <c r="V83" s="36"/>
      <c r="W83" s="36"/>
      <c r="X83" s="43"/>
      <c r="Y83" s="35"/>
      <c r="Z83" s="47"/>
      <c r="AA83" s="35" t="s">
        <v>526</v>
      </c>
    </row>
    <row r="84" customFormat="false" ht="34.5" hidden="false" customHeight="true" outlineLevel="0" collapsed="false">
      <c r="A84" s="34" t="n">
        <v>83</v>
      </c>
      <c r="B84" s="37" t="s">
        <v>233</v>
      </c>
      <c r="C84" s="45" t="s">
        <v>261</v>
      </c>
      <c r="D84" s="43" t="s">
        <v>262</v>
      </c>
      <c r="E84" s="35" t="s">
        <v>211</v>
      </c>
      <c r="F84" s="39" t="s">
        <v>690</v>
      </c>
      <c r="G84" s="43" t="s">
        <v>663</v>
      </c>
      <c r="H84" s="43" t="s">
        <v>664</v>
      </c>
      <c r="I84" s="45" t="s">
        <v>576</v>
      </c>
      <c r="J84" s="36"/>
      <c r="K84" s="36"/>
      <c r="L84" s="45"/>
      <c r="M84" s="36" t="s">
        <v>521</v>
      </c>
      <c r="N84" s="40"/>
      <c r="O84" s="35"/>
      <c r="P84" s="35"/>
      <c r="Q84" s="35"/>
      <c r="R84" s="35"/>
      <c r="S84" s="42"/>
      <c r="T84" s="35" t="s">
        <v>665</v>
      </c>
      <c r="U84" s="35"/>
      <c r="V84" s="36"/>
      <c r="W84" s="36"/>
      <c r="X84" s="43"/>
      <c r="Y84" s="35"/>
      <c r="Z84" s="47"/>
      <c r="AA84" s="35" t="s">
        <v>526</v>
      </c>
    </row>
    <row r="85" customFormat="false" ht="34.5" hidden="false" customHeight="true" outlineLevel="0" collapsed="false">
      <c r="A85" s="34" t="n">
        <v>84</v>
      </c>
      <c r="B85" s="37" t="s">
        <v>233</v>
      </c>
      <c r="C85" s="45" t="s">
        <v>261</v>
      </c>
      <c r="D85" s="43" t="s">
        <v>262</v>
      </c>
      <c r="E85" s="35" t="s">
        <v>211</v>
      </c>
      <c r="F85" s="39" t="s">
        <v>691</v>
      </c>
      <c r="G85" s="43" t="s">
        <v>685</v>
      </c>
      <c r="H85" s="43" t="s">
        <v>260</v>
      </c>
      <c r="I85" s="45" t="s">
        <v>576</v>
      </c>
      <c r="J85" s="36"/>
      <c r="K85" s="36"/>
      <c r="L85" s="45"/>
      <c r="M85" s="36" t="s">
        <v>521</v>
      </c>
      <c r="N85" s="40"/>
      <c r="O85" s="35"/>
      <c r="P85" s="35"/>
      <c r="Q85" s="35"/>
      <c r="R85" s="35"/>
      <c r="S85" s="42"/>
      <c r="T85" s="35" t="s">
        <v>665</v>
      </c>
      <c r="U85" s="35"/>
      <c r="V85" s="36"/>
      <c r="W85" s="36"/>
      <c r="X85" s="43"/>
      <c r="Y85" s="35"/>
      <c r="Z85" s="47"/>
      <c r="AA85" s="35" t="s">
        <v>526</v>
      </c>
    </row>
    <row r="86" customFormat="false" ht="34.5" hidden="false" customHeight="true" outlineLevel="0" collapsed="false">
      <c r="A86" s="34" t="n">
        <v>85</v>
      </c>
      <c r="B86" s="37" t="s">
        <v>233</v>
      </c>
      <c r="C86" s="45" t="s">
        <v>261</v>
      </c>
      <c r="D86" s="43" t="s">
        <v>262</v>
      </c>
      <c r="E86" s="35" t="s">
        <v>211</v>
      </c>
      <c r="F86" s="39" t="s">
        <v>692</v>
      </c>
      <c r="G86" s="43" t="s">
        <v>663</v>
      </c>
      <c r="H86" s="43" t="s">
        <v>664</v>
      </c>
      <c r="I86" s="45" t="s">
        <v>576</v>
      </c>
      <c r="J86" s="36"/>
      <c r="K86" s="36"/>
      <c r="L86" s="45"/>
      <c r="M86" s="36" t="s">
        <v>521</v>
      </c>
      <c r="N86" s="40"/>
      <c r="O86" s="35"/>
      <c r="P86" s="35"/>
      <c r="Q86" s="35"/>
      <c r="R86" s="35"/>
      <c r="S86" s="42"/>
      <c r="T86" s="35" t="s">
        <v>665</v>
      </c>
      <c r="U86" s="35"/>
      <c r="V86" s="36"/>
      <c r="W86" s="36"/>
      <c r="X86" s="43"/>
      <c r="Y86" s="35"/>
      <c r="Z86" s="47"/>
      <c r="AA86" s="35" t="s">
        <v>526</v>
      </c>
    </row>
    <row r="87" customFormat="false" ht="34.5" hidden="false" customHeight="true" outlineLevel="0" collapsed="false">
      <c r="A87" s="34" t="n">
        <v>86</v>
      </c>
      <c r="B87" s="37" t="s">
        <v>233</v>
      </c>
      <c r="C87" s="45" t="s">
        <v>261</v>
      </c>
      <c r="D87" s="43" t="s">
        <v>262</v>
      </c>
      <c r="E87" s="35" t="s">
        <v>211</v>
      </c>
      <c r="F87" s="39" t="s">
        <v>693</v>
      </c>
      <c r="G87" s="43" t="s">
        <v>660</v>
      </c>
      <c r="H87" s="43" t="s">
        <v>260</v>
      </c>
      <c r="I87" s="45" t="s">
        <v>661</v>
      </c>
      <c r="J87" s="36"/>
      <c r="K87" s="36"/>
      <c r="L87" s="45"/>
      <c r="M87" s="36" t="s">
        <v>521</v>
      </c>
      <c r="N87" s="40"/>
      <c r="O87" s="35"/>
      <c r="P87" s="35"/>
      <c r="Q87" s="35"/>
      <c r="R87" s="35"/>
      <c r="S87" s="42"/>
      <c r="T87" s="35" t="s">
        <v>246</v>
      </c>
      <c r="U87" s="35"/>
      <c r="V87" s="36"/>
      <c r="W87" s="36"/>
      <c r="X87" s="43"/>
      <c r="Y87" s="35"/>
      <c r="Z87" s="47"/>
      <c r="AA87" s="35" t="s">
        <v>526</v>
      </c>
    </row>
    <row r="88" customFormat="false" ht="34.5" hidden="false" customHeight="true" outlineLevel="0" collapsed="false">
      <c r="A88" s="34" t="n">
        <v>87</v>
      </c>
      <c r="B88" s="37" t="s">
        <v>233</v>
      </c>
      <c r="C88" s="45" t="s">
        <v>261</v>
      </c>
      <c r="D88" s="43" t="s">
        <v>262</v>
      </c>
      <c r="E88" s="35" t="s">
        <v>211</v>
      </c>
      <c r="F88" s="39" t="s">
        <v>694</v>
      </c>
      <c r="G88" s="43" t="s">
        <v>678</v>
      </c>
      <c r="H88" s="43" t="s">
        <v>664</v>
      </c>
      <c r="I88" s="45" t="s">
        <v>679</v>
      </c>
      <c r="J88" s="36"/>
      <c r="K88" s="36"/>
      <c r="L88" s="45"/>
      <c r="M88" s="36" t="s">
        <v>521</v>
      </c>
      <c r="N88" s="40"/>
      <c r="O88" s="35"/>
      <c r="P88" s="35"/>
      <c r="Q88" s="35"/>
      <c r="R88" s="35"/>
      <c r="S88" s="42"/>
      <c r="T88" s="35" t="s">
        <v>246</v>
      </c>
      <c r="U88" s="35"/>
      <c r="V88" s="36"/>
      <c r="W88" s="36"/>
      <c r="X88" s="43"/>
      <c r="Y88" s="35"/>
      <c r="Z88" s="47"/>
      <c r="AA88" s="35" t="s">
        <v>526</v>
      </c>
    </row>
    <row r="89" customFormat="false" ht="34.5" hidden="false" customHeight="true" outlineLevel="0" collapsed="false">
      <c r="A89" s="34" t="n">
        <v>88</v>
      </c>
      <c r="B89" s="37" t="s">
        <v>233</v>
      </c>
      <c r="C89" s="45" t="s">
        <v>261</v>
      </c>
      <c r="D89" s="43" t="s">
        <v>262</v>
      </c>
      <c r="E89" s="35" t="s">
        <v>211</v>
      </c>
      <c r="F89" s="39" t="s">
        <v>695</v>
      </c>
      <c r="G89" s="43" t="s">
        <v>685</v>
      </c>
      <c r="H89" s="43" t="s">
        <v>260</v>
      </c>
      <c r="I89" s="45" t="s">
        <v>576</v>
      </c>
      <c r="J89" s="36"/>
      <c r="K89" s="36"/>
      <c r="L89" s="45"/>
      <c r="M89" s="36" t="s">
        <v>521</v>
      </c>
      <c r="N89" s="40"/>
      <c r="O89" s="35"/>
      <c r="P89" s="35"/>
      <c r="Q89" s="35"/>
      <c r="R89" s="35"/>
      <c r="S89" s="42"/>
      <c r="T89" s="35" t="s">
        <v>665</v>
      </c>
      <c r="U89" s="35"/>
      <c r="V89" s="36"/>
      <c r="W89" s="36"/>
      <c r="X89" s="43"/>
      <c r="Y89" s="35"/>
      <c r="Z89" s="47"/>
      <c r="AA89" s="35" t="s">
        <v>526</v>
      </c>
    </row>
    <row r="90" customFormat="false" ht="34.5" hidden="false" customHeight="true" outlineLevel="0" collapsed="false">
      <c r="A90" s="34" t="n">
        <v>89</v>
      </c>
      <c r="B90" s="37" t="s">
        <v>233</v>
      </c>
      <c r="C90" s="45" t="s">
        <v>261</v>
      </c>
      <c r="D90" s="43" t="s">
        <v>262</v>
      </c>
      <c r="E90" s="35" t="s">
        <v>211</v>
      </c>
      <c r="F90" s="39" t="s">
        <v>696</v>
      </c>
      <c r="G90" s="43" t="s">
        <v>674</v>
      </c>
      <c r="H90" s="43" t="s">
        <v>671</v>
      </c>
      <c r="I90" s="45" t="s">
        <v>661</v>
      </c>
      <c r="J90" s="36"/>
      <c r="K90" s="36"/>
      <c r="L90" s="45"/>
      <c r="M90" s="36" t="s">
        <v>521</v>
      </c>
      <c r="N90" s="40"/>
      <c r="O90" s="35"/>
      <c r="P90" s="35"/>
      <c r="Q90" s="35"/>
      <c r="R90" s="35"/>
      <c r="S90" s="42"/>
      <c r="T90" s="35" t="s">
        <v>246</v>
      </c>
      <c r="U90" s="35"/>
      <c r="V90" s="36"/>
      <c r="W90" s="36"/>
      <c r="X90" s="43"/>
      <c r="Y90" s="35"/>
      <c r="Z90" s="47"/>
      <c r="AA90" s="35" t="s">
        <v>526</v>
      </c>
    </row>
    <row r="91" customFormat="false" ht="34.5" hidden="false" customHeight="true" outlineLevel="0" collapsed="false">
      <c r="A91" s="34" t="n">
        <v>90</v>
      </c>
      <c r="B91" s="37" t="s">
        <v>233</v>
      </c>
      <c r="C91" s="45" t="s">
        <v>261</v>
      </c>
      <c r="D91" s="43" t="s">
        <v>262</v>
      </c>
      <c r="E91" s="35" t="s">
        <v>211</v>
      </c>
      <c r="F91" s="39" t="s">
        <v>697</v>
      </c>
      <c r="G91" s="43" t="s">
        <v>678</v>
      </c>
      <c r="H91" s="43" t="s">
        <v>664</v>
      </c>
      <c r="I91" s="45" t="s">
        <v>679</v>
      </c>
      <c r="J91" s="36"/>
      <c r="K91" s="36"/>
      <c r="L91" s="45"/>
      <c r="M91" s="36" t="s">
        <v>521</v>
      </c>
      <c r="N91" s="40"/>
      <c r="O91" s="35"/>
      <c r="P91" s="35"/>
      <c r="Q91" s="35"/>
      <c r="R91" s="35"/>
      <c r="S91" s="42"/>
      <c r="T91" s="35" t="s">
        <v>246</v>
      </c>
      <c r="U91" s="35"/>
      <c r="V91" s="36"/>
      <c r="W91" s="36"/>
      <c r="X91" s="43"/>
      <c r="Y91" s="35"/>
      <c r="Z91" s="47"/>
      <c r="AA91" s="35" t="s">
        <v>526</v>
      </c>
    </row>
    <row r="92" customFormat="false" ht="34.5" hidden="false" customHeight="true" outlineLevel="0" collapsed="false">
      <c r="A92" s="34" t="n">
        <v>91</v>
      </c>
      <c r="B92" s="37" t="s">
        <v>233</v>
      </c>
      <c r="C92" s="45" t="s">
        <v>261</v>
      </c>
      <c r="D92" s="43" t="s">
        <v>262</v>
      </c>
      <c r="E92" s="35" t="s">
        <v>211</v>
      </c>
      <c r="F92" s="39" t="s">
        <v>698</v>
      </c>
      <c r="G92" s="43" t="s">
        <v>670</v>
      </c>
      <c r="H92" s="43" t="s">
        <v>671</v>
      </c>
      <c r="I92" s="45" t="s">
        <v>672</v>
      </c>
      <c r="J92" s="36"/>
      <c r="K92" s="36"/>
      <c r="L92" s="45"/>
      <c r="M92" s="36" t="s">
        <v>521</v>
      </c>
      <c r="N92" s="40"/>
      <c r="O92" s="35"/>
      <c r="P92" s="35"/>
      <c r="Q92" s="35"/>
      <c r="R92" s="35"/>
      <c r="S92" s="42"/>
      <c r="T92" s="35" t="s">
        <v>665</v>
      </c>
      <c r="U92" s="35"/>
      <c r="V92" s="36"/>
      <c r="W92" s="36"/>
      <c r="X92" s="43"/>
      <c r="Y92" s="35"/>
      <c r="Z92" s="47"/>
      <c r="AA92" s="35" t="s">
        <v>526</v>
      </c>
    </row>
    <row r="93" customFormat="false" ht="34.5" hidden="false" customHeight="true" outlineLevel="0" collapsed="false">
      <c r="A93" s="34" t="n">
        <v>92</v>
      </c>
      <c r="B93" s="37" t="s">
        <v>233</v>
      </c>
      <c r="C93" s="45" t="s">
        <v>261</v>
      </c>
      <c r="D93" s="43" t="s">
        <v>262</v>
      </c>
      <c r="E93" s="35" t="s">
        <v>211</v>
      </c>
      <c r="F93" s="39" t="s">
        <v>699</v>
      </c>
      <c r="G93" s="43" t="s">
        <v>674</v>
      </c>
      <c r="H93" s="43" t="s">
        <v>671</v>
      </c>
      <c r="I93" s="45" t="s">
        <v>661</v>
      </c>
      <c r="J93" s="36"/>
      <c r="K93" s="36"/>
      <c r="L93" s="45"/>
      <c r="M93" s="36" t="s">
        <v>521</v>
      </c>
      <c r="N93" s="40"/>
      <c r="O93" s="35"/>
      <c r="P93" s="35"/>
      <c r="Q93" s="35"/>
      <c r="R93" s="35"/>
      <c r="S93" s="42"/>
      <c r="T93" s="35" t="s">
        <v>246</v>
      </c>
      <c r="U93" s="35"/>
      <c r="V93" s="36"/>
      <c r="W93" s="36"/>
      <c r="X93" s="43"/>
      <c r="Y93" s="35"/>
      <c r="Z93" s="47"/>
      <c r="AA93" s="35" t="s">
        <v>526</v>
      </c>
    </row>
    <row r="94" customFormat="false" ht="34.5" hidden="false" customHeight="true" outlineLevel="0" collapsed="false">
      <c r="A94" s="34" t="n">
        <v>93</v>
      </c>
      <c r="B94" s="37" t="s">
        <v>233</v>
      </c>
      <c r="C94" s="45" t="s">
        <v>261</v>
      </c>
      <c r="D94" s="43" t="s">
        <v>262</v>
      </c>
      <c r="E94" s="35" t="s">
        <v>211</v>
      </c>
      <c r="F94" s="39" t="s">
        <v>700</v>
      </c>
      <c r="G94" s="43" t="s">
        <v>674</v>
      </c>
      <c r="H94" s="43" t="s">
        <v>671</v>
      </c>
      <c r="I94" s="45" t="s">
        <v>661</v>
      </c>
      <c r="J94" s="36"/>
      <c r="K94" s="36"/>
      <c r="L94" s="45"/>
      <c r="M94" s="36" t="s">
        <v>521</v>
      </c>
      <c r="N94" s="40"/>
      <c r="O94" s="35"/>
      <c r="P94" s="35"/>
      <c r="Q94" s="35"/>
      <c r="R94" s="35"/>
      <c r="S94" s="42"/>
      <c r="T94" s="35" t="s">
        <v>246</v>
      </c>
      <c r="U94" s="35"/>
      <c r="V94" s="36"/>
      <c r="W94" s="36"/>
      <c r="X94" s="43"/>
      <c r="Y94" s="35"/>
      <c r="Z94" s="47"/>
      <c r="AA94" s="35" t="s">
        <v>526</v>
      </c>
    </row>
    <row r="95" customFormat="false" ht="34.5" hidden="false" customHeight="true" outlineLevel="0" collapsed="false">
      <c r="A95" s="34" t="n">
        <v>94</v>
      </c>
      <c r="B95" s="37" t="s">
        <v>233</v>
      </c>
      <c r="C95" s="45" t="s">
        <v>261</v>
      </c>
      <c r="D95" s="43" t="s">
        <v>262</v>
      </c>
      <c r="E95" s="35" t="s">
        <v>211</v>
      </c>
      <c r="F95" s="39" t="s">
        <v>701</v>
      </c>
      <c r="G95" s="43" t="s">
        <v>674</v>
      </c>
      <c r="H95" s="43" t="s">
        <v>671</v>
      </c>
      <c r="I95" s="45" t="s">
        <v>661</v>
      </c>
      <c r="J95" s="36"/>
      <c r="K95" s="36"/>
      <c r="L95" s="45"/>
      <c r="M95" s="36" t="s">
        <v>521</v>
      </c>
      <c r="N95" s="40"/>
      <c r="O95" s="35"/>
      <c r="P95" s="35"/>
      <c r="Q95" s="35"/>
      <c r="R95" s="35"/>
      <c r="S95" s="42"/>
      <c r="T95" s="35" t="s">
        <v>246</v>
      </c>
      <c r="U95" s="35"/>
      <c r="V95" s="36"/>
      <c r="W95" s="36"/>
      <c r="X95" s="43"/>
      <c r="Y95" s="35"/>
      <c r="Z95" s="47"/>
      <c r="AA95" s="35" t="s">
        <v>526</v>
      </c>
    </row>
    <row r="96" customFormat="false" ht="34.5" hidden="false" customHeight="true" outlineLevel="0" collapsed="false">
      <c r="A96" s="34" t="n">
        <v>95</v>
      </c>
      <c r="B96" s="37" t="s">
        <v>233</v>
      </c>
      <c r="C96" s="45" t="s">
        <v>261</v>
      </c>
      <c r="D96" s="43" t="s">
        <v>262</v>
      </c>
      <c r="E96" s="35" t="s">
        <v>211</v>
      </c>
      <c r="F96" s="39" t="s">
        <v>702</v>
      </c>
      <c r="G96" s="43" t="s">
        <v>678</v>
      </c>
      <c r="H96" s="43" t="s">
        <v>664</v>
      </c>
      <c r="I96" s="45" t="s">
        <v>679</v>
      </c>
      <c r="J96" s="36"/>
      <c r="K96" s="36"/>
      <c r="L96" s="45"/>
      <c r="M96" s="36" t="s">
        <v>521</v>
      </c>
      <c r="N96" s="40"/>
      <c r="O96" s="35"/>
      <c r="P96" s="35"/>
      <c r="Q96" s="35"/>
      <c r="R96" s="35"/>
      <c r="S96" s="42"/>
      <c r="T96" s="35" t="s">
        <v>246</v>
      </c>
      <c r="U96" s="35"/>
      <c r="V96" s="36"/>
      <c r="W96" s="36"/>
      <c r="X96" s="43"/>
      <c r="Y96" s="35"/>
      <c r="Z96" s="47"/>
      <c r="AA96" s="35" t="s">
        <v>526</v>
      </c>
    </row>
    <row r="97" customFormat="false" ht="34.5" hidden="false" customHeight="true" outlineLevel="0" collapsed="false">
      <c r="A97" s="34" t="n">
        <v>96</v>
      </c>
      <c r="B97" s="37" t="s">
        <v>233</v>
      </c>
      <c r="C97" s="45" t="s">
        <v>261</v>
      </c>
      <c r="D97" s="43" t="s">
        <v>262</v>
      </c>
      <c r="E97" s="35" t="s">
        <v>211</v>
      </c>
      <c r="F97" s="39" t="s">
        <v>703</v>
      </c>
      <c r="G97" s="43" t="s">
        <v>674</v>
      </c>
      <c r="H97" s="43" t="s">
        <v>671</v>
      </c>
      <c r="I97" s="45" t="s">
        <v>661</v>
      </c>
      <c r="J97" s="36"/>
      <c r="K97" s="36"/>
      <c r="L97" s="45"/>
      <c r="M97" s="36" t="s">
        <v>521</v>
      </c>
      <c r="N97" s="40"/>
      <c r="O97" s="35"/>
      <c r="P97" s="35"/>
      <c r="Q97" s="35"/>
      <c r="R97" s="35"/>
      <c r="S97" s="42"/>
      <c r="T97" s="35" t="s">
        <v>246</v>
      </c>
      <c r="U97" s="35"/>
      <c r="V97" s="36"/>
      <c r="W97" s="36"/>
      <c r="X97" s="43"/>
      <c r="Y97" s="35"/>
      <c r="Z97" s="47"/>
      <c r="AA97" s="35" t="s">
        <v>526</v>
      </c>
    </row>
    <row r="98" customFormat="false" ht="34.5" hidden="false" customHeight="true" outlineLevel="0" collapsed="false">
      <c r="A98" s="34" t="n">
        <v>97</v>
      </c>
      <c r="B98" s="37" t="s">
        <v>233</v>
      </c>
      <c r="C98" s="45" t="s">
        <v>261</v>
      </c>
      <c r="D98" s="43" t="s">
        <v>262</v>
      </c>
      <c r="E98" s="35" t="s">
        <v>211</v>
      </c>
      <c r="F98" s="39" t="s">
        <v>704</v>
      </c>
      <c r="G98" s="43" t="s">
        <v>674</v>
      </c>
      <c r="H98" s="43" t="s">
        <v>671</v>
      </c>
      <c r="I98" s="45" t="s">
        <v>661</v>
      </c>
      <c r="J98" s="36"/>
      <c r="K98" s="36"/>
      <c r="L98" s="45"/>
      <c r="M98" s="36" t="s">
        <v>521</v>
      </c>
      <c r="N98" s="40"/>
      <c r="O98" s="35"/>
      <c r="P98" s="35"/>
      <c r="Q98" s="35"/>
      <c r="R98" s="35"/>
      <c r="S98" s="42"/>
      <c r="T98" s="35" t="s">
        <v>246</v>
      </c>
      <c r="U98" s="35"/>
      <c r="V98" s="36"/>
      <c r="W98" s="36"/>
      <c r="X98" s="43"/>
      <c r="Y98" s="35"/>
      <c r="Z98" s="47"/>
      <c r="AA98" s="35" t="s">
        <v>526</v>
      </c>
    </row>
    <row r="99" customFormat="false" ht="34.5" hidden="false" customHeight="true" outlineLevel="0" collapsed="false">
      <c r="A99" s="34" t="n">
        <v>98</v>
      </c>
      <c r="B99" s="37" t="s">
        <v>233</v>
      </c>
      <c r="C99" s="45" t="s">
        <v>261</v>
      </c>
      <c r="D99" s="43" t="s">
        <v>262</v>
      </c>
      <c r="E99" s="35" t="s">
        <v>211</v>
      </c>
      <c r="F99" s="39" t="s">
        <v>705</v>
      </c>
      <c r="G99" s="43" t="s">
        <v>674</v>
      </c>
      <c r="H99" s="43" t="s">
        <v>671</v>
      </c>
      <c r="I99" s="45" t="s">
        <v>661</v>
      </c>
      <c r="J99" s="36"/>
      <c r="K99" s="36"/>
      <c r="L99" s="45"/>
      <c r="M99" s="36" t="s">
        <v>521</v>
      </c>
      <c r="N99" s="40"/>
      <c r="O99" s="35"/>
      <c r="P99" s="35"/>
      <c r="Q99" s="35"/>
      <c r="R99" s="35"/>
      <c r="S99" s="42"/>
      <c r="T99" s="35" t="s">
        <v>246</v>
      </c>
      <c r="U99" s="35"/>
      <c r="V99" s="36"/>
      <c r="W99" s="36"/>
      <c r="X99" s="43"/>
      <c r="Y99" s="35"/>
      <c r="Z99" s="47"/>
      <c r="AA99" s="35" t="s">
        <v>526</v>
      </c>
    </row>
    <row r="100" customFormat="false" ht="34.5" hidden="false" customHeight="true" outlineLevel="0" collapsed="false">
      <c r="A100" s="34" t="n">
        <v>99</v>
      </c>
      <c r="B100" s="37" t="s">
        <v>233</v>
      </c>
      <c r="C100" s="45" t="s">
        <v>261</v>
      </c>
      <c r="D100" s="43" t="s">
        <v>262</v>
      </c>
      <c r="E100" s="35" t="s">
        <v>211</v>
      </c>
      <c r="F100" s="39" t="s">
        <v>706</v>
      </c>
      <c r="G100" s="43" t="s">
        <v>707</v>
      </c>
      <c r="H100" s="43" t="s">
        <v>708</v>
      </c>
      <c r="I100" s="45" t="s">
        <v>709</v>
      </c>
      <c r="J100" s="36"/>
      <c r="K100" s="36"/>
      <c r="L100" s="45"/>
      <c r="M100" s="36" t="s">
        <v>521</v>
      </c>
      <c r="N100" s="40"/>
      <c r="O100" s="35"/>
      <c r="P100" s="35"/>
      <c r="Q100" s="35"/>
      <c r="R100" s="35"/>
      <c r="S100" s="42"/>
      <c r="T100" s="35" t="s">
        <v>246</v>
      </c>
      <c r="U100" s="35"/>
      <c r="V100" s="36"/>
      <c r="W100" s="36"/>
      <c r="X100" s="43"/>
      <c r="Y100" s="35"/>
      <c r="Z100" s="47"/>
      <c r="AA100" s="35" t="s">
        <v>526</v>
      </c>
    </row>
    <row r="101" customFormat="false" ht="34.5" hidden="false" customHeight="true" outlineLevel="0" collapsed="false">
      <c r="A101" s="34" t="n">
        <v>100</v>
      </c>
      <c r="B101" s="37" t="s">
        <v>233</v>
      </c>
      <c r="C101" s="45" t="s">
        <v>261</v>
      </c>
      <c r="D101" s="43" t="s">
        <v>262</v>
      </c>
      <c r="E101" s="35" t="s">
        <v>211</v>
      </c>
      <c r="F101" s="39" t="s">
        <v>710</v>
      </c>
      <c r="G101" s="43" t="s">
        <v>687</v>
      </c>
      <c r="H101" s="43" t="s">
        <v>260</v>
      </c>
      <c r="I101" s="45" t="s">
        <v>688</v>
      </c>
      <c r="J101" s="36"/>
      <c r="K101" s="36"/>
      <c r="L101" s="45"/>
      <c r="M101" s="36" t="s">
        <v>521</v>
      </c>
      <c r="N101" s="40"/>
      <c r="O101" s="35"/>
      <c r="P101" s="35"/>
      <c r="Q101" s="35"/>
      <c r="R101" s="35"/>
      <c r="S101" s="42"/>
      <c r="T101" s="35" t="s">
        <v>90</v>
      </c>
      <c r="U101" s="35"/>
      <c r="V101" s="36"/>
      <c r="W101" s="36"/>
      <c r="X101" s="43"/>
      <c r="Y101" s="35"/>
      <c r="Z101" s="47"/>
      <c r="AA101" s="35" t="s">
        <v>526</v>
      </c>
    </row>
    <row r="102" customFormat="false" ht="34.5" hidden="false" customHeight="true" outlineLevel="0" collapsed="false">
      <c r="A102" s="34" t="n">
        <v>101</v>
      </c>
      <c r="B102" s="37" t="s">
        <v>233</v>
      </c>
      <c r="C102" s="45" t="s">
        <v>261</v>
      </c>
      <c r="D102" s="43" t="s">
        <v>262</v>
      </c>
      <c r="E102" s="35" t="s">
        <v>211</v>
      </c>
      <c r="F102" s="39" t="s">
        <v>711</v>
      </c>
      <c r="G102" s="43" t="s">
        <v>712</v>
      </c>
      <c r="H102" s="43" t="s">
        <v>664</v>
      </c>
      <c r="I102" s="45" t="s">
        <v>576</v>
      </c>
      <c r="J102" s="36"/>
      <c r="K102" s="36"/>
      <c r="L102" s="45"/>
      <c r="M102" s="36" t="s">
        <v>521</v>
      </c>
      <c r="N102" s="40"/>
      <c r="O102" s="35"/>
      <c r="P102" s="35"/>
      <c r="Q102" s="35"/>
      <c r="R102" s="35"/>
      <c r="S102" s="42"/>
      <c r="T102" s="35" t="s">
        <v>98</v>
      </c>
      <c r="U102" s="35"/>
      <c r="V102" s="36"/>
      <c r="W102" s="36"/>
      <c r="X102" s="43"/>
      <c r="Y102" s="35"/>
      <c r="Z102" s="47"/>
      <c r="AA102" s="35" t="s">
        <v>526</v>
      </c>
    </row>
    <row r="103" customFormat="false" ht="34.5" hidden="false" customHeight="true" outlineLevel="0" collapsed="false">
      <c r="A103" s="34" t="n">
        <v>102</v>
      </c>
      <c r="B103" s="37" t="s">
        <v>233</v>
      </c>
      <c r="C103" s="45" t="s">
        <v>261</v>
      </c>
      <c r="D103" s="43" t="s">
        <v>262</v>
      </c>
      <c r="E103" s="35" t="s">
        <v>211</v>
      </c>
      <c r="F103" s="39" t="s">
        <v>713</v>
      </c>
      <c r="G103" s="43" t="s">
        <v>678</v>
      </c>
      <c r="H103" s="43" t="s">
        <v>664</v>
      </c>
      <c r="I103" s="45" t="s">
        <v>679</v>
      </c>
      <c r="J103" s="36"/>
      <c r="K103" s="36"/>
      <c r="L103" s="45"/>
      <c r="M103" s="36" t="s">
        <v>521</v>
      </c>
      <c r="N103" s="40"/>
      <c r="O103" s="35"/>
      <c r="P103" s="35"/>
      <c r="Q103" s="35"/>
      <c r="R103" s="35"/>
      <c r="S103" s="42"/>
      <c r="T103" s="35" t="s">
        <v>246</v>
      </c>
      <c r="U103" s="35"/>
      <c r="V103" s="36"/>
      <c r="W103" s="36"/>
      <c r="X103" s="43"/>
      <c r="Y103" s="35"/>
      <c r="Z103" s="47"/>
      <c r="AA103" s="35" t="s">
        <v>526</v>
      </c>
    </row>
    <row r="104" customFormat="false" ht="34.5" hidden="false" customHeight="true" outlineLevel="0" collapsed="false">
      <c r="A104" s="34" t="n">
        <v>103</v>
      </c>
      <c r="B104" s="37" t="s">
        <v>233</v>
      </c>
      <c r="C104" s="45" t="s">
        <v>261</v>
      </c>
      <c r="D104" s="43" t="s">
        <v>262</v>
      </c>
      <c r="E104" s="35" t="s">
        <v>211</v>
      </c>
      <c r="F104" s="39" t="s">
        <v>714</v>
      </c>
      <c r="G104" s="43" t="s">
        <v>663</v>
      </c>
      <c r="H104" s="43" t="s">
        <v>664</v>
      </c>
      <c r="I104" s="45" t="s">
        <v>576</v>
      </c>
      <c r="J104" s="36"/>
      <c r="K104" s="36"/>
      <c r="L104" s="45"/>
      <c r="M104" s="36" t="s">
        <v>521</v>
      </c>
      <c r="N104" s="40"/>
      <c r="O104" s="35"/>
      <c r="P104" s="35"/>
      <c r="Q104" s="35"/>
      <c r="R104" s="35"/>
      <c r="S104" s="42"/>
      <c r="T104" s="35" t="s">
        <v>665</v>
      </c>
      <c r="U104" s="35"/>
      <c r="V104" s="36"/>
      <c r="W104" s="36"/>
      <c r="X104" s="43"/>
      <c r="Y104" s="35"/>
      <c r="Z104" s="47"/>
      <c r="AA104" s="35" t="s">
        <v>526</v>
      </c>
    </row>
    <row r="105" customFormat="false" ht="34.5" hidden="false" customHeight="true" outlineLevel="0" collapsed="false">
      <c r="A105" s="34" t="n">
        <v>104</v>
      </c>
      <c r="B105" s="37" t="s">
        <v>233</v>
      </c>
      <c r="C105" s="45" t="s">
        <v>261</v>
      </c>
      <c r="D105" s="43" t="s">
        <v>262</v>
      </c>
      <c r="E105" s="35" t="s">
        <v>211</v>
      </c>
      <c r="F105" s="39" t="s">
        <v>715</v>
      </c>
      <c r="G105" s="43" t="s">
        <v>670</v>
      </c>
      <c r="H105" s="43" t="s">
        <v>671</v>
      </c>
      <c r="I105" s="45" t="s">
        <v>672</v>
      </c>
      <c r="J105" s="36"/>
      <c r="K105" s="36"/>
      <c r="L105" s="45"/>
      <c r="M105" s="36" t="s">
        <v>521</v>
      </c>
      <c r="N105" s="40"/>
      <c r="O105" s="35"/>
      <c r="P105" s="35"/>
      <c r="Q105" s="35"/>
      <c r="R105" s="35"/>
      <c r="S105" s="42"/>
      <c r="T105" s="35" t="s">
        <v>665</v>
      </c>
      <c r="U105" s="35"/>
      <c r="V105" s="36"/>
      <c r="W105" s="36"/>
      <c r="X105" s="43"/>
      <c r="Y105" s="35"/>
      <c r="Z105" s="47"/>
      <c r="AA105" s="35" t="s">
        <v>526</v>
      </c>
    </row>
    <row r="106" customFormat="false" ht="34.5" hidden="false" customHeight="true" outlineLevel="0" collapsed="false">
      <c r="A106" s="34" t="n">
        <v>105</v>
      </c>
      <c r="B106" s="37" t="s">
        <v>233</v>
      </c>
      <c r="C106" s="45" t="s">
        <v>261</v>
      </c>
      <c r="D106" s="43" t="s">
        <v>262</v>
      </c>
      <c r="E106" s="35" t="s">
        <v>211</v>
      </c>
      <c r="F106" s="39" t="s">
        <v>716</v>
      </c>
      <c r="G106" s="43" t="s">
        <v>670</v>
      </c>
      <c r="H106" s="43" t="s">
        <v>671</v>
      </c>
      <c r="I106" s="45" t="s">
        <v>672</v>
      </c>
      <c r="J106" s="36"/>
      <c r="K106" s="36"/>
      <c r="L106" s="45"/>
      <c r="M106" s="36" t="s">
        <v>521</v>
      </c>
      <c r="N106" s="40"/>
      <c r="O106" s="35"/>
      <c r="P106" s="35"/>
      <c r="Q106" s="35"/>
      <c r="R106" s="35"/>
      <c r="S106" s="42"/>
      <c r="T106" s="35" t="s">
        <v>665</v>
      </c>
      <c r="U106" s="35"/>
      <c r="V106" s="36"/>
      <c r="W106" s="36"/>
      <c r="X106" s="43"/>
      <c r="Y106" s="35"/>
      <c r="Z106" s="47"/>
      <c r="AA106" s="35" t="s">
        <v>526</v>
      </c>
    </row>
    <row r="107" customFormat="false" ht="34.5" hidden="false" customHeight="true" outlineLevel="0" collapsed="false">
      <c r="A107" s="34" t="n">
        <v>106</v>
      </c>
      <c r="B107" s="37" t="s">
        <v>233</v>
      </c>
      <c r="C107" s="45" t="s">
        <v>261</v>
      </c>
      <c r="D107" s="43" t="s">
        <v>262</v>
      </c>
      <c r="E107" s="35" t="s">
        <v>211</v>
      </c>
      <c r="F107" s="39" t="s">
        <v>717</v>
      </c>
      <c r="G107" s="43" t="s">
        <v>670</v>
      </c>
      <c r="H107" s="43" t="s">
        <v>671</v>
      </c>
      <c r="I107" s="45" t="s">
        <v>672</v>
      </c>
      <c r="J107" s="36"/>
      <c r="K107" s="36"/>
      <c r="L107" s="45"/>
      <c r="M107" s="36" t="s">
        <v>521</v>
      </c>
      <c r="N107" s="40"/>
      <c r="O107" s="35"/>
      <c r="P107" s="35"/>
      <c r="Q107" s="35"/>
      <c r="R107" s="35"/>
      <c r="S107" s="42"/>
      <c r="T107" s="35" t="s">
        <v>665</v>
      </c>
      <c r="U107" s="35"/>
      <c r="V107" s="36"/>
      <c r="W107" s="36"/>
      <c r="X107" s="43"/>
      <c r="Y107" s="35"/>
      <c r="Z107" s="47"/>
      <c r="AA107" s="35" t="s">
        <v>526</v>
      </c>
    </row>
    <row r="108" customFormat="false" ht="34.5" hidden="false" customHeight="true" outlineLevel="0" collapsed="false">
      <c r="A108" s="34" t="n">
        <v>107</v>
      </c>
      <c r="B108" s="37" t="s">
        <v>233</v>
      </c>
      <c r="C108" s="45" t="s">
        <v>261</v>
      </c>
      <c r="D108" s="43" t="s">
        <v>262</v>
      </c>
      <c r="E108" s="35" t="s">
        <v>211</v>
      </c>
      <c r="F108" s="39" t="s">
        <v>718</v>
      </c>
      <c r="G108" s="43" t="s">
        <v>663</v>
      </c>
      <c r="H108" s="43" t="s">
        <v>664</v>
      </c>
      <c r="I108" s="45" t="s">
        <v>576</v>
      </c>
      <c r="J108" s="36"/>
      <c r="K108" s="36"/>
      <c r="L108" s="45"/>
      <c r="M108" s="36" t="s">
        <v>521</v>
      </c>
      <c r="N108" s="40"/>
      <c r="O108" s="35"/>
      <c r="P108" s="35"/>
      <c r="Q108" s="35"/>
      <c r="R108" s="35"/>
      <c r="S108" s="42"/>
      <c r="T108" s="35" t="s">
        <v>665</v>
      </c>
      <c r="U108" s="35"/>
      <c r="V108" s="36"/>
      <c r="W108" s="36"/>
      <c r="X108" s="43"/>
      <c r="Y108" s="35"/>
      <c r="Z108" s="47"/>
      <c r="AA108" s="35" t="s">
        <v>526</v>
      </c>
    </row>
    <row r="109" customFormat="false" ht="34.5" hidden="false" customHeight="true" outlineLevel="0" collapsed="false">
      <c r="A109" s="34" t="n">
        <v>108</v>
      </c>
      <c r="B109" s="37" t="s">
        <v>233</v>
      </c>
      <c r="C109" s="45" t="s">
        <v>261</v>
      </c>
      <c r="D109" s="43" t="s">
        <v>262</v>
      </c>
      <c r="E109" s="35" t="s">
        <v>211</v>
      </c>
      <c r="F109" s="39" t="s">
        <v>719</v>
      </c>
      <c r="G109" s="43" t="s">
        <v>660</v>
      </c>
      <c r="H109" s="43" t="s">
        <v>260</v>
      </c>
      <c r="I109" s="45" t="s">
        <v>661</v>
      </c>
      <c r="J109" s="36"/>
      <c r="K109" s="36"/>
      <c r="L109" s="45"/>
      <c r="M109" s="36" t="s">
        <v>521</v>
      </c>
      <c r="N109" s="40"/>
      <c r="O109" s="35"/>
      <c r="P109" s="35"/>
      <c r="Q109" s="35"/>
      <c r="R109" s="35"/>
      <c r="S109" s="42"/>
      <c r="T109" s="35" t="s">
        <v>246</v>
      </c>
      <c r="U109" s="35"/>
      <c r="V109" s="36"/>
      <c r="W109" s="36"/>
      <c r="X109" s="43"/>
      <c r="Y109" s="35"/>
      <c r="Z109" s="47"/>
      <c r="AA109" s="35" t="s">
        <v>526</v>
      </c>
    </row>
    <row r="110" customFormat="false" ht="34.5" hidden="false" customHeight="true" outlineLevel="0" collapsed="false">
      <c r="A110" s="34" t="n">
        <v>109</v>
      </c>
      <c r="B110" s="37" t="s">
        <v>233</v>
      </c>
      <c r="C110" s="45" t="s">
        <v>261</v>
      </c>
      <c r="D110" s="43" t="s">
        <v>262</v>
      </c>
      <c r="E110" s="35" t="s">
        <v>211</v>
      </c>
      <c r="F110" s="39" t="s">
        <v>720</v>
      </c>
      <c r="G110" s="43" t="s">
        <v>687</v>
      </c>
      <c r="H110" s="43" t="s">
        <v>260</v>
      </c>
      <c r="I110" s="45" t="s">
        <v>688</v>
      </c>
      <c r="J110" s="36"/>
      <c r="K110" s="36"/>
      <c r="L110" s="45"/>
      <c r="M110" s="36" t="s">
        <v>521</v>
      </c>
      <c r="N110" s="40"/>
      <c r="O110" s="35"/>
      <c r="P110" s="35"/>
      <c r="Q110" s="35"/>
      <c r="R110" s="35"/>
      <c r="S110" s="42"/>
      <c r="T110" s="35" t="s">
        <v>90</v>
      </c>
      <c r="U110" s="35"/>
      <c r="V110" s="36"/>
      <c r="W110" s="36"/>
      <c r="X110" s="43"/>
      <c r="Y110" s="35"/>
      <c r="Z110" s="47"/>
      <c r="AA110" s="35" t="s">
        <v>526</v>
      </c>
    </row>
    <row r="111" customFormat="false" ht="34.5" hidden="false" customHeight="true" outlineLevel="0" collapsed="false">
      <c r="A111" s="34" t="n">
        <v>110</v>
      </c>
      <c r="B111" s="37" t="s">
        <v>233</v>
      </c>
      <c r="C111" s="45" t="s">
        <v>261</v>
      </c>
      <c r="D111" s="43" t="s">
        <v>262</v>
      </c>
      <c r="E111" s="35" t="s">
        <v>211</v>
      </c>
      <c r="F111" s="39" t="s">
        <v>721</v>
      </c>
      <c r="G111" s="43" t="s">
        <v>670</v>
      </c>
      <c r="H111" s="43" t="s">
        <v>671</v>
      </c>
      <c r="I111" s="45" t="s">
        <v>672</v>
      </c>
      <c r="J111" s="36"/>
      <c r="K111" s="36"/>
      <c r="L111" s="45"/>
      <c r="M111" s="36" t="s">
        <v>521</v>
      </c>
      <c r="N111" s="40"/>
      <c r="O111" s="35"/>
      <c r="P111" s="35"/>
      <c r="Q111" s="35"/>
      <c r="R111" s="35"/>
      <c r="S111" s="42"/>
      <c r="T111" s="35" t="s">
        <v>665</v>
      </c>
      <c r="U111" s="35"/>
      <c r="V111" s="36"/>
      <c r="W111" s="36"/>
      <c r="X111" s="43"/>
      <c r="Y111" s="35"/>
      <c r="Z111" s="47"/>
      <c r="AA111" s="35" t="s">
        <v>526</v>
      </c>
    </row>
    <row r="112" customFormat="false" ht="34.5" hidden="false" customHeight="true" outlineLevel="0" collapsed="false">
      <c r="A112" s="34" t="n">
        <v>111</v>
      </c>
      <c r="B112" s="37" t="s">
        <v>233</v>
      </c>
      <c r="C112" s="45" t="s">
        <v>261</v>
      </c>
      <c r="D112" s="43" t="s">
        <v>262</v>
      </c>
      <c r="E112" s="35" t="s">
        <v>211</v>
      </c>
      <c r="F112" s="39" t="s">
        <v>722</v>
      </c>
      <c r="G112" s="43" t="s">
        <v>674</v>
      </c>
      <c r="H112" s="43" t="s">
        <v>671</v>
      </c>
      <c r="I112" s="45" t="s">
        <v>661</v>
      </c>
      <c r="J112" s="36"/>
      <c r="K112" s="36"/>
      <c r="L112" s="45"/>
      <c r="M112" s="36" t="s">
        <v>521</v>
      </c>
      <c r="N112" s="40"/>
      <c r="O112" s="35"/>
      <c r="P112" s="35"/>
      <c r="Q112" s="35"/>
      <c r="R112" s="35"/>
      <c r="S112" s="42"/>
      <c r="T112" s="35" t="s">
        <v>246</v>
      </c>
      <c r="U112" s="35"/>
      <c r="V112" s="36"/>
      <c r="W112" s="36"/>
      <c r="X112" s="43"/>
      <c r="Y112" s="35"/>
      <c r="Z112" s="47"/>
      <c r="AA112" s="35" t="s">
        <v>526</v>
      </c>
    </row>
    <row r="113" customFormat="false" ht="34.5" hidden="false" customHeight="true" outlineLevel="0" collapsed="false">
      <c r="A113" s="34" t="n">
        <v>112</v>
      </c>
      <c r="B113" s="37" t="s">
        <v>233</v>
      </c>
      <c r="C113" s="45" t="s">
        <v>261</v>
      </c>
      <c r="D113" s="43" t="s">
        <v>262</v>
      </c>
      <c r="E113" s="35" t="s">
        <v>211</v>
      </c>
      <c r="F113" s="39" t="s">
        <v>723</v>
      </c>
      <c r="G113" s="43" t="s">
        <v>712</v>
      </c>
      <c r="H113" s="43" t="s">
        <v>664</v>
      </c>
      <c r="I113" s="45" t="s">
        <v>576</v>
      </c>
      <c r="J113" s="36"/>
      <c r="K113" s="36"/>
      <c r="L113" s="45"/>
      <c r="M113" s="36" t="s">
        <v>521</v>
      </c>
      <c r="N113" s="40"/>
      <c r="O113" s="35"/>
      <c r="P113" s="35"/>
      <c r="Q113" s="35"/>
      <c r="R113" s="35"/>
      <c r="S113" s="42"/>
      <c r="T113" s="35" t="s">
        <v>98</v>
      </c>
      <c r="U113" s="35"/>
      <c r="V113" s="36"/>
      <c r="W113" s="36"/>
      <c r="X113" s="43"/>
      <c r="Y113" s="35"/>
      <c r="Z113" s="47"/>
      <c r="AA113" s="35" t="s">
        <v>526</v>
      </c>
    </row>
    <row r="114" customFormat="false" ht="34.5" hidden="false" customHeight="true" outlineLevel="0" collapsed="false">
      <c r="A114" s="34" t="n">
        <v>113</v>
      </c>
      <c r="B114" s="37" t="s">
        <v>233</v>
      </c>
      <c r="C114" s="45" t="s">
        <v>261</v>
      </c>
      <c r="D114" s="43" t="s">
        <v>262</v>
      </c>
      <c r="E114" s="35" t="s">
        <v>211</v>
      </c>
      <c r="F114" s="39" t="s">
        <v>487</v>
      </c>
      <c r="G114" s="43" t="s">
        <v>660</v>
      </c>
      <c r="H114" s="43" t="s">
        <v>260</v>
      </c>
      <c r="I114" s="45" t="s">
        <v>661</v>
      </c>
      <c r="J114" s="36"/>
      <c r="K114" s="36"/>
      <c r="L114" s="45"/>
      <c r="M114" s="36" t="s">
        <v>521</v>
      </c>
      <c r="N114" s="40"/>
      <c r="O114" s="35"/>
      <c r="P114" s="35"/>
      <c r="Q114" s="35"/>
      <c r="R114" s="35"/>
      <c r="S114" s="42"/>
      <c r="T114" s="35" t="s">
        <v>246</v>
      </c>
      <c r="U114" s="35"/>
      <c r="V114" s="36"/>
      <c r="W114" s="36"/>
      <c r="X114" s="43"/>
      <c r="Y114" s="35"/>
      <c r="Z114" s="47"/>
      <c r="AA114" s="35" t="s">
        <v>526</v>
      </c>
    </row>
    <row r="115" customFormat="false" ht="34.5" hidden="false" customHeight="true" outlineLevel="0" collapsed="false">
      <c r="A115" s="34" t="n">
        <v>114</v>
      </c>
      <c r="B115" s="37" t="s">
        <v>233</v>
      </c>
      <c r="C115" s="45" t="s">
        <v>261</v>
      </c>
      <c r="D115" s="43" t="s">
        <v>262</v>
      </c>
      <c r="E115" s="35" t="s">
        <v>211</v>
      </c>
      <c r="F115" s="39" t="s">
        <v>724</v>
      </c>
      <c r="G115" s="43" t="s">
        <v>712</v>
      </c>
      <c r="H115" s="43" t="s">
        <v>664</v>
      </c>
      <c r="I115" s="45" t="s">
        <v>576</v>
      </c>
      <c r="J115" s="36"/>
      <c r="K115" s="36"/>
      <c r="L115" s="45"/>
      <c r="M115" s="36" t="s">
        <v>521</v>
      </c>
      <c r="N115" s="40"/>
      <c r="O115" s="35"/>
      <c r="P115" s="35"/>
      <c r="Q115" s="35"/>
      <c r="R115" s="35"/>
      <c r="S115" s="42"/>
      <c r="T115" s="35" t="s">
        <v>98</v>
      </c>
      <c r="U115" s="35"/>
      <c r="V115" s="36"/>
      <c r="W115" s="36"/>
      <c r="X115" s="43"/>
      <c r="Y115" s="35"/>
      <c r="Z115" s="47"/>
      <c r="AA115" s="35" t="s">
        <v>526</v>
      </c>
    </row>
    <row r="116" customFormat="false" ht="34.5" hidden="false" customHeight="true" outlineLevel="0" collapsed="false">
      <c r="A116" s="34" t="n">
        <v>115</v>
      </c>
      <c r="B116" s="37" t="s">
        <v>233</v>
      </c>
      <c r="C116" s="45" t="s">
        <v>261</v>
      </c>
      <c r="D116" s="43" t="s">
        <v>262</v>
      </c>
      <c r="E116" s="35" t="s">
        <v>211</v>
      </c>
      <c r="F116" s="39" t="s">
        <v>725</v>
      </c>
      <c r="G116" s="43" t="s">
        <v>712</v>
      </c>
      <c r="H116" s="43" t="s">
        <v>664</v>
      </c>
      <c r="I116" s="45" t="s">
        <v>576</v>
      </c>
      <c r="J116" s="36"/>
      <c r="K116" s="36"/>
      <c r="L116" s="45"/>
      <c r="M116" s="36" t="s">
        <v>521</v>
      </c>
      <c r="N116" s="40"/>
      <c r="O116" s="35"/>
      <c r="P116" s="35"/>
      <c r="Q116" s="35"/>
      <c r="R116" s="35"/>
      <c r="S116" s="42"/>
      <c r="T116" s="35" t="s">
        <v>98</v>
      </c>
      <c r="U116" s="35"/>
      <c r="V116" s="36"/>
      <c r="W116" s="36"/>
      <c r="X116" s="43"/>
      <c r="Y116" s="35"/>
      <c r="Z116" s="47"/>
      <c r="AA116" s="35" t="s">
        <v>526</v>
      </c>
    </row>
    <row r="117" customFormat="false" ht="34.5" hidden="false" customHeight="true" outlineLevel="0" collapsed="false">
      <c r="A117" s="34" t="n">
        <v>116</v>
      </c>
      <c r="B117" s="37" t="s">
        <v>233</v>
      </c>
      <c r="C117" s="45" t="s">
        <v>261</v>
      </c>
      <c r="D117" s="43" t="s">
        <v>262</v>
      </c>
      <c r="E117" s="35" t="s">
        <v>211</v>
      </c>
      <c r="F117" s="39" t="s">
        <v>726</v>
      </c>
      <c r="G117" s="43" t="s">
        <v>660</v>
      </c>
      <c r="H117" s="43" t="s">
        <v>260</v>
      </c>
      <c r="I117" s="45" t="s">
        <v>661</v>
      </c>
      <c r="J117" s="36"/>
      <c r="K117" s="36"/>
      <c r="L117" s="45"/>
      <c r="M117" s="36" t="s">
        <v>521</v>
      </c>
      <c r="N117" s="40"/>
      <c r="O117" s="35"/>
      <c r="P117" s="35"/>
      <c r="Q117" s="35"/>
      <c r="R117" s="35"/>
      <c r="S117" s="42"/>
      <c r="T117" s="35" t="s">
        <v>246</v>
      </c>
      <c r="U117" s="35"/>
      <c r="V117" s="36"/>
      <c r="W117" s="36"/>
      <c r="X117" s="43"/>
      <c r="Y117" s="35"/>
      <c r="Z117" s="47"/>
      <c r="AA117" s="35" t="s">
        <v>526</v>
      </c>
    </row>
    <row r="118" customFormat="false" ht="34.5" hidden="false" customHeight="true" outlineLevel="0" collapsed="false">
      <c r="A118" s="34" t="n">
        <v>117</v>
      </c>
      <c r="B118" s="37" t="s">
        <v>233</v>
      </c>
      <c r="C118" s="45" t="s">
        <v>238</v>
      </c>
      <c r="D118" s="43" t="s">
        <v>239</v>
      </c>
      <c r="E118" s="35" t="s">
        <v>211</v>
      </c>
      <c r="F118" s="39" t="s">
        <v>234</v>
      </c>
      <c r="G118" s="43" t="s">
        <v>727</v>
      </c>
      <c r="H118" s="43" t="s">
        <v>237</v>
      </c>
      <c r="I118" s="45" t="s">
        <v>688</v>
      </c>
      <c r="J118" s="36" t="s">
        <v>80</v>
      </c>
      <c r="K118" s="36"/>
      <c r="L118" s="45" t="s">
        <v>527</v>
      </c>
      <c r="M118" s="36" t="s">
        <v>521</v>
      </c>
      <c r="N118" s="40"/>
      <c r="O118" s="35"/>
      <c r="P118" s="35"/>
      <c r="Q118" s="35"/>
      <c r="R118" s="35"/>
      <c r="S118" s="42"/>
      <c r="T118" s="35" t="s">
        <v>98</v>
      </c>
      <c r="U118" s="35"/>
      <c r="V118" s="36"/>
      <c r="W118" s="36"/>
      <c r="X118" s="43"/>
      <c r="Y118" s="35"/>
      <c r="Z118" s="47"/>
      <c r="AA118" s="35" t="s">
        <v>578</v>
      </c>
    </row>
    <row r="119" customFormat="false" ht="34.5" hidden="false" customHeight="true" outlineLevel="0" collapsed="false">
      <c r="A119" s="34" t="n">
        <v>118</v>
      </c>
      <c r="B119" s="37" t="s">
        <v>233</v>
      </c>
      <c r="C119" s="45" t="s">
        <v>238</v>
      </c>
      <c r="D119" s="43" t="s">
        <v>239</v>
      </c>
      <c r="E119" s="35" t="s">
        <v>211</v>
      </c>
      <c r="F119" s="39" t="s">
        <v>728</v>
      </c>
      <c r="G119" s="43" t="s">
        <v>727</v>
      </c>
      <c r="H119" s="43" t="s">
        <v>237</v>
      </c>
      <c r="I119" s="45" t="s">
        <v>688</v>
      </c>
      <c r="J119" s="36" t="s">
        <v>80</v>
      </c>
      <c r="K119" s="36"/>
      <c r="L119" s="45"/>
      <c r="M119" s="36" t="s">
        <v>521</v>
      </c>
      <c r="N119" s="40"/>
      <c r="O119" s="35"/>
      <c r="P119" s="35"/>
      <c r="Q119" s="35"/>
      <c r="R119" s="35"/>
      <c r="S119" s="42"/>
      <c r="T119" s="35" t="s">
        <v>98</v>
      </c>
      <c r="U119" s="35"/>
      <c r="V119" s="36"/>
      <c r="W119" s="36"/>
      <c r="X119" s="43"/>
      <c r="Y119" s="35"/>
      <c r="Z119" s="47"/>
      <c r="AA119" s="35" t="s">
        <v>578</v>
      </c>
    </row>
    <row r="120" customFormat="false" ht="34.5" hidden="false" customHeight="true" outlineLevel="0" collapsed="false">
      <c r="A120" s="34" t="n">
        <v>119</v>
      </c>
      <c r="B120" s="37" t="s">
        <v>233</v>
      </c>
      <c r="C120" s="45" t="s">
        <v>238</v>
      </c>
      <c r="D120" s="43" t="s">
        <v>239</v>
      </c>
      <c r="E120" s="35" t="s">
        <v>211</v>
      </c>
      <c r="F120" s="39" t="s">
        <v>729</v>
      </c>
      <c r="G120" s="43" t="s">
        <v>727</v>
      </c>
      <c r="H120" s="43" t="s">
        <v>237</v>
      </c>
      <c r="I120" s="45" t="s">
        <v>688</v>
      </c>
      <c r="J120" s="36"/>
      <c r="K120" s="36"/>
      <c r="L120" s="45"/>
      <c r="M120" s="36" t="s">
        <v>521</v>
      </c>
      <c r="N120" s="40"/>
      <c r="O120" s="35"/>
      <c r="P120" s="35"/>
      <c r="Q120" s="35"/>
      <c r="R120" s="35"/>
      <c r="S120" s="42"/>
      <c r="T120" s="35" t="s">
        <v>98</v>
      </c>
      <c r="U120" s="35"/>
      <c r="V120" s="36"/>
      <c r="W120" s="36"/>
      <c r="X120" s="43"/>
      <c r="Y120" s="35"/>
      <c r="Z120" s="47"/>
      <c r="AA120" s="35" t="s">
        <v>526</v>
      </c>
    </row>
    <row r="121" customFormat="false" ht="34.5" hidden="false" customHeight="true" outlineLevel="0" collapsed="false">
      <c r="A121" s="34" t="n">
        <v>120</v>
      </c>
      <c r="B121" s="37" t="s">
        <v>233</v>
      </c>
      <c r="C121" s="45" t="s">
        <v>238</v>
      </c>
      <c r="D121" s="43" t="s">
        <v>239</v>
      </c>
      <c r="E121" s="35" t="s">
        <v>211</v>
      </c>
      <c r="F121" s="39" t="s">
        <v>730</v>
      </c>
      <c r="G121" s="43" t="s">
        <v>727</v>
      </c>
      <c r="H121" s="43" t="s">
        <v>237</v>
      </c>
      <c r="I121" s="45" t="s">
        <v>688</v>
      </c>
      <c r="J121" s="36"/>
      <c r="K121" s="36"/>
      <c r="L121" s="45"/>
      <c r="M121" s="36" t="s">
        <v>521</v>
      </c>
      <c r="N121" s="40"/>
      <c r="O121" s="35"/>
      <c r="P121" s="35"/>
      <c r="Q121" s="35"/>
      <c r="R121" s="35"/>
      <c r="S121" s="42"/>
      <c r="T121" s="35" t="s">
        <v>98</v>
      </c>
      <c r="U121" s="35"/>
      <c r="V121" s="36"/>
      <c r="W121" s="36"/>
      <c r="X121" s="43"/>
      <c r="Y121" s="35"/>
      <c r="Z121" s="47"/>
      <c r="AA121" s="35" t="s">
        <v>526</v>
      </c>
    </row>
    <row r="122" customFormat="false" ht="34.5" hidden="false" customHeight="true" outlineLevel="0" collapsed="false">
      <c r="A122" s="34" t="n">
        <v>121</v>
      </c>
      <c r="B122" s="37" t="s">
        <v>233</v>
      </c>
      <c r="C122" s="45" t="s">
        <v>238</v>
      </c>
      <c r="D122" s="43" t="s">
        <v>239</v>
      </c>
      <c r="E122" s="35" t="s">
        <v>211</v>
      </c>
      <c r="F122" s="39" t="s">
        <v>731</v>
      </c>
      <c r="G122" s="43" t="s">
        <v>727</v>
      </c>
      <c r="H122" s="43" t="s">
        <v>237</v>
      </c>
      <c r="I122" s="45" t="s">
        <v>688</v>
      </c>
      <c r="J122" s="36"/>
      <c r="K122" s="36"/>
      <c r="L122" s="45"/>
      <c r="M122" s="36" t="s">
        <v>521</v>
      </c>
      <c r="N122" s="40"/>
      <c r="O122" s="35"/>
      <c r="P122" s="35"/>
      <c r="Q122" s="35"/>
      <c r="R122" s="35"/>
      <c r="S122" s="42"/>
      <c r="T122" s="35" t="s">
        <v>98</v>
      </c>
      <c r="U122" s="35"/>
      <c r="V122" s="36"/>
      <c r="W122" s="36"/>
      <c r="X122" s="43"/>
      <c r="Y122" s="35"/>
      <c r="Z122" s="47"/>
      <c r="AA122" s="35" t="s">
        <v>526</v>
      </c>
    </row>
    <row r="123" customFormat="false" ht="34.5" hidden="false" customHeight="true" outlineLevel="0" collapsed="false">
      <c r="A123" s="34" t="n">
        <v>122</v>
      </c>
      <c r="B123" s="37" t="s">
        <v>233</v>
      </c>
      <c r="C123" s="45" t="s">
        <v>238</v>
      </c>
      <c r="D123" s="43" t="s">
        <v>239</v>
      </c>
      <c r="E123" s="35" t="s">
        <v>211</v>
      </c>
      <c r="F123" s="39" t="s">
        <v>732</v>
      </c>
      <c r="G123" s="43" t="s">
        <v>727</v>
      </c>
      <c r="H123" s="43" t="s">
        <v>237</v>
      </c>
      <c r="I123" s="45" t="s">
        <v>688</v>
      </c>
      <c r="J123" s="36"/>
      <c r="K123" s="36"/>
      <c r="L123" s="45"/>
      <c r="M123" s="36" t="s">
        <v>521</v>
      </c>
      <c r="N123" s="40"/>
      <c r="O123" s="35"/>
      <c r="P123" s="35"/>
      <c r="Q123" s="35"/>
      <c r="R123" s="35"/>
      <c r="S123" s="42"/>
      <c r="T123" s="35" t="s">
        <v>98</v>
      </c>
      <c r="U123" s="35"/>
      <c r="V123" s="36"/>
      <c r="W123" s="36"/>
      <c r="X123" s="43"/>
      <c r="Y123" s="35"/>
      <c r="Z123" s="47"/>
      <c r="AA123" s="35" t="s">
        <v>526</v>
      </c>
    </row>
    <row r="124" customFormat="false" ht="34.5" hidden="false" customHeight="true" outlineLevel="0" collapsed="false">
      <c r="A124" s="34" t="n">
        <v>123</v>
      </c>
      <c r="B124" s="37" t="s">
        <v>233</v>
      </c>
      <c r="C124" s="45" t="s">
        <v>254</v>
      </c>
      <c r="D124" s="43" t="s">
        <v>255</v>
      </c>
      <c r="E124" s="35" t="s">
        <v>211</v>
      </c>
      <c r="F124" s="39" t="s">
        <v>252</v>
      </c>
      <c r="G124" s="43" t="s">
        <v>733</v>
      </c>
      <c r="H124" s="43" t="s">
        <v>253</v>
      </c>
      <c r="I124" s="45" t="s">
        <v>584</v>
      </c>
      <c r="J124" s="36" t="s">
        <v>80</v>
      </c>
      <c r="K124" s="36"/>
      <c r="L124" s="45" t="s">
        <v>541</v>
      </c>
      <c r="M124" s="36" t="s">
        <v>521</v>
      </c>
      <c r="N124" s="40"/>
      <c r="O124" s="35"/>
      <c r="P124" s="35"/>
      <c r="Q124" s="35"/>
      <c r="R124" s="35"/>
      <c r="S124" s="42"/>
      <c r="T124" s="35" t="s">
        <v>90</v>
      </c>
      <c r="U124" s="35"/>
      <c r="V124" s="36"/>
      <c r="W124" s="36"/>
      <c r="X124" s="43"/>
      <c r="Y124" s="35"/>
      <c r="Z124" s="47"/>
      <c r="AA124" s="35" t="s">
        <v>578</v>
      </c>
    </row>
    <row r="125" customFormat="false" ht="34.5" hidden="false" customHeight="true" outlineLevel="0" collapsed="false">
      <c r="A125" s="34" t="n">
        <v>124</v>
      </c>
      <c r="B125" s="37" t="s">
        <v>233</v>
      </c>
      <c r="C125" s="45" t="s">
        <v>254</v>
      </c>
      <c r="D125" s="43" t="s">
        <v>255</v>
      </c>
      <c r="E125" s="35" t="s">
        <v>211</v>
      </c>
      <c r="F125" s="39" t="s">
        <v>734</v>
      </c>
      <c r="G125" s="43" t="s">
        <v>735</v>
      </c>
      <c r="H125" s="43" t="s">
        <v>253</v>
      </c>
      <c r="I125" s="45" t="s">
        <v>584</v>
      </c>
      <c r="J125" s="36"/>
      <c r="K125" s="36"/>
      <c r="L125" s="45"/>
      <c r="M125" s="36" t="s">
        <v>521</v>
      </c>
      <c r="N125" s="40"/>
      <c r="O125" s="35"/>
      <c r="P125" s="35"/>
      <c r="Q125" s="35"/>
      <c r="R125" s="35"/>
      <c r="S125" s="42"/>
      <c r="T125" s="35" t="s">
        <v>64</v>
      </c>
      <c r="U125" s="35"/>
      <c r="V125" s="36"/>
      <c r="W125" s="36"/>
      <c r="X125" s="43"/>
      <c r="Y125" s="35"/>
      <c r="Z125" s="47"/>
      <c r="AA125" s="35" t="s">
        <v>526</v>
      </c>
    </row>
    <row r="126" customFormat="false" ht="49.5" hidden="false" customHeight="true" outlineLevel="0" collapsed="false">
      <c r="A126" s="34" t="n">
        <v>125</v>
      </c>
      <c r="B126" s="37" t="s">
        <v>233</v>
      </c>
      <c r="C126" s="45" t="s">
        <v>248</v>
      </c>
      <c r="D126" s="43" t="s">
        <v>249</v>
      </c>
      <c r="E126" s="35" t="s">
        <v>211</v>
      </c>
      <c r="F126" s="39" t="s">
        <v>736</v>
      </c>
      <c r="G126" s="43" t="s">
        <v>737</v>
      </c>
      <c r="H126" s="43" t="s">
        <v>738</v>
      </c>
      <c r="I126" s="45" t="s">
        <v>739</v>
      </c>
      <c r="J126" s="36"/>
      <c r="K126" s="36"/>
      <c r="L126" s="45"/>
      <c r="M126" s="36" t="s">
        <v>521</v>
      </c>
      <c r="N126" s="40"/>
      <c r="O126" s="35"/>
      <c r="P126" s="35"/>
      <c r="Q126" s="35"/>
      <c r="R126" s="35"/>
      <c r="S126" s="42"/>
      <c r="T126" s="35" t="s">
        <v>246</v>
      </c>
      <c r="U126" s="35"/>
      <c r="V126" s="36"/>
      <c r="W126" s="36"/>
      <c r="X126" s="43"/>
      <c r="Y126" s="35"/>
      <c r="Z126" s="47"/>
      <c r="AA126" s="35" t="s">
        <v>526</v>
      </c>
    </row>
    <row r="127" customFormat="false" ht="49.5" hidden="false" customHeight="true" outlineLevel="0" collapsed="false">
      <c r="A127" s="34" t="n">
        <v>126</v>
      </c>
      <c r="B127" s="37" t="s">
        <v>233</v>
      </c>
      <c r="C127" s="45" t="s">
        <v>248</v>
      </c>
      <c r="D127" s="43" t="s">
        <v>249</v>
      </c>
      <c r="E127" s="35" t="s">
        <v>211</v>
      </c>
      <c r="F127" s="39" t="s">
        <v>740</v>
      </c>
      <c r="G127" s="43" t="s">
        <v>737</v>
      </c>
      <c r="H127" s="43" t="s">
        <v>738</v>
      </c>
      <c r="I127" s="45" t="s">
        <v>739</v>
      </c>
      <c r="J127" s="36"/>
      <c r="K127" s="36"/>
      <c r="L127" s="45"/>
      <c r="M127" s="36" t="s">
        <v>521</v>
      </c>
      <c r="N127" s="40"/>
      <c r="O127" s="35"/>
      <c r="P127" s="35"/>
      <c r="Q127" s="35"/>
      <c r="R127" s="35"/>
      <c r="S127" s="42"/>
      <c r="T127" s="35" t="s">
        <v>246</v>
      </c>
      <c r="U127" s="35"/>
      <c r="V127" s="36"/>
      <c r="W127" s="36"/>
      <c r="X127" s="43"/>
      <c r="Y127" s="35"/>
      <c r="Z127" s="47"/>
      <c r="AA127" s="35" t="s">
        <v>526</v>
      </c>
    </row>
    <row r="128" customFormat="false" ht="49.5" hidden="false" customHeight="true" outlineLevel="0" collapsed="false">
      <c r="A128" s="34" t="n">
        <v>127</v>
      </c>
      <c r="B128" s="37" t="s">
        <v>233</v>
      </c>
      <c r="C128" s="45" t="s">
        <v>248</v>
      </c>
      <c r="D128" s="43" t="s">
        <v>249</v>
      </c>
      <c r="E128" s="35" t="s">
        <v>211</v>
      </c>
      <c r="F128" s="39" t="s">
        <v>741</v>
      </c>
      <c r="G128" s="43" t="s">
        <v>742</v>
      </c>
      <c r="H128" s="43" t="s">
        <v>247</v>
      </c>
      <c r="I128" s="45" t="s">
        <v>743</v>
      </c>
      <c r="J128" s="36"/>
      <c r="K128" s="36"/>
      <c r="L128" s="45"/>
      <c r="M128" s="36" t="s">
        <v>521</v>
      </c>
      <c r="N128" s="40"/>
      <c r="O128" s="35"/>
      <c r="P128" s="35"/>
      <c r="Q128" s="35"/>
      <c r="R128" s="35"/>
      <c r="S128" s="42"/>
      <c r="T128" s="35" t="s">
        <v>246</v>
      </c>
      <c r="U128" s="35"/>
      <c r="V128" s="36"/>
      <c r="W128" s="36"/>
      <c r="X128" s="43"/>
      <c r="Y128" s="35"/>
      <c r="Z128" s="47"/>
      <c r="AA128" s="35" t="s">
        <v>526</v>
      </c>
    </row>
    <row r="129" customFormat="false" ht="49.5" hidden="false" customHeight="true" outlineLevel="0" collapsed="false">
      <c r="A129" s="34" t="n">
        <v>128</v>
      </c>
      <c r="B129" s="37" t="s">
        <v>233</v>
      </c>
      <c r="C129" s="45" t="s">
        <v>248</v>
      </c>
      <c r="D129" s="43" t="s">
        <v>249</v>
      </c>
      <c r="E129" s="35" t="s">
        <v>211</v>
      </c>
      <c r="F129" s="39" t="s">
        <v>744</v>
      </c>
      <c r="G129" s="43" t="s">
        <v>742</v>
      </c>
      <c r="H129" s="43" t="s">
        <v>247</v>
      </c>
      <c r="I129" s="45" t="s">
        <v>743</v>
      </c>
      <c r="J129" s="36"/>
      <c r="K129" s="36"/>
      <c r="L129" s="45"/>
      <c r="M129" s="36" t="s">
        <v>521</v>
      </c>
      <c r="N129" s="40"/>
      <c r="O129" s="35"/>
      <c r="P129" s="35"/>
      <c r="Q129" s="35"/>
      <c r="R129" s="35"/>
      <c r="S129" s="42"/>
      <c r="T129" s="35" t="s">
        <v>246</v>
      </c>
      <c r="U129" s="35"/>
      <c r="V129" s="36"/>
      <c r="W129" s="36"/>
      <c r="X129" s="43"/>
      <c r="Y129" s="35"/>
      <c r="Z129" s="47"/>
      <c r="AA129" s="35" t="s">
        <v>526</v>
      </c>
    </row>
    <row r="130" customFormat="false" ht="49.5" hidden="false" customHeight="true" outlineLevel="0" collapsed="false">
      <c r="A130" s="34" t="n">
        <v>129</v>
      </c>
      <c r="B130" s="37" t="s">
        <v>233</v>
      </c>
      <c r="C130" s="45" t="s">
        <v>248</v>
      </c>
      <c r="D130" s="43" t="s">
        <v>249</v>
      </c>
      <c r="E130" s="35" t="s">
        <v>211</v>
      </c>
      <c r="F130" s="39" t="s">
        <v>745</v>
      </c>
      <c r="G130" s="43" t="s">
        <v>742</v>
      </c>
      <c r="H130" s="43" t="s">
        <v>247</v>
      </c>
      <c r="I130" s="45" t="s">
        <v>743</v>
      </c>
      <c r="J130" s="36"/>
      <c r="K130" s="36"/>
      <c r="L130" s="45"/>
      <c r="M130" s="36" t="s">
        <v>521</v>
      </c>
      <c r="N130" s="40"/>
      <c r="O130" s="35"/>
      <c r="P130" s="35"/>
      <c r="Q130" s="35"/>
      <c r="R130" s="35"/>
      <c r="S130" s="42"/>
      <c r="T130" s="35" t="s">
        <v>246</v>
      </c>
      <c r="U130" s="35"/>
      <c r="V130" s="36"/>
      <c r="W130" s="36"/>
      <c r="X130" s="43"/>
      <c r="Y130" s="35"/>
      <c r="Z130" s="47"/>
      <c r="AA130" s="35" t="s">
        <v>526</v>
      </c>
    </row>
    <row r="131" customFormat="false" ht="49.5" hidden="false" customHeight="true" outlineLevel="0" collapsed="false">
      <c r="A131" s="34" t="n">
        <v>130</v>
      </c>
      <c r="B131" s="37" t="s">
        <v>233</v>
      </c>
      <c r="C131" s="45" t="s">
        <v>248</v>
      </c>
      <c r="D131" s="43" t="s">
        <v>249</v>
      </c>
      <c r="E131" s="35" t="s">
        <v>211</v>
      </c>
      <c r="F131" s="39" t="s">
        <v>746</v>
      </c>
      <c r="G131" s="43" t="s">
        <v>742</v>
      </c>
      <c r="H131" s="43" t="s">
        <v>247</v>
      </c>
      <c r="I131" s="45" t="s">
        <v>743</v>
      </c>
      <c r="J131" s="36"/>
      <c r="K131" s="36"/>
      <c r="L131" s="45"/>
      <c r="M131" s="36" t="s">
        <v>521</v>
      </c>
      <c r="N131" s="40"/>
      <c r="O131" s="35"/>
      <c r="P131" s="35"/>
      <c r="Q131" s="35"/>
      <c r="R131" s="35"/>
      <c r="S131" s="42"/>
      <c r="T131" s="35" t="s">
        <v>246</v>
      </c>
      <c r="U131" s="35"/>
      <c r="V131" s="36"/>
      <c r="W131" s="36"/>
      <c r="X131" s="43"/>
      <c r="Y131" s="35"/>
      <c r="Z131" s="47"/>
      <c r="AA131" s="35" t="s">
        <v>526</v>
      </c>
    </row>
    <row r="132" customFormat="false" ht="49.5" hidden="false" customHeight="true" outlineLevel="0" collapsed="false">
      <c r="A132" s="34" t="n">
        <v>131</v>
      </c>
      <c r="B132" s="37" t="s">
        <v>233</v>
      </c>
      <c r="C132" s="45" t="s">
        <v>248</v>
      </c>
      <c r="D132" s="43" t="s">
        <v>249</v>
      </c>
      <c r="E132" s="35" t="s">
        <v>211</v>
      </c>
      <c r="F132" s="39" t="s">
        <v>747</v>
      </c>
      <c r="G132" s="43" t="s">
        <v>737</v>
      </c>
      <c r="H132" s="43" t="s">
        <v>738</v>
      </c>
      <c r="I132" s="45" t="s">
        <v>739</v>
      </c>
      <c r="J132" s="36"/>
      <c r="K132" s="36"/>
      <c r="L132" s="45"/>
      <c r="M132" s="36" t="s">
        <v>521</v>
      </c>
      <c r="N132" s="40"/>
      <c r="O132" s="35"/>
      <c r="P132" s="35"/>
      <c r="Q132" s="35"/>
      <c r="R132" s="35"/>
      <c r="S132" s="42"/>
      <c r="T132" s="35" t="s">
        <v>246</v>
      </c>
      <c r="U132" s="35"/>
      <c r="V132" s="36"/>
      <c r="W132" s="36"/>
      <c r="X132" s="43"/>
      <c r="Y132" s="35"/>
      <c r="Z132" s="47"/>
      <c r="AA132" s="35" t="s">
        <v>526</v>
      </c>
    </row>
    <row r="133" customFormat="false" ht="49.5" hidden="false" customHeight="true" outlineLevel="0" collapsed="false">
      <c r="A133" s="34" t="n">
        <v>132</v>
      </c>
      <c r="B133" s="37" t="s">
        <v>233</v>
      </c>
      <c r="C133" s="45" t="s">
        <v>248</v>
      </c>
      <c r="D133" s="43" t="s">
        <v>249</v>
      </c>
      <c r="E133" s="35" t="s">
        <v>211</v>
      </c>
      <c r="F133" s="39" t="s">
        <v>748</v>
      </c>
      <c r="G133" s="43" t="s">
        <v>737</v>
      </c>
      <c r="H133" s="43" t="s">
        <v>738</v>
      </c>
      <c r="I133" s="45" t="s">
        <v>739</v>
      </c>
      <c r="J133" s="36"/>
      <c r="K133" s="36"/>
      <c r="L133" s="45"/>
      <c r="M133" s="36" t="s">
        <v>521</v>
      </c>
      <c r="N133" s="40"/>
      <c r="O133" s="35"/>
      <c r="P133" s="35"/>
      <c r="Q133" s="35"/>
      <c r="R133" s="35"/>
      <c r="S133" s="42"/>
      <c r="T133" s="35" t="s">
        <v>246</v>
      </c>
      <c r="U133" s="35"/>
      <c r="V133" s="36"/>
      <c r="W133" s="36"/>
      <c r="X133" s="43"/>
      <c r="Y133" s="35"/>
      <c r="Z133" s="47"/>
      <c r="AA133" s="35" t="s">
        <v>526</v>
      </c>
    </row>
    <row r="134" customFormat="false" ht="49.5" hidden="false" customHeight="true" outlineLevel="0" collapsed="false">
      <c r="A134" s="34" t="n">
        <v>133</v>
      </c>
      <c r="B134" s="37" t="s">
        <v>233</v>
      </c>
      <c r="C134" s="45" t="s">
        <v>248</v>
      </c>
      <c r="D134" s="43" t="s">
        <v>249</v>
      </c>
      <c r="E134" s="35" t="s">
        <v>211</v>
      </c>
      <c r="F134" s="39" t="s">
        <v>245</v>
      </c>
      <c r="G134" s="43" t="s">
        <v>742</v>
      </c>
      <c r="H134" s="43" t="s">
        <v>247</v>
      </c>
      <c r="I134" s="45" t="s">
        <v>743</v>
      </c>
      <c r="J134" s="36" t="s">
        <v>80</v>
      </c>
      <c r="K134" s="36"/>
      <c r="L134" s="45" t="s">
        <v>530</v>
      </c>
      <c r="M134" s="36" t="s">
        <v>521</v>
      </c>
      <c r="N134" s="40"/>
      <c r="O134" s="35"/>
      <c r="P134" s="35"/>
      <c r="Q134" s="35"/>
      <c r="R134" s="35"/>
      <c r="S134" s="42"/>
      <c r="T134" s="35" t="s">
        <v>246</v>
      </c>
      <c r="U134" s="35"/>
      <c r="V134" s="36"/>
      <c r="W134" s="36"/>
      <c r="X134" s="43"/>
      <c r="Y134" s="35"/>
      <c r="Z134" s="47"/>
      <c r="AA134" s="35" t="s">
        <v>578</v>
      </c>
    </row>
    <row r="135" customFormat="false" ht="49.5" hidden="false" customHeight="true" outlineLevel="0" collapsed="false">
      <c r="A135" s="34" t="n">
        <v>134</v>
      </c>
      <c r="B135" s="37" t="s">
        <v>233</v>
      </c>
      <c r="C135" s="45" t="s">
        <v>248</v>
      </c>
      <c r="D135" s="43" t="s">
        <v>249</v>
      </c>
      <c r="E135" s="35" t="s">
        <v>211</v>
      </c>
      <c r="F135" s="39" t="s">
        <v>749</v>
      </c>
      <c r="G135" s="43" t="s">
        <v>737</v>
      </c>
      <c r="H135" s="43" t="s">
        <v>738</v>
      </c>
      <c r="I135" s="45" t="s">
        <v>739</v>
      </c>
      <c r="J135" s="36"/>
      <c r="K135" s="36"/>
      <c r="L135" s="45"/>
      <c r="M135" s="36" t="s">
        <v>521</v>
      </c>
      <c r="N135" s="40"/>
      <c r="O135" s="35"/>
      <c r="P135" s="35"/>
      <c r="Q135" s="35"/>
      <c r="R135" s="35"/>
      <c r="S135" s="42"/>
      <c r="T135" s="35" t="s">
        <v>246</v>
      </c>
      <c r="U135" s="35"/>
      <c r="V135" s="36"/>
      <c r="W135" s="36"/>
      <c r="X135" s="43"/>
      <c r="Y135" s="35"/>
      <c r="Z135" s="47"/>
      <c r="AA135" s="35" t="s">
        <v>526</v>
      </c>
    </row>
    <row r="136" customFormat="false" ht="49.5" hidden="false" customHeight="true" outlineLevel="0" collapsed="false">
      <c r="A136" s="34" t="n">
        <v>135</v>
      </c>
      <c r="B136" s="37" t="s">
        <v>233</v>
      </c>
      <c r="C136" s="45" t="s">
        <v>248</v>
      </c>
      <c r="D136" s="43" t="s">
        <v>249</v>
      </c>
      <c r="E136" s="35" t="s">
        <v>211</v>
      </c>
      <c r="F136" s="39" t="s">
        <v>750</v>
      </c>
      <c r="G136" s="43" t="s">
        <v>737</v>
      </c>
      <c r="H136" s="43" t="s">
        <v>738</v>
      </c>
      <c r="I136" s="45" t="s">
        <v>739</v>
      </c>
      <c r="J136" s="36"/>
      <c r="K136" s="36"/>
      <c r="L136" s="45"/>
      <c r="M136" s="36" t="s">
        <v>521</v>
      </c>
      <c r="N136" s="40"/>
      <c r="O136" s="35"/>
      <c r="P136" s="35"/>
      <c r="Q136" s="35"/>
      <c r="R136" s="35"/>
      <c r="S136" s="42"/>
      <c r="T136" s="35" t="s">
        <v>246</v>
      </c>
      <c r="U136" s="35"/>
      <c r="V136" s="36"/>
      <c r="W136" s="36"/>
      <c r="X136" s="43"/>
      <c r="Y136" s="35"/>
      <c r="Z136" s="47"/>
      <c r="AA136" s="35" t="s">
        <v>526</v>
      </c>
    </row>
    <row r="137" customFormat="false" ht="49.5" hidden="false" customHeight="true" outlineLevel="0" collapsed="false">
      <c r="A137" s="34" t="n">
        <v>136</v>
      </c>
      <c r="B137" s="37" t="s">
        <v>233</v>
      </c>
      <c r="C137" s="45" t="s">
        <v>248</v>
      </c>
      <c r="D137" s="43" t="s">
        <v>249</v>
      </c>
      <c r="E137" s="35" t="s">
        <v>211</v>
      </c>
      <c r="F137" s="39" t="s">
        <v>751</v>
      </c>
      <c r="G137" s="43" t="s">
        <v>737</v>
      </c>
      <c r="H137" s="43" t="s">
        <v>738</v>
      </c>
      <c r="I137" s="45" t="s">
        <v>739</v>
      </c>
      <c r="J137" s="36"/>
      <c r="K137" s="36"/>
      <c r="L137" s="45"/>
      <c r="M137" s="36" t="s">
        <v>521</v>
      </c>
      <c r="N137" s="40"/>
      <c r="O137" s="35"/>
      <c r="P137" s="35"/>
      <c r="Q137" s="35"/>
      <c r="R137" s="35"/>
      <c r="S137" s="42"/>
      <c r="T137" s="35" t="s">
        <v>246</v>
      </c>
      <c r="U137" s="35"/>
      <c r="V137" s="36"/>
      <c r="W137" s="36"/>
      <c r="X137" s="43"/>
      <c r="Y137" s="35"/>
      <c r="Z137" s="47"/>
      <c r="AA137" s="35" t="s">
        <v>526</v>
      </c>
    </row>
    <row r="138" customFormat="false" ht="49.5" hidden="false" customHeight="true" outlineLevel="0" collapsed="false">
      <c r="A138" s="34" t="n">
        <v>137</v>
      </c>
      <c r="B138" s="37" t="s">
        <v>233</v>
      </c>
      <c r="C138" s="45" t="s">
        <v>248</v>
      </c>
      <c r="D138" s="43" t="s">
        <v>249</v>
      </c>
      <c r="E138" s="35" t="s">
        <v>211</v>
      </c>
      <c r="F138" s="39" t="s">
        <v>752</v>
      </c>
      <c r="G138" s="43" t="s">
        <v>742</v>
      </c>
      <c r="H138" s="43" t="s">
        <v>247</v>
      </c>
      <c r="I138" s="45" t="s">
        <v>743</v>
      </c>
      <c r="J138" s="36"/>
      <c r="K138" s="36"/>
      <c r="L138" s="45"/>
      <c r="M138" s="36" t="s">
        <v>521</v>
      </c>
      <c r="N138" s="40"/>
      <c r="O138" s="35"/>
      <c r="P138" s="35"/>
      <c r="Q138" s="35"/>
      <c r="R138" s="35"/>
      <c r="S138" s="42"/>
      <c r="T138" s="35" t="s">
        <v>246</v>
      </c>
      <c r="U138" s="35"/>
      <c r="V138" s="36"/>
      <c r="W138" s="36"/>
      <c r="X138" s="43"/>
      <c r="Y138" s="35"/>
      <c r="Z138" s="47"/>
      <c r="AA138" s="35" t="s">
        <v>526</v>
      </c>
    </row>
    <row r="139" customFormat="false" ht="49.5" hidden="false" customHeight="true" outlineLevel="0" collapsed="false">
      <c r="A139" s="34" t="n">
        <v>138</v>
      </c>
      <c r="B139" s="37" t="s">
        <v>233</v>
      </c>
      <c r="C139" s="45" t="s">
        <v>248</v>
      </c>
      <c r="D139" s="43" t="s">
        <v>249</v>
      </c>
      <c r="E139" s="35" t="s">
        <v>211</v>
      </c>
      <c r="F139" s="39" t="s">
        <v>753</v>
      </c>
      <c r="G139" s="43" t="s">
        <v>742</v>
      </c>
      <c r="H139" s="43" t="s">
        <v>247</v>
      </c>
      <c r="I139" s="45" t="s">
        <v>743</v>
      </c>
      <c r="J139" s="36"/>
      <c r="K139" s="36"/>
      <c r="L139" s="45"/>
      <c r="M139" s="36" t="s">
        <v>521</v>
      </c>
      <c r="N139" s="40"/>
      <c r="O139" s="35"/>
      <c r="P139" s="35"/>
      <c r="Q139" s="35"/>
      <c r="R139" s="35"/>
      <c r="S139" s="42"/>
      <c r="T139" s="35" t="s">
        <v>246</v>
      </c>
      <c r="U139" s="35"/>
      <c r="V139" s="36"/>
      <c r="W139" s="36"/>
      <c r="X139" s="43"/>
      <c r="Y139" s="35"/>
      <c r="Z139" s="47"/>
      <c r="AA139" s="35" t="s">
        <v>526</v>
      </c>
    </row>
    <row r="140" customFormat="false" ht="49.5" hidden="false" customHeight="true" outlineLevel="0" collapsed="false">
      <c r="A140" s="34" t="n">
        <v>139</v>
      </c>
      <c r="B140" s="37" t="s">
        <v>233</v>
      </c>
      <c r="C140" s="45" t="s">
        <v>248</v>
      </c>
      <c r="D140" s="43" t="s">
        <v>249</v>
      </c>
      <c r="E140" s="35" t="s">
        <v>211</v>
      </c>
      <c r="F140" s="39" t="s">
        <v>754</v>
      </c>
      <c r="G140" s="43" t="s">
        <v>742</v>
      </c>
      <c r="H140" s="43" t="s">
        <v>247</v>
      </c>
      <c r="I140" s="45" t="s">
        <v>743</v>
      </c>
      <c r="J140" s="36"/>
      <c r="K140" s="36"/>
      <c r="L140" s="45"/>
      <c r="M140" s="36" t="s">
        <v>521</v>
      </c>
      <c r="N140" s="40"/>
      <c r="O140" s="35"/>
      <c r="P140" s="35"/>
      <c r="Q140" s="35"/>
      <c r="R140" s="35"/>
      <c r="S140" s="42"/>
      <c r="T140" s="35" t="s">
        <v>246</v>
      </c>
      <c r="U140" s="35"/>
      <c r="V140" s="36"/>
      <c r="W140" s="36"/>
      <c r="X140" s="43"/>
      <c r="Y140" s="35"/>
      <c r="Z140" s="47"/>
      <c r="AA140" s="35" t="s">
        <v>526</v>
      </c>
    </row>
    <row r="141" customFormat="false" ht="49.5" hidden="false" customHeight="true" outlineLevel="0" collapsed="false">
      <c r="A141" s="34" t="n">
        <v>140</v>
      </c>
      <c r="B141" s="37" t="s">
        <v>233</v>
      </c>
      <c r="C141" s="45" t="s">
        <v>248</v>
      </c>
      <c r="D141" s="43" t="s">
        <v>249</v>
      </c>
      <c r="E141" s="35" t="s">
        <v>211</v>
      </c>
      <c r="F141" s="39" t="s">
        <v>755</v>
      </c>
      <c r="G141" s="43" t="s">
        <v>742</v>
      </c>
      <c r="H141" s="43" t="s">
        <v>247</v>
      </c>
      <c r="I141" s="45" t="s">
        <v>743</v>
      </c>
      <c r="J141" s="36"/>
      <c r="K141" s="36"/>
      <c r="L141" s="45"/>
      <c r="M141" s="36" t="s">
        <v>521</v>
      </c>
      <c r="N141" s="40"/>
      <c r="O141" s="35"/>
      <c r="P141" s="35"/>
      <c r="Q141" s="35"/>
      <c r="R141" s="35"/>
      <c r="S141" s="42"/>
      <c r="T141" s="35" t="s">
        <v>246</v>
      </c>
      <c r="U141" s="35"/>
      <c r="V141" s="36"/>
      <c r="W141" s="36"/>
      <c r="X141" s="43"/>
      <c r="Y141" s="35"/>
      <c r="Z141" s="47"/>
      <c r="AA141" s="35" t="s">
        <v>526</v>
      </c>
    </row>
    <row r="142" customFormat="false" ht="49.5" hidden="false" customHeight="true" outlineLevel="0" collapsed="false">
      <c r="A142" s="34" t="n">
        <v>141</v>
      </c>
      <c r="B142" s="37" t="s">
        <v>233</v>
      </c>
      <c r="C142" s="45" t="s">
        <v>248</v>
      </c>
      <c r="D142" s="43" t="s">
        <v>249</v>
      </c>
      <c r="E142" s="35" t="s">
        <v>211</v>
      </c>
      <c r="F142" s="39" t="s">
        <v>756</v>
      </c>
      <c r="G142" s="43" t="s">
        <v>742</v>
      </c>
      <c r="H142" s="43" t="s">
        <v>247</v>
      </c>
      <c r="I142" s="45" t="s">
        <v>743</v>
      </c>
      <c r="J142" s="36"/>
      <c r="K142" s="36"/>
      <c r="L142" s="45"/>
      <c r="M142" s="36" t="s">
        <v>521</v>
      </c>
      <c r="N142" s="40"/>
      <c r="O142" s="35"/>
      <c r="P142" s="35"/>
      <c r="Q142" s="35"/>
      <c r="R142" s="35"/>
      <c r="S142" s="42"/>
      <c r="T142" s="35" t="s">
        <v>246</v>
      </c>
      <c r="U142" s="35"/>
      <c r="V142" s="36"/>
      <c r="W142" s="36"/>
      <c r="X142" s="43"/>
      <c r="Y142" s="35"/>
      <c r="Z142" s="47"/>
      <c r="AA142" s="35" t="s">
        <v>526</v>
      </c>
    </row>
    <row r="143" customFormat="false" ht="49.5" hidden="false" customHeight="true" outlineLevel="0" collapsed="false">
      <c r="A143" s="34" t="n">
        <v>142</v>
      </c>
      <c r="B143" s="37" t="s">
        <v>233</v>
      </c>
      <c r="C143" s="45" t="s">
        <v>248</v>
      </c>
      <c r="D143" s="43" t="s">
        <v>249</v>
      </c>
      <c r="E143" s="35" t="s">
        <v>211</v>
      </c>
      <c r="F143" s="39" t="s">
        <v>757</v>
      </c>
      <c r="G143" s="43" t="s">
        <v>737</v>
      </c>
      <c r="H143" s="43" t="s">
        <v>738</v>
      </c>
      <c r="I143" s="45" t="s">
        <v>739</v>
      </c>
      <c r="J143" s="36"/>
      <c r="K143" s="36"/>
      <c r="L143" s="45"/>
      <c r="M143" s="36" t="s">
        <v>521</v>
      </c>
      <c r="N143" s="40"/>
      <c r="O143" s="35"/>
      <c r="P143" s="35"/>
      <c r="Q143" s="35"/>
      <c r="R143" s="35"/>
      <c r="S143" s="42"/>
      <c r="T143" s="35" t="s">
        <v>246</v>
      </c>
      <c r="U143" s="35"/>
      <c r="V143" s="36"/>
      <c r="W143" s="36"/>
      <c r="X143" s="43"/>
      <c r="Y143" s="35"/>
      <c r="Z143" s="47"/>
      <c r="AA143" s="35" t="s">
        <v>526</v>
      </c>
    </row>
    <row r="144" customFormat="false" ht="49.5" hidden="false" customHeight="true" outlineLevel="0" collapsed="false">
      <c r="A144" s="34" t="n">
        <v>143</v>
      </c>
      <c r="B144" s="37" t="s">
        <v>233</v>
      </c>
      <c r="C144" s="45" t="s">
        <v>248</v>
      </c>
      <c r="D144" s="43" t="s">
        <v>249</v>
      </c>
      <c r="E144" s="35" t="s">
        <v>211</v>
      </c>
      <c r="F144" s="39" t="s">
        <v>758</v>
      </c>
      <c r="G144" s="43" t="s">
        <v>737</v>
      </c>
      <c r="H144" s="43" t="s">
        <v>738</v>
      </c>
      <c r="I144" s="45" t="s">
        <v>739</v>
      </c>
      <c r="J144" s="36"/>
      <c r="K144" s="36"/>
      <c r="L144" s="45"/>
      <c r="M144" s="36" t="s">
        <v>521</v>
      </c>
      <c r="N144" s="40"/>
      <c r="O144" s="35"/>
      <c r="P144" s="35"/>
      <c r="Q144" s="35"/>
      <c r="R144" s="35"/>
      <c r="S144" s="42"/>
      <c r="T144" s="35" t="s">
        <v>246</v>
      </c>
      <c r="U144" s="35"/>
      <c r="V144" s="36"/>
      <c r="W144" s="36"/>
      <c r="X144" s="43"/>
      <c r="Y144" s="35"/>
      <c r="Z144" s="47"/>
      <c r="AA144" s="35" t="s">
        <v>526</v>
      </c>
    </row>
    <row r="145" customFormat="false" ht="49.5" hidden="false" customHeight="true" outlineLevel="0" collapsed="false">
      <c r="A145" s="34" t="n">
        <v>144</v>
      </c>
      <c r="B145" s="37" t="s">
        <v>233</v>
      </c>
      <c r="C145" s="45" t="s">
        <v>248</v>
      </c>
      <c r="D145" s="43" t="s">
        <v>249</v>
      </c>
      <c r="E145" s="35" t="s">
        <v>211</v>
      </c>
      <c r="F145" s="39" t="s">
        <v>759</v>
      </c>
      <c r="G145" s="43" t="s">
        <v>737</v>
      </c>
      <c r="H145" s="43" t="s">
        <v>738</v>
      </c>
      <c r="I145" s="45" t="s">
        <v>739</v>
      </c>
      <c r="J145" s="36"/>
      <c r="K145" s="36"/>
      <c r="L145" s="45"/>
      <c r="M145" s="36" t="s">
        <v>521</v>
      </c>
      <c r="N145" s="40"/>
      <c r="O145" s="35"/>
      <c r="P145" s="35"/>
      <c r="Q145" s="35"/>
      <c r="R145" s="35"/>
      <c r="S145" s="42"/>
      <c r="T145" s="35" t="s">
        <v>246</v>
      </c>
      <c r="U145" s="35"/>
      <c r="V145" s="36"/>
      <c r="W145" s="36"/>
      <c r="X145" s="43"/>
      <c r="Y145" s="35"/>
      <c r="Z145" s="47"/>
      <c r="AA145" s="35" t="s">
        <v>526</v>
      </c>
    </row>
    <row r="146" customFormat="false" ht="49.5" hidden="false" customHeight="true" outlineLevel="0" collapsed="false">
      <c r="A146" s="34" t="n">
        <v>145</v>
      </c>
      <c r="B146" s="37" t="s">
        <v>233</v>
      </c>
      <c r="C146" s="45" t="s">
        <v>248</v>
      </c>
      <c r="D146" s="43" t="s">
        <v>249</v>
      </c>
      <c r="E146" s="35" t="s">
        <v>211</v>
      </c>
      <c r="F146" s="39" t="s">
        <v>760</v>
      </c>
      <c r="G146" s="43" t="s">
        <v>737</v>
      </c>
      <c r="H146" s="43" t="s">
        <v>738</v>
      </c>
      <c r="I146" s="45" t="s">
        <v>739</v>
      </c>
      <c r="J146" s="36"/>
      <c r="K146" s="36"/>
      <c r="L146" s="45"/>
      <c r="M146" s="36" t="s">
        <v>521</v>
      </c>
      <c r="N146" s="40"/>
      <c r="O146" s="35"/>
      <c r="P146" s="35"/>
      <c r="Q146" s="35"/>
      <c r="R146" s="35"/>
      <c r="S146" s="42"/>
      <c r="T146" s="35" t="s">
        <v>246</v>
      </c>
      <c r="U146" s="35"/>
      <c r="V146" s="36"/>
      <c r="W146" s="36"/>
      <c r="X146" s="43"/>
      <c r="Y146" s="35"/>
      <c r="Z146" s="47"/>
      <c r="AA146" s="35" t="s">
        <v>526</v>
      </c>
    </row>
    <row r="147" customFormat="false" ht="49.5" hidden="false" customHeight="true" outlineLevel="0" collapsed="false">
      <c r="A147" s="34" t="n">
        <v>146</v>
      </c>
      <c r="B147" s="37" t="s">
        <v>233</v>
      </c>
      <c r="C147" s="45" t="s">
        <v>248</v>
      </c>
      <c r="D147" s="43" t="s">
        <v>249</v>
      </c>
      <c r="E147" s="35" t="s">
        <v>211</v>
      </c>
      <c r="F147" s="39" t="s">
        <v>761</v>
      </c>
      <c r="G147" s="43" t="s">
        <v>742</v>
      </c>
      <c r="H147" s="43" t="s">
        <v>247</v>
      </c>
      <c r="I147" s="45" t="s">
        <v>743</v>
      </c>
      <c r="J147" s="36"/>
      <c r="K147" s="36"/>
      <c r="L147" s="45"/>
      <c r="M147" s="36" t="s">
        <v>521</v>
      </c>
      <c r="N147" s="40"/>
      <c r="O147" s="35"/>
      <c r="P147" s="35"/>
      <c r="Q147" s="35"/>
      <c r="R147" s="35"/>
      <c r="S147" s="42"/>
      <c r="T147" s="35" t="s">
        <v>246</v>
      </c>
      <c r="U147" s="35"/>
      <c r="V147" s="36"/>
      <c r="W147" s="36"/>
      <c r="X147" s="43"/>
      <c r="Y147" s="35"/>
      <c r="Z147" s="47"/>
      <c r="AA147" s="35" t="s">
        <v>526</v>
      </c>
    </row>
    <row r="148" customFormat="false" ht="49.5" hidden="false" customHeight="true" outlineLevel="0" collapsed="false">
      <c r="A148" s="34" t="n">
        <v>147</v>
      </c>
      <c r="B148" s="37" t="s">
        <v>233</v>
      </c>
      <c r="C148" s="45" t="s">
        <v>248</v>
      </c>
      <c r="D148" s="43" t="s">
        <v>249</v>
      </c>
      <c r="E148" s="35" t="s">
        <v>211</v>
      </c>
      <c r="F148" s="39" t="s">
        <v>762</v>
      </c>
      <c r="G148" s="43" t="s">
        <v>742</v>
      </c>
      <c r="H148" s="43" t="s">
        <v>247</v>
      </c>
      <c r="I148" s="45" t="s">
        <v>743</v>
      </c>
      <c r="J148" s="36"/>
      <c r="K148" s="36"/>
      <c r="L148" s="45"/>
      <c r="M148" s="36" t="s">
        <v>521</v>
      </c>
      <c r="N148" s="40"/>
      <c r="O148" s="35"/>
      <c r="P148" s="35"/>
      <c r="Q148" s="35"/>
      <c r="R148" s="35"/>
      <c r="S148" s="42"/>
      <c r="T148" s="35" t="s">
        <v>246</v>
      </c>
      <c r="U148" s="35"/>
      <c r="V148" s="36"/>
      <c r="W148" s="36"/>
      <c r="X148" s="43"/>
      <c r="Y148" s="35"/>
      <c r="Z148" s="47"/>
      <c r="AA148" s="35" t="s">
        <v>526</v>
      </c>
    </row>
    <row r="149" customFormat="false" ht="49.5" hidden="false" customHeight="true" outlineLevel="0" collapsed="false">
      <c r="A149" s="34" t="n">
        <v>148</v>
      </c>
      <c r="B149" s="37" t="s">
        <v>233</v>
      </c>
      <c r="C149" s="45" t="s">
        <v>248</v>
      </c>
      <c r="D149" s="43" t="s">
        <v>249</v>
      </c>
      <c r="E149" s="35" t="s">
        <v>211</v>
      </c>
      <c r="F149" s="39" t="s">
        <v>763</v>
      </c>
      <c r="G149" s="43" t="s">
        <v>737</v>
      </c>
      <c r="H149" s="43" t="s">
        <v>738</v>
      </c>
      <c r="I149" s="45" t="s">
        <v>739</v>
      </c>
      <c r="J149" s="36"/>
      <c r="K149" s="36"/>
      <c r="L149" s="45"/>
      <c r="M149" s="36" t="s">
        <v>521</v>
      </c>
      <c r="N149" s="40"/>
      <c r="O149" s="35"/>
      <c r="P149" s="35"/>
      <c r="Q149" s="35"/>
      <c r="R149" s="35"/>
      <c r="S149" s="42"/>
      <c r="T149" s="35" t="s">
        <v>246</v>
      </c>
      <c r="U149" s="35"/>
      <c r="V149" s="36"/>
      <c r="W149" s="36"/>
      <c r="X149" s="43"/>
      <c r="Y149" s="35"/>
      <c r="Z149" s="47"/>
      <c r="AA149" s="35" t="s">
        <v>526</v>
      </c>
    </row>
    <row r="150" customFormat="false" ht="49.5" hidden="false" customHeight="true" outlineLevel="0" collapsed="false">
      <c r="A150" s="34" t="n">
        <v>149</v>
      </c>
      <c r="B150" s="37" t="s">
        <v>233</v>
      </c>
      <c r="C150" s="45" t="s">
        <v>248</v>
      </c>
      <c r="D150" s="43" t="s">
        <v>249</v>
      </c>
      <c r="E150" s="35" t="s">
        <v>211</v>
      </c>
      <c r="F150" s="39" t="s">
        <v>764</v>
      </c>
      <c r="G150" s="43" t="s">
        <v>742</v>
      </c>
      <c r="H150" s="43" t="s">
        <v>247</v>
      </c>
      <c r="I150" s="45" t="s">
        <v>743</v>
      </c>
      <c r="J150" s="36"/>
      <c r="K150" s="36"/>
      <c r="L150" s="45"/>
      <c r="M150" s="36" t="s">
        <v>521</v>
      </c>
      <c r="N150" s="40"/>
      <c r="O150" s="35"/>
      <c r="P150" s="35"/>
      <c r="Q150" s="35"/>
      <c r="R150" s="35"/>
      <c r="S150" s="42"/>
      <c r="T150" s="35" t="s">
        <v>246</v>
      </c>
      <c r="U150" s="35"/>
      <c r="V150" s="36"/>
      <c r="W150" s="36"/>
      <c r="X150" s="43"/>
      <c r="Y150" s="35"/>
      <c r="Z150" s="47"/>
      <c r="AA150" s="35" t="s">
        <v>526</v>
      </c>
    </row>
    <row r="151" customFormat="false" ht="49.5" hidden="false" customHeight="true" outlineLevel="0" collapsed="false">
      <c r="A151" s="34" t="n">
        <v>150</v>
      </c>
      <c r="B151" s="37" t="s">
        <v>233</v>
      </c>
      <c r="C151" s="45" t="s">
        <v>248</v>
      </c>
      <c r="D151" s="43" t="s">
        <v>249</v>
      </c>
      <c r="E151" s="35" t="s">
        <v>211</v>
      </c>
      <c r="F151" s="39" t="s">
        <v>765</v>
      </c>
      <c r="G151" s="43" t="s">
        <v>737</v>
      </c>
      <c r="H151" s="43" t="s">
        <v>738</v>
      </c>
      <c r="I151" s="45" t="s">
        <v>739</v>
      </c>
      <c r="J151" s="36"/>
      <c r="K151" s="36"/>
      <c r="L151" s="45"/>
      <c r="M151" s="36" t="s">
        <v>521</v>
      </c>
      <c r="N151" s="40"/>
      <c r="O151" s="35"/>
      <c r="P151" s="35"/>
      <c r="Q151" s="35"/>
      <c r="R151" s="35"/>
      <c r="S151" s="42"/>
      <c r="T151" s="35" t="s">
        <v>246</v>
      </c>
      <c r="U151" s="35"/>
      <c r="V151" s="36"/>
      <c r="W151" s="36"/>
      <c r="X151" s="43"/>
      <c r="Y151" s="35"/>
      <c r="Z151" s="47"/>
      <c r="AA151" s="35" t="s">
        <v>526</v>
      </c>
    </row>
    <row r="152" customFormat="false" ht="49.5" hidden="false" customHeight="true" outlineLevel="0" collapsed="false">
      <c r="A152" s="34" t="n">
        <v>151</v>
      </c>
      <c r="B152" s="37" t="s">
        <v>233</v>
      </c>
      <c r="C152" s="45" t="s">
        <v>248</v>
      </c>
      <c r="D152" s="43" t="s">
        <v>249</v>
      </c>
      <c r="E152" s="35" t="s">
        <v>211</v>
      </c>
      <c r="F152" s="39" t="s">
        <v>766</v>
      </c>
      <c r="G152" s="43" t="s">
        <v>737</v>
      </c>
      <c r="H152" s="43" t="s">
        <v>738</v>
      </c>
      <c r="I152" s="45" t="s">
        <v>739</v>
      </c>
      <c r="J152" s="36"/>
      <c r="K152" s="36"/>
      <c r="L152" s="45"/>
      <c r="M152" s="36" t="s">
        <v>521</v>
      </c>
      <c r="N152" s="40"/>
      <c r="O152" s="35"/>
      <c r="P152" s="35"/>
      <c r="Q152" s="35"/>
      <c r="R152" s="35"/>
      <c r="S152" s="42"/>
      <c r="T152" s="35" t="s">
        <v>246</v>
      </c>
      <c r="U152" s="35"/>
      <c r="V152" s="36"/>
      <c r="W152" s="36"/>
      <c r="X152" s="43"/>
      <c r="Y152" s="35"/>
      <c r="Z152" s="47"/>
      <c r="AA152" s="35" t="s">
        <v>526</v>
      </c>
    </row>
    <row r="153" customFormat="false" ht="49.5" hidden="false" customHeight="true" outlineLevel="0" collapsed="false">
      <c r="A153" s="34" t="n">
        <v>152</v>
      </c>
      <c r="B153" s="37" t="s">
        <v>233</v>
      </c>
      <c r="C153" s="45" t="s">
        <v>248</v>
      </c>
      <c r="D153" s="43" t="s">
        <v>249</v>
      </c>
      <c r="E153" s="35" t="s">
        <v>211</v>
      </c>
      <c r="F153" s="39" t="s">
        <v>767</v>
      </c>
      <c r="G153" s="43" t="s">
        <v>737</v>
      </c>
      <c r="H153" s="43" t="s">
        <v>738</v>
      </c>
      <c r="I153" s="45" t="s">
        <v>739</v>
      </c>
      <c r="J153" s="36"/>
      <c r="K153" s="36"/>
      <c r="L153" s="45"/>
      <c r="M153" s="36" t="s">
        <v>521</v>
      </c>
      <c r="N153" s="40"/>
      <c r="O153" s="35"/>
      <c r="P153" s="35"/>
      <c r="Q153" s="35"/>
      <c r="R153" s="35"/>
      <c r="S153" s="42"/>
      <c r="T153" s="35" t="s">
        <v>246</v>
      </c>
      <c r="U153" s="35"/>
      <c r="V153" s="36"/>
      <c r="W153" s="36"/>
      <c r="X153" s="43"/>
      <c r="Y153" s="35"/>
      <c r="Z153" s="47"/>
      <c r="AA153" s="35" t="s">
        <v>526</v>
      </c>
    </row>
    <row r="154" customFormat="false" ht="49.5" hidden="false" customHeight="true" outlineLevel="0" collapsed="false">
      <c r="A154" s="34" t="n">
        <v>153</v>
      </c>
      <c r="B154" s="37" t="s">
        <v>233</v>
      </c>
      <c r="C154" s="45" t="s">
        <v>248</v>
      </c>
      <c r="D154" s="43" t="s">
        <v>249</v>
      </c>
      <c r="E154" s="35" t="s">
        <v>211</v>
      </c>
      <c r="F154" s="39" t="s">
        <v>768</v>
      </c>
      <c r="G154" s="43" t="s">
        <v>742</v>
      </c>
      <c r="H154" s="43" t="s">
        <v>247</v>
      </c>
      <c r="I154" s="45" t="s">
        <v>743</v>
      </c>
      <c r="J154" s="36"/>
      <c r="K154" s="36"/>
      <c r="L154" s="45"/>
      <c r="M154" s="36" t="s">
        <v>521</v>
      </c>
      <c r="N154" s="40"/>
      <c r="O154" s="35"/>
      <c r="P154" s="35"/>
      <c r="Q154" s="35"/>
      <c r="R154" s="35"/>
      <c r="S154" s="42"/>
      <c r="T154" s="35" t="s">
        <v>246</v>
      </c>
      <c r="U154" s="35"/>
      <c r="V154" s="36"/>
      <c r="W154" s="36"/>
      <c r="X154" s="43"/>
      <c r="Y154" s="35"/>
      <c r="Z154" s="47"/>
      <c r="AA154" s="35" t="s">
        <v>526</v>
      </c>
    </row>
    <row r="155" customFormat="false" ht="49.5" hidden="false" customHeight="true" outlineLevel="0" collapsed="false">
      <c r="A155" s="34" t="n">
        <v>154</v>
      </c>
      <c r="B155" s="37" t="s">
        <v>233</v>
      </c>
      <c r="C155" s="45" t="s">
        <v>248</v>
      </c>
      <c r="D155" s="43" t="s">
        <v>249</v>
      </c>
      <c r="E155" s="35" t="s">
        <v>211</v>
      </c>
      <c r="F155" s="39" t="s">
        <v>769</v>
      </c>
      <c r="G155" s="43" t="s">
        <v>737</v>
      </c>
      <c r="H155" s="43" t="s">
        <v>738</v>
      </c>
      <c r="I155" s="45" t="s">
        <v>739</v>
      </c>
      <c r="J155" s="36"/>
      <c r="K155" s="36"/>
      <c r="L155" s="45"/>
      <c r="M155" s="36" t="s">
        <v>521</v>
      </c>
      <c r="N155" s="40"/>
      <c r="O155" s="35"/>
      <c r="P155" s="35"/>
      <c r="Q155" s="35"/>
      <c r="R155" s="35"/>
      <c r="S155" s="42"/>
      <c r="T155" s="35" t="s">
        <v>246</v>
      </c>
      <c r="U155" s="35"/>
      <c r="V155" s="36"/>
      <c r="W155" s="36"/>
      <c r="X155" s="43"/>
      <c r="Y155" s="35"/>
      <c r="Z155" s="47"/>
      <c r="AA155" s="35" t="s">
        <v>526</v>
      </c>
    </row>
    <row r="156" customFormat="false" ht="49.5" hidden="false" customHeight="true" outlineLevel="0" collapsed="false">
      <c r="A156" s="34" t="n">
        <v>155</v>
      </c>
      <c r="B156" s="37" t="s">
        <v>233</v>
      </c>
      <c r="C156" s="45" t="s">
        <v>248</v>
      </c>
      <c r="D156" s="43" t="s">
        <v>249</v>
      </c>
      <c r="E156" s="35" t="s">
        <v>211</v>
      </c>
      <c r="F156" s="39" t="s">
        <v>770</v>
      </c>
      <c r="G156" s="43" t="s">
        <v>742</v>
      </c>
      <c r="H156" s="43" t="s">
        <v>247</v>
      </c>
      <c r="I156" s="45" t="s">
        <v>743</v>
      </c>
      <c r="J156" s="36"/>
      <c r="K156" s="36"/>
      <c r="L156" s="45"/>
      <c r="M156" s="36" t="s">
        <v>521</v>
      </c>
      <c r="N156" s="40"/>
      <c r="O156" s="35"/>
      <c r="P156" s="35"/>
      <c r="Q156" s="35"/>
      <c r="R156" s="35"/>
      <c r="S156" s="42"/>
      <c r="T156" s="35" t="s">
        <v>246</v>
      </c>
      <c r="U156" s="35"/>
      <c r="V156" s="36"/>
      <c r="W156" s="36"/>
      <c r="X156" s="43"/>
      <c r="Y156" s="35"/>
      <c r="Z156" s="47"/>
      <c r="AA156" s="35" t="s">
        <v>526</v>
      </c>
    </row>
    <row r="157" customFormat="false" ht="49.5" hidden="false" customHeight="true" outlineLevel="0" collapsed="false">
      <c r="A157" s="34" t="n">
        <v>156</v>
      </c>
      <c r="B157" s="37" t="s">
        <v>233</v>
      </c>
      <c r="C157" s="45" t="s">
        <v>248</v>
      </c>
      <c r="D157" s="43" t="s">
        <v>249</v>
      </c>
      <c r="E157" s="35" t="s">
        <v>211</v>
      </c>
      <c r="F157" s="39" t="s">
        <v>771</v>
      </c>
      <c r="G157" s="43" t="s">
        <v>737</v>
      </c>
      <c r="H157" s="43" t="s">
        <v>738</v>
      </c>
      <c r="I157" s="45" t="s">
        <v>739</v>
      </c>
      <c r="J157" s="36"/>
      <c r="K157" s="36"/>
      <c r="L157" s="45"/>
      <c r="M157" s="36" t="s">
        <v>521</v>
      </c>
      <c r="N157" s="40"/>
      <c r="O157" s="35"/>
      <c r="P157" s="35"/>
      <c r="Q157" s="35"/>
      <c r="R157" s="35"/>
      <c r="S157" s="42"/>
      <c r="T157" s="35" t="s">
        <v>246</v>
      </c>
      <c r="U157" s="35"/>
      <c r="V157" s="36"/>
      <c r="W157" s="36"/>
      <c r="X157" s="43"/>
      <c r="Y157" s="35"/>
      <c r="Z157" s="47"/>
      <c r="AA157" s="35" t="s">
        <v>526</v>
      </c>
    </row>
    <row r="158" customFormat="false" ht="49.5" hidden="false" customHeight="true" outlineLevel="0" collapsed="false">
      <c r="A158" s="34" t="n">
        <v>157</v>
      </c>
      <c r="B158" s="37" t="s">
        <v>233</v>
      </c>
      <c r="C158" s="45" t="s">
        <v>248</v>
      </c>
      <c r="D158" s="43" t="s">
        <v>249</v>
      </c>
      <c r="E158" s="35" t="s">
        <v>211</v>
      </c>
      <c r="F158" s="39" t="s">
        <v>772</v>
      </c>
      <c r="G158" s="43" t="s">
        <v>742</v>
      </c>
      <c r="H158" s="43" t="s">
        <v>247</v>
      </c>
      <c r="I158" s="45" t="s">
        <v>743</v>
      </c>
      <c r="J158" s="36"/>
      <c r="K158" s="36"/>
      <c r="L158" s="45"/>
      <c r="M158" s="36" t="s">
        <v>521</v>
      </c>
      <c r="N158" s="40"/>
      <c r="O158" s="35"/>
      <c r="P158" s="35"/>
      <c r="Q158" s="35"/>
      <c r="R158" s="35"/>
      <c r="S158" s="42"/>
      <c r="T158" s="35" t="s">
        <v>246</v>
      </c>
      <c r="U158" s="35"/>
      <c r="V158" s="36"/>
      <c r="W158" s="36"/>
      <c r="X158" s="43"/>
      <c r="Y158" s="35"/>
      <c r="Z158" s="47"/>
      <c r="AA158" s="35" t="s">
        <v>526</v>
      </c>
    </row>
    <row r="159" customFormat="false" ht="49.5" hidden="false" customHeight="true" outlineLevel="0" collapsed="false">
      <c r="A159" s="34" t="n">
        <v>158</v>
      </c>
      <c r="B159" s="37" t="s">
        <v>233</v>
      </c>
      <c r="C159" s="45" t="s">
        <v>248</v>
      </c>
      <c r="D159" s="43" t="s">
        <v>249</v>
      </c>
      <c r="E159" s="35" t="s">
        <v>211</v>
      </c>
      <c r="F159" s="39" t="s">
        <v>773</v>
      </c>
      <c r="G159" s="43" t="s">
        <v>742</v>
      </c>
      <c r="H159" s="43" t="s">
        <v>247</v>
      </c>
      <c r="I159" s="45" t="s">
        <v>743</v>
      </c>
      <c r="J159" s="36"/>
      <c r="K159" s="36"/>
      <c r="L159" s="45"/>
      <c r="M159" s="36" t="s">
        <v>521</v>
      </c>
      <c r="N159" s="40"/>
      <c r="O159" s="35"/>
      <c r="P159" s="35"/>
      <c r="Q159" s="35"/>
      <c r="R159" s="35"/>
      <c r="S159" s="42"/>
      <c r="T159" s="35" t="s">
        <v>246</v>
      </c>
      <c r="U159" s="35"/>
      <c r="V159" s="36"/>
      <c r="W159" s="36"/>
      <c r="X159" s="43"/>
      <c r="Y159" s="35"/>
      <c r="Z159" s="47"/>
      <c r="AA159" s="35" t="s">
        <v>526</v>
      </c>
    </row>
    <row r="160" customFormat="false" ht="49.5" hidden="false" customHeight="true" outlineLevel="0" collapsed="false">
      <c r="A160" s="34" t="n">
        <v>159</v>
      </c>
      <c r="B160" s="37" t="s">
        <v>233</v>
      </c>
      <c r="C160" s="45" t="s">
        <v>248</v>
      </c>
      <c r="D160" s="43" t="s">
        <v>249</v>
      </c>
      <c r="E160" s="35" t="s">
        <v>211</v>
      </c>
      <c r="F160" s="39" t="s">
        <v>774</v>
      </c>
      <c r="G160" s="43" t="s">
        <v>737</v>
      </c>
      <c r="H160" s="43" t="s">
        <v>738</v>
      </c>
      <c r="I160" s="45" t="s">
        <v>739</v>
      </c>
      <c r="J160" s="36"/>
      <c r="K160" s="36"/>
      <c r="L160" s="45"/>
      <c r="M160" s="36" t="s">
        <v>521</v>
      </c>
      <c r="N160" s="40"/>
      <c r="O160" s="35"/>
      <c r="P160" s="35"/>
      <c r="Q160" s="35"/>
      <c r="R160" s="35"/>
      <c r="S160" s="42"/>
      <c r="T160" s="35" t="s">
        <v>246</v>
      </c>
      <c r="U160" s="35"/>
      <c r="V160" s="36"/>
      <c r="W160" s="36"/>
      <c r="X160" s="43"/>
      <c r="Y160" s="35"/>
      <c r="Z160" s="47"/>
      <c r="AA160" s="35" t="s">
        <v>526</v>
      </c>
    </row>
    <row r="161" customFormat="false" ht="49.5" hidden="false" customHeight="true" outlineLevel="0" collapsed="false">
      <c r="A161" s="34" t="n">
        <v>160</v>
      </c>
      <c r="B161" s="37" t="s">
        <v>233</v>
      </c>
      <c r="C161" s="45" t="s">
        <v>248</v>
      </c>
      <c r="D161" s="43" t="s">
        <v>249</v>
      </c>
      <c r="E161" s="35" t="s">
        <v>211</v>
      </c>
      <c r="F161" s="39" t="s">
        <v>775</v>
      </c>
      <c r="G161" s="43" t="s">
        <v>737</v>
      </c>
      <c r="H161" s="43" t="s">
        <v>738</v>
      </c>
      <c r="I161" s="45" t="s">
        <v>739</v>
      </c>
      <c r="J161" s="36"/>
      <c r="K161" s="36"/>
      <c r="L161" s="45"/>
      <c r="M161" s="36" t="s">
        <v>521</v>
      </c>
      <c r="N161" s="40"/>
      <c r="O161" s="35"/>
      <c r="P161" s="35"/>
      <c r="Q161" s="35"/>
      <c r="R161" s="35"/>
      <c r="S161" s="42"/>
      <c r="T161" s="35" t="s">
        <v>246</v>
      </c>
      <c r="U161" s="35"/>
      <c r="V161" s="36"/>
      <c r="W161" s="36"/>
      <c r="X161" s="43"/>
      <c r="Y161" s="35"/>
      <c r="Z161" s="47"/>
      <c r="AA161" s="35" t="s">
        <v>526</v>
      </c>
    </row>
    <row r="162" customFormat="false" ht="49.5" hidden="false" customHeight="true" outlineLevel="0" collapsed="false">
      <c r="A162" s="34" t="n">
        <v>161</v>
      </c>
      <c r="B162" s="37" t="s">
        <v>233</v>
      </c>
      <c r="C162" s="45" t="s">
        <v>248</v>
      </c>
      <c r="D162" s="43" t="s">
        <v>249</v>
      </c>
      <c r="E162" s="35" t="s">
        <v>211</v>
      </c>
      <c r="F162" s="39" t="s">
        <v>776</v>
      </c>
      <c r="G162" s="43" t="s">
        <v>737</v>
      </c>
      <c r="H162" s="43" t="s">
        <v>738</v>
      </c>
      <c r="I162" s="45" t="s">
        <v>739</v>
      </c>
      <c r="J162" s="36"/>
      <c r="K162" s="36"/>
      <c r="L162" s="45"/>
      <c r="M162" s="36" t="s">
        <v>521</v>
      </c>
      <c r="N162" s="40"/>
      <c r="O162" s="35"/>
      <c r="P162" s="35"/>
      <c r="Q162" s="35"/>
      <c r="R162" s="35"/>
      <c r="S162" s="42"/>
      <c r="T162" s="35" t="s">
        <v>246</v>
      </c>
      <c r="U162" s="35"/>
      <c r="V162" s="36"/>
      <c r="W162" s="36"/>
      <c r="X162" s="43"/>
      <c r="Y162" s="35"/>
      <c r="Z162" s="47"/>
      <c r="AA162" s="35" t="s">
        <v>526</v>
      </c>
    </row>
    <row r="163" customFormat="false" ht="49.5" hidden="false" customHeight="true" outlineLevel="0" collapsed="false">
      <c r="A163" s="34" t="n">
        <v>162</v>
      </c>
      <c r="B163" s="37" t="s">
        <v>233</v>
      </c>
      <c r="C163" s="45" t="s">
        <v>248</v>
      </c>
      <c r="D163" s="43" t="s">
        <v>249</v>
      </c>
      <c r="E163" s="35" t="s">
        <v>211</v>
      </c>
      <c r="F163" s="39" t="s">
        <v>777</v>
      </c>
      <c r="G163" s="43" t="s">
        <v>778</v>
      </c>
      <c r="H163" s="43" t="s">
        <v>738</v>
      </c>
      <c r="I163" s="45" t="s">
        <v>779</v>
      </c>
      <c r="J163" s="36"/>
      <c r="K163" s="36"/>
      <c r="L163" s="45"/>
      <c r="M163" s="36" t="s">
        <v>521</v>
      </c>
      <c r="N163" s="40"/>
      <c r="O163" s="35"/>
      <c r="P163" s="35"/>
      <c r="Q163" s="35"/>
      <c r="R163" s="35"/>
      <c r="S163" s="42"/>
      <c r="T163" s="35" t="s">
        <v>780</v>
      </c>
      <c r="U163" s="35"/>
      <c r="V163" s="36"/>
      <c r="W163" s="36"/>
      <c r="X163" s="43"/>
      <c r="Y163" s="35"/>
      <c r="Z163" s="47"/>
      <c r="AA163" s="35" t="s">
        <v>526</v>
      </c>
    </row>
    <row r="164" customFormat="false" ht="49.5" hidden="false" customHeight="true" outlineLevel="0" collapsed="false">
      <c r="A164" s="34" t="n">
        <v>163</v>
      </c>
      <c r="B164" s="37" t="s">
        <v>233</v>
      </c>
      <c r="C164" s="45" t="s">
        <v>248</v>
      </c>
      <c r="D164" s="43" t="s">
        <v>249</v>
      </c>
      <c r="E164" s="35" t="s">
        <v>211</v>
      </c>
      <c r="F164" s="39" t="s">
        <v>781</v>
      </c>
      <c r="G164" s="43" t="s">
        <v>737</v>
      </c>
      <c r="H164" s="43" t="s">
        <v>738</v>
      </c>
      <c r="I164" s="45" t="s">
        <v>739</v>
      </c>
      <c r="J164" s="36"/>
      <c r="K164" s="36"/>
      <c r="L164" s="45"/>
      <c r="M164" s="36" t="s">
        <v>521</v>
      </c>
      <c r="N164" s="40"/>
      <c r="O164" s="35"/>
      <c r="P164" s="35"/>
      <c r="Q164" s="35"/>
      <c r="R164" s="35"/>
      <c r="S164" s="42"/>
      <c r="T164" s="35" t="s">
        <v>246</v>
      </c>
      <c r="U164" s="35"/>
      <c r="V164" s="36"/>
      <c r="W164" s="36"/>
      <c r="X164" s="43"/>
      <c r="Y164" s="35"/>
      <c r="Z164" s="47"/>
      <c r="AA164" s="35" t="s">
        <v>526</v>
      </c>
    </row>
    <row r="165" customFormat="false" ht="49.5" hidden="false" customHeight="true" outlineLevel="0" collapsed="false">
      <c r="A165" s="34" t="n">
        <v>164</v>
      </c>
      <c r="B165" s="37" t="s">
        <v>233</v>
      </c>
      <c r="C165" s="45" t="s">
        <v>248</v>
      </c>
      <c r="D165" s="43" t="s">
        <v>249</v>
      </c>
      <c r="E165" s="35" t="s">
        <v>211</v>
      </c>
      <c r="F165" s="39" t="s">
        <v>782</v>
      </c>
      <c r="G165" s="43" t="s">
        <v>783</v>
      </c>
      <c r="H165" s="43" t="s">
        <v>738</v>
      </c>
      <c r="I165" s="45" t="s">
        <v>739</v>
      </c>
      <c r="J165" s="36"/>
      <c r="K165" s="36"/>
      <c r="L165" s="45"/>
      <c r="M165" s="36" t="s">
        <v>521</v>
      </c>
      <c r="N165" s="40"/>
      <c r="O165" s="35"/>
      <c r="P165" s="35"/>
      <c r="Q165" s="35"/>
      <c r="R165" s="35"/>
      <c r="S165" s="42"/>
      <c r="T165" s="35" t="s">
        <v>784</v>
      </c>
      <c r="U165" s="35"/>
      <c r="V165" s="36"/>
      <c r="W165" s="36"/>
      <c r="X165" s="43"/>
      <c r="Y165" s="35"/>
      <c r="Z165" s="47"/>
      <c r="AA165" s="35" t="s">
        <v>526</v>
      </c>
    </row>
    <row r="166" customFormat="false" ht="49.5" hidden="false" customHeight="true" outlineLevel="0" collapsed="false">
      <c r="A166" s="34" t="n">
        <v>165</v>
      </c>
      <c r="B166" s="37" t="s">
        <v>233</v>
      </c>
      <c r="C166" s="45" t="s">
        <v>248</v>
      </c>
      <c r="D166" s="43" t="s">
        <v>249</v>
      </c>
      <c r="E166" s="35" t="s">
        <v>211</v>
      </c>
      <c r="F166" s="39" t="s">
        <v>785</v>
      </c>
      <c r="G166" s="43" t="s">
        <v>742</v>
      </c>
      <c r="H166" s="43" t="s">
        <v>247</v>
      </c>
      <c r="I166" s="45" t="s">
        <v>743</v>
      </c>
      <c r="J166" s="36"/>
      <c r="K166" s="36"/>
      <c r="L166" s="45"/>
      <c r="M166" s="36" t="s">
        <v>521</v>
      </c>
      <c r="N166" s="40"/>
      <c r="O166" s="35"/>
      <c r="P166" s="35"/>
      <c r="Q166" s="35"/>
      <c r="R166" s="35"/>
      <c r="S166" s="42"/>
      <c r="T166" s="35" t="s">
        <v>246</v>
      </c>
      <c r="U166" s="35"/>
      <c r="V166" s="36"/>
      <c r="W166" s="36"/>
      <c r="X166" s="43"/>
      <c r="Y166" s="35"/>
      <c r="Z166" s="47"/>
      <c r="AA166" s="35" t="s">
        <v>526</v>
      </c>
    </row>
    <row r="167" customFormat="false" ht="49.5" hidden="false" customHeight="true" outlineLevel="0" collapsed="false">
      <c r="A167" s="34" t="n">
        <v>166</v>
      </c>
      <c r="B167" s="37" t="s">
        <v>233</v>
      </c>
      <c r="C167" s="45" t="s">
        <v>248</v>
      </c>
      <c r="D167" s="43" t="s">
        <v>249</v>
      </c>
      <c r="E167" s="35" t="s">
        <v>211</v>
      </c>
      <c r="F167" s="39" t="s">
        <v>786</v>
      </c>
      <c r="G167" s="43" t="s">
        <v>742</v>
      </c>
      <c r="H167" s="43" t="s">
        <v>247</v>
      </c>
      <c r="I167" s="45" t="s">
        <v>743</v>
      </c>
      <c r="J167" s="36"/>
      <c r="K167" s="36"/>
      <c r="L167" s="45"/>
      <c r="M167" s="36" t="s">
        <v>521</v>
      </c>
      <c r="N167" s="40"/>
      <c r="O167" s="35"/>
      <c r="P167" s="35"/>
      <c r="Q167" s="35"/>
      <c r="R167" s="35"/>
      <c r="S167" s="42"/>
      <c r="T167" s="35" t="s">
        <v>246</v>
      </c>
      <c r="U167" s="35"/>
      <c r="V167" s="36"/>
      <c r="W167" s="36"/>
      <c r="X167" s="43"/>
      <c r="Y167" s="35"/>
      <c r="Z167" s="47"/>
      <c r="AA167" s="35" t="s">
        <v>526</v>
      </c>
    </row>
    <row r="168" customFormat="false" ht="49.5" hidden="false" customHeight="true" outlineLevel="0" collapsed="false">
      <c r="A168" s="34" t="n">
        <v>167</v>
      </c>
      <c r="B168" s="37" t="s">
        <v>233</v>
      </c>
      <c r="C168" s="45" t="s">
        <v>248</v>
      </c>
      <c r="D168" s="43" t="s">
        <v>249</v>
      </c>
      <c r="E168" s="35" t="s">
        <v>211</v>
      </c>
      <c r="F168" s="39" t="s">
        <v>787</v>
      </c>
      <c r="G168" s="43" t="s">
        <v>742</v>
      </c>
      <c r="H168" s="43" t="s">
        <v>247</v>
      </c>
      <c r="I168" s="45" t="s">
        <v>743</v>
      </c>
      <c r="J168" s="36"/>
      <c r="K168" s="36"/>
      <c r="L168" s="45"/>
      <c r="M168" s="36" t="s">
        <v>521</v>
      </c>
      <c r="N168" s="40"/>
      <c r="O168" s="35"/>
      <c r="P168" s="35"/>
      <c r="Q168" s="35"/>
      <c r="R168" s="35"/>
      <c r="S168" s="42"/>
      <c r="T168" s="35" t="s">
        <v>246</v>
      </c>
      <c r="U168" s="35"/>
      <c r="V168" s="36"/>
      <c r="W168" s="36"/>
      <c r="X168" s="43"/>
      <c r="Y168" s="35"/>
      <c r="Z168" s="47"/>
      <c r="AA168" s="35" t="s">
        <v>526</v>
      </c>
    </row>
    <row r="169" customFormat="false" ht="49.5" hidden="false" customHeight="true" outlineLevel="0" collapsed="false">
      <c r="A169" s="34" t="n">
        <v>168</v>
      </c>
      <c r="B169" s="37" t="s">
        <v>233</v>
      </c>
      <c r="C169" s="45" t="s">
        <v>248</v>
      </c>
      <c r="D169" s="43" t="s">
        <v>249</v>
      </c>
      <c r="E169" s="35" t="s">
        <v>211</v>
      </c>
      <c r="F169" s="39" t="s">
        <v>788</v>
      </c>
      <c r="G169" s="43" t="s">
        <v>742</v>
      </c>
      <c r="H169" s="43" t="s">
        <v>247</v>
      </c>
      <c r="I169" s="45" t="s">
        <v>743</v>
      </c>
      <c r="J169" s="36"/>
      <c r="K169" s="36"/>
      <c r="L169" s="45"/>
      <c r="M169" s="36" t="s">
        <v>521</v>
      </c>
      <c r="N169" s="40"/>
      <c r="O169" s="35"/>
      <c r="P169" s="35"/>
      <c r="Q169" s="35"/>
      <c r="R169" s="35"/>
      <c r="S169" s="42"/>
      <c r="T169" s="35" t="s">
        <v>246</v>
      </c>
      <c r="U169" s="35"/>
      <c r="V169" s="36"/>
      <c r="W169" s="36"/>
      <c r="X169" s="43"/>
      <c r="Y169" s="35"/>
      <c r="Z169" s="47"/>
      <c r="AA169" s="35" t="s">
        <v>526</v>
      </c>
    </row>
    <row r="170" customFormat="false" ht="49.5" hidden="false" customHeight="true" outlineLevel="0" collapsed="false">
      <c r="A170" s="34" t="n">
        <v>169</v>
      </c>
      <c r="B170" s="37" t="s">
        <v>233</v>
      </c>
      <c r="C170" s="45" t="s">
        <v>248</v>
      </c>
      <c r="D170" s="43" t="s">
        <v>249</v>
      </c>
      <c r="E170" s="35" t="s">
        <v>211</v>
      </c>
      <c r="F170" s="39" t="s">
        <v>789</v>
      </c>
      <c r="G170" s="43" t="s">
        <v>742</v>
      </c>
      <c r="H170" s="43" t="s">
        <v>247</v>
      </c>
      <c r="I170" s="45" t="s">
        <v>743</v>
      </c>
      <c r="J170" s="36"/>
      <c r="K170" s="36"/>
      <c r="L170" s="45"/>
      <c r="M170" s="36" t="s">
        <v>521</v>
      </c>
      <c r="N170" s="40"/>
      <c r="O170" s="35"/>
      <c r="P170" s="35"/>
      <c r="Q170" s="35"/>
      <c r="R170" s="35"/>
      <c r="S170" s="42"/>
      <c r="T170" s="35" t="s">
        <v>246</v>
      </c>
      <c r="U170" s="35"/>
      <c r="V170" s="36"/>
      <c r="W170" s="36"/>
      <c r="X170" s="43"/>
      <c r="Y170" s="35"/>
      <c r="Z170" s="47"/>
      <c r="AA170" s="35" t="s">
        <v>526</v>
      </c>
    </row>
    <row r="171" customFormat="false" ht="49.5" hidden="false" customHeight="true" outlineLevel="0" collapsed="false">
      <c r="A171" s="34" t="n">
        <v>170</v>
      </c>
      <c r="B171" s="37" t="s">
        <v>233</v>
      </c>
      <c r="C171" s="45" t="s">
        <v>248</v>
      </c>
      <c r="D171" s="43" t="s">
        <v>249</v>
      </c>
      <c r="E171" s="35" t="s">
        <v>211</v>
      </c>
      <c r="F171" s="39" t="s">
        <v>790</v>
      </c>
      <c r="G171" s="43" t="s">
        <v>737</v>
      </c>
      <c r="H171" s="43" t="s">
        <v>738</v>
      </c>
      <c r="I171" s="45" t="s">
        <v>739</v>
      </c>
      <c r="J171" s="36"/>
      <c r="K171" s="36"/>
      <c r="L171" s="45"/>
      <c r="M171" s="36" t="s">
        <v>521</v>
      </c>
      <c r="N171" s="40"/>
      <c r="O171" s="35"/>
      <c r="P171" s="35"/>
      <c r="Q171" s="35"/>
      <c r="R171" s="35"/>
      <c r="S171" s="42"/>
      <c r="T171" s="35" t="s">
        <v>246</v>
      </c>
      <c r="U171" s="35"/>
      <c r="V171" s="36"/>
      <c r="W171" s="36"/>
      <c r="X171" s="43"/>
      <c r="Y171" s="35"/>
      <c r="Z171" s="47"/>
      <c r="AA171" s="35" t="s">
        <v>526</v>
      </c>
    </row>
    <row r="172" customFormat="false" ht="49.5" hidden="false" customHeight="true" outlineLevel="0" collapsed="false">
      <c r="A172" s="34" t="n">
        <v>171</v>
      </c>
      <c r="B172" s="37" t="s">
        <v>233</v>
      </c>
      <c r="C172" s="45" t="s">
        <v>248</v>
      </c>
      <c r="D172" s="43" t="s">
        <v>249</v>
      </c>
      <c r="E172" s="35" t="s">
        <v>211</v>
      </c>
      <c r="F172" s="39" t="s">
        <v>791</v>
      </c>
      <c r="G172" s="43" t="s">
        <v>742</v>
      </c>
      <c r="H172" s="43" t="s">
        <v>247</v>
      </c>
      <c r="I172" s="45" t="s">
        <v>743</v>
      </c>
      <c r="J172" s="36"/>
      <c r="K172" s="36"/>
      <c r="L172" s="45"/>
      <c r="M172" s="36" t="s">
        <v>521</v>
      </c>
      <c r="N172" s="40"/>
      <c r="O172" s="35"/>
      <c r="P172" s="35"/>
      <c r="Q172" s="35"/>
      <c r="R172" s="35"/>
      <c r="S172" s="42"/>
      <c r="T172" s="35" t="s">
        <v>246</v>
      </c>
      <c r="U172" s="35"/>
      <c r="V172" s="36"/>
      <c r="W172" s="36"/>
      <c r="X172" s="43"/>
      <c r="Y172" s="35"/>
      <c r="Z172" s="47"/>
      <c r="AA172" s="35" t="s">
        <v>526</v>
      </c>
    </row>
    <row r="173" customFormat="false" ht="49.5" hidden="false" customHeight="true" outlineLevel="0" collapsed="false">
      <c r="A173" s="34" t="n">
        <v>172</v>
      </c>
      <c r="B173" s="37" t="s">
        <v>233</v>
      </c>
      <c r="C173" s="45" t="s">
        <v>248</v>
      </c>
      <c r="D173" s="43" t="s">
        <v>249</v>
      </c>
      <c r="E173" s="35" t="s">
        <v>211</v>
      </c>
      <c r="F173" s="39" t="s">
        <v>792</v>
      </c>
      <c r="G173" s="43" t="s">
        <v>742</v>
      </c>
      <c r="H173" s="43" t="s">
        <v>247</v>
      </c>
      <c r="I173" s="45" t="s">
        <v>743</v>
      </c>
      <c r="J173" s="36"/>
      <c r="K173" s="36"/>
      <c r="L173" s="45"/>
      <c r="M173" s="36" t="s">
        <v>521</v>
      </c>
      <c r="N173" s="40"/>
      <c r="O173" s="35"/>
      <c r="P173" s="35"/>
      <c r="Q173" s="35"/>
      <c r="R173" s="35"/>
      <c r="S173" s="42"/>
      <c r="T173" s="35" t="s">
        <v>246</v>
      </c>
      <c r="U173" s="35"/>
      <c r="V173" s="36"/>
      <c r="W173" s="36"/>
      <c r="X173" s="43"/>
      <c r="Y173" s="35"/>
      <c r="Z173" s="47"/>
      <c r="AA173" s="35" t="s">
        <v>526</v>
      </c>
    </row>
    <row r="174" customFormat="false" ht="49.5" hidden="false" customHeight="true" outlineLevel="0" collapsed="false">
      <c r="A174" s="34" t="n">
        <v>173</v>
      </c>
      <c r="B174" s="37" t="s">
        <v>233</v>
      </c>
      <c r="C174" s="45" t="s">
        <v>248</v>
      </c>
      <c r="D174" s="43" t="s">
        <v>249</v>
      </c>
      <c r="E174" s="35" t="s">
        <v>211</v>
      </c>
      <c r="F174" s="39" t="s">
        <v>793</v>
      </c>
      <c r="G174" s="43" t="s">
        <v>737</v>
      </c>
      <c r="H174" s="43" t="s">
        <v>738</v>
      </c>
      <c r="I174" s="45" t="s">
        <v>739</v>
      </c>
      <c r="J174" s="36"/>
      <c r="K174" s="36"/>
      <c r="L174" s="45"/>
      <c r="M174" s="36" t="s">
        <v>521</v>
      </c>
      <c r="N174" s="40"/>
      <c r="O174" s="35"/>
      <c r="P174" s="35"/>
      <c r="Q174" s="35"/>
      <c r="R174" s="35"/>
      <c r="S174" s="42"/>
      <c r="T174" s="35" t="s">
        <v>246</v>
      </c>
      <c r="U174" s="35"/>
      <c r="V174" s="36"/>
      <c r="W174" s="36"/>
      <c r="X174" s="43"/>
      <c r="Y174" s="35"/>
      <c r="Z174" s="47"/>
      <c r="AA174" s="35" t="s">
        <v>526</v>
      </c>
    </row>
    <row r="175" customFormat="false" ht="49.5" hidden="false" customHeight="true" outlineLevel="0" collapsed="false">
      <c r="A175" s="34" t="n">
        <v>174</v>
      </c>
      <c r="B175" s="37" t="s">
        <v>233</v>
      </c>
      <c r="C175" s="45" t="s">
        <v>248</v>
      </c>
      <c r="D175" s="43" t="s">
        <v>249</v>
      </c>
      <c r="E175" s="35" t="s">
        <v>211</v>
      </c>
      <c r="F175" s="39" t="s">
        <v>794</v>
      </c>
      <c r="G175" s="43" t="s">
        <v>737</v>
      </c>
      <c r="H175" s="43" t="s">
        <v>738</v>
      </c>
      <c r="I175" s="45" t="s">
        <v>739</v>
      </c>
      <c r="J175" s="36"/>
      <c r="K175" s="36"/>
      <c r="L175" s="45"/>
      <c r="M175" s="36" t="s">
        <v>521</v>
      </c>
      <c r="N175" s="40"/>
      <c r="O175" s="35"/>
      <c r="P175" s="35"/>
      <c r="Q175" s="35"/>
      <c r="R175" s="35"/>
      <c r="S175" s="42"/>
      <c r="T175" s="35" t="s">
        <v>246</v>
      </c>
      <c r="U175" s="35"/>
      <c r="V175" s="36"/>
      <c r="W175" s="36"/>
      <c r="X175" s="43"/>
      <c r="Y175" s="35"/>
      <c r="Z175" s="47"/>
      <c r="AA175" s="35" t="s">
        <v>526</v>
      </c>
    </row>
    <row r="176" customFormat="false" ht="49.5" hidden="false" customHeight="true" outlineLevel="0" collapsed="false">
      <c r="A176" s="34" t="n">
        <v>175</v>
      </c>
      <c r="B176" s="37" t="s">
        <v>233</v>
      </c>
      <c r="C176" s="45" t="s">
        <v>248</v>
      </c>
      <c r="D176" s="43" t="s">
        <v>249</v>
      </c>
      <c r="E176" s="35" t="s">
        <v>211</v>
      </c>
      <c r="F176" s="39" t="s">
        <v>795</v>
      </c>
      <c r="G176" s="43" t="s">
        <v>737</v>
      </c>
      <c r="H176" s="43" t="s">
        <v>738</v>
      </c>
      <c r="I176" s="45" t="s">
        <v>739</v>
      </c>
      <c r="J176" s="36"/>
      <c r="K176" s="36"/>
      <c r="L176" s="45"/>
      <c r="M176" s="36" t="s">
        <v>521</v>
      </c>
      <c r="N176" s="40"/>
      <c r="O176" s="35"/>
      <c r="P176" s="35"/>
      <c r="Q176" s="35"/>
      <c r="R176" s="35"/>
      <c r="S176" s="42"/>
      <c r="T176" s="35" t="s">
        <v>246</v>
      </c>
      <c r="U176" s="35"/>
      <c r="V176" s="36"/>
      <c r="W176" s="36"/>
      <c r="X176" s="43"/>
      <c r="Y176" s="35"/>
      <c r="Z176" s="47"/>
      <c r="AA176" s="35" t="s">
        <v>526</v>
      </c>
    </row>
    <row r="177" customFormat="false" ht="49.5" hidden="false" customHeight="true" outlineLevel="0" collapsed="false">
      <c r="A177" s="34" t="n">
        <v>176</v>
      </c>
      <c r="B177" s="37" t="s">
        <v>233</v>
      </c>
      <c r="C177" s="45" t="s">
        <v>248</v>
      </c>
      <c r="D177" s="43" t="s">
        <v>249</v>
      </c>
      <c r="E177" s="35" t="s">
        <v>211</v>
      </c>
      <c r="F177" s="39" t="s">
        <v>796</v>
      </c>
      <c r="G177" s="43" t="s">
        <v>737</v>
      </c>
      <c r="H177" s="43" t="s">
        <v>738</v>
      </c>
      <c r="I177" s="45" t="s">
        <v>739</v>
      </c>
      <c r="J177" s="36"/>
      <c r="K177" s="36"/>
      <c r="L177" s="45"/>
      <c r="M177" s="36" t="s">
        <v>521</v>
      </c>
      <c r="N177" s="40"/>
      <c r="O177" s="35"/>
      <c r="P177" s="35"/>
      <c r="Q177" s="35"/>
      <c r="R177" s="35"/>
      <c r="S177" s="42"/>
      <c r="T177" s="35" t="s">
        <v>246</v>
      </c>
      <c r="U177" s="35"/>
      <c r="V177" s="36"/>
      <c r="W177" s="36"/>
      <c r="X177" s="43"/>
      <c r="Y177" s="35"/>
      <c r="Z177" s="47"/>
      <c r="AA177" s="35" t="s">
        <v>526</v>
      </c>
    </row>
    <row r="178" customFormat="false" ht="49.5" hidden="false" customHeight="true" outlineLevel="0" collapsed="false">
      <c r="A178" s="34" t="n">
        <v>177</v>
      </c>
      <c r="B178" s="37" t="s">
        <v>233</v>
      </c>
      <c r="C178" s="45" t="s">
        <v>248</v>
      </c>
      <c r="D178" s="43" t="s">
        <v>249</v>
      </c>
      <c r="E178" s="35" t="s">
        <v>211</v>
      </c>
      <c r="F178" s="39" t="s">
        <v>797</v>
      </c>
      <c r="G178" s="43" t="s">
        <v>737</v>
      </c>
      <c r="H178" s="43" t="s">
        <v>738</v>
      </c>
      <c r="I178" s="45" t="s">
        <v>739</v>
      </c>
      <c r="J178" s="36"/>
      <c r="K178" s="36"/>
      <c r="L178" s="45"/>
      <c r="M178" s="36" t="s">
        <v>521</v>
      </c>
      <c r="N178" s="40"/>
      <c r="O178" s="35"/>
      <c r="P178" s="35"/>
      <c r="Q178" s="35"/>
      <c r="R178" s="35"/>
      <c r="S178" s="42"/>
      <c r="T178" s="35" t="s">
        <v>246</v>
      </c>
      <c r="U178" s="35"/>
      <c r="V178" s="36"/>
      <c r="W178" s="36"/>
      <c r="X178" s="43"/>
      <c r="Y178" s="35"/>
      <c r="Z178" s="47"/>
      <c r="AA178" s="35" t="s">
        <v>526</v>
      </c>
    </row>
    <row r="179" customFormat="false" ht="49.5" hidden="false" customHeight="true" outlineLevel="0" collapsed="false">
      <c r="A179" s="34" t="n">
        <v>178</v>
      </c>
      <c r="B179" s="37" t="s">
        <v>233</v>
      </c>
      <c r="C179" s="45" t="s">
        <v>248</v>
      </c>
      <c r="D179" s="43" t="s">
        <v>249</v>
      </c>
      <c r="E179" s="35" t="s">
        <v>211</v>
      </c>
      <c r="F179" s="39" t="s">
        <v>798</v>
      </c>
      <c r="G179" s="43" t="s">
        <v>742</v>
      </c>
      <c r="H179" s="43" t="s">
        <v>247</v>
      </c>
      <c r="I179" s="45" t="s">
        <v>743</v>
      </c>
      <c r="J179" s="36"/>
      <c r="K179" s="36"/>
      <c r="L179" s="45"/>
      <c r="M179" s="36" t="s">
        <v>521</v>
      </c>
      <c r="N179" s="40"/>
      <c r="O179" s="35"/>
      <c r="P179" s="35"/>
      <c r="Q179" s="35"/>
      <c r="R179" s="35"/>
      <c r="S179" s="42"/>
      <c r="T179" s="35" t="s">
        <v>246</v>
      </c>
      <c r="U179" s="35"/>
      <c r="V179" s="36"/>
      <c r="W179" s="36"/>
      <c r="X179" s="43"/>
      <c r="Y179" s="35"/>
      <c r="Z179" s="47"/>
      <c r="AA179" s="35" t="s">
        <v>526</v>
      </c>
    </row>
    <row r="180" customFormat="false" ht="49.5" hidden="false" customHeight="true" outlineLevel="0" collapsed="false">
      <c r="A180" s="34" t="n">
        <v>179</v>
      </c>
      <c r="B180" s="37" t="s">
        <v>233</v>
      </c>
      <c r="C180" s="45" t="s">
        <v>248</v>
      </c>
      <c r="D180" s="43" t="s">
        <v>249</v>
      </c>
      <c r="E180" s="35" t="s">
        <v>211</v>
      </c>
      <c r="F180" s="39" t="s">
        <v>799</v>
      </c>
      <c r="G180" s="43" t="s">
        <v>737</v>
      </c>
      <c r="H180" s="43" t="s">
        <v>738</v>
      </c>
      <c r="I180" s="45" t="s">
        <v>739</v>
      </c>
      <c r="J180" s="36"/>
      <c r="K180" s="36"/>
      <c r="L180" s="45"/>
      <c r="M180" s="36" t="s">
        <v>521</v>
      </c>
      <c r="N180" s="40"/>
      <c r="O180" s="35"/>
      <c r="P180" s="35"/>
      <c r="Q180" s="35"/>
      <c r="R180" s="35"/>
      <c r="S180" s="42"/>
      <c r="T180" s="35" t="s">
        <v>246</v>
      </c>
      <c r="U180" s="35"/>
      <c r="V180" s="36"/>
      <c r="W180" s="36"/>
      <c r="X180" s="43"/>
      <c r="Y180" s="35"/>
      <c r="Z180" s="47"/>
      <c r="AA180" s="35" t="s">
        <v>526</v>
      </c>
    </row>
    <row r="181" customFormat="false" ht="49.5" hidden="false" customHeight="true" outlineLevel="0" collapsed="false">
      <c r="A181" s="34" t="n">
        <v>180</v>
      </c>
      <c r="B181" s="37" t="s">
        <v>233</v>
      </c>
      <c r="C181" s="45" t="s">
        <v>248</v>
      </c>
      <c r="D181" s="43" t="s">
        <v>249</v>
      </c>
      <c r="E181" s="35" t="s">
        <v>211</v>
      </c>
      <c r="F181" s="39" t="s">
        <v>800</v>
      </c>
      <c r="G181" s="43" t="s">
        <v>737</v>
      </c>
      <c r="H181" s="43" t="s">
        <v>738</v>
      </c>
      <c r="I181" s="45" t="s">
        <v>739</v>
      </c>
      <c r="J181" s="36"/>
      <c r="K181" s="36"/>
      <c r="L181" s="45"/>
      <c r="M181" s="36" t="s">
        <v>521</v>
      </c>
      <c r="N181" s="40"/>
      <c r="O181" s="35"/>
      <c r="P181" s="35"/>
      <c r="Q181" s="35"/>
      <c r="R181" s="35"/>
      <c r="S181" s="42"/>
      <c r="T181" s="35" t="s">
        <v>246</v>
      </c>
      <c r="U181" s="35"/>
      <c r="V181" s="36"/>
      <c r="W181" s="36"/>
      <c r="X181" s="43"/>
      <c r="Y181" s="35"/>
      <c r="Z181" s="47"/>
      <c r="AA181" s="35" t="s">
        <v>526</v>
      </c>
    </row>
    <row r="182" customFormat="false" ht="49.5" hidden="false" customHeight="true" outlineLevel="0" collapsed="false">
      <c r="A182" s="34" t="n">
        <v>181</v>
      </c>
      <c r="B182" s="37" t="s">
        <v>233</v>
      </c>
      <c r="C182" s="45" t="s">
        <v>248</v>
      </c>
      <c r="D182" s="43" t="s">
        <v>249</v>
      </c>
      <c r="E182" s="35" t="s">
        <v>211</v>
      </c>
      <c r="F182" s="39" t="s">
        <v>801</v>
      </c>
      <c r="G182" s="43" t="s">
        <v>737</v>
      </c>
      <c r="H182" s="43" t="s">
        <v>738</v>
      </c>
      <c r="I182" s="45" t="s">
        <v>739</v>
      </c>
      <c r="J182" s="36"/>
      <c r="K182" s="36"/>
      <c r="L182" s="45"/>
      <c r="M182" s="36" t="s">
        <v>521</v>
      </c>
      <c r="N182" s="40"/>
      <c r="O182" s="35"/>
      <c r="P182" s="35"/>
      <c r="Q182" s="35"/>
      <c r="R182" s="35"/>
      <c r="S182" s="42"/>
      <c r="T182" s="35" t="s">
        <v>246</v>
      </c>
      <c r="U182" s="35"/>
      <c r="V182" s="36"/>
      <c r="W182" s="36"/>
      <c r="X182" s="43"/>
      <c r="Y182" s="35"/>
      <c r="Z182" s="47"/>
      <c r="AA182" s="35" t="s">
        <v>526</v>
      </c>
    </row>
    <row r="183" customFormat="false" ht="49.5" hidden="false" customHeight="true" outlineLevel="0" collapsed="false">
      <c r="A183" s="34" t="n">
        <v>182</v>
      </c>
      <c r="B183" s="37" t="s">
        <v>233</v>
      </c>
      <c r="C183" s="45" t="s">
        <v>248</v>
      </c>
      <c r="D183" s="43" t="s">
        <v>249</v>
      </c>
      <c r="E183" s="35" t="s">
        <v>211</v>
      </c>
      <c r="F183" s="39" t="s">
        <v>611</v>
      </c>
      <c r="G183" s="43" t="s">
        <v>742</v>
      </c>
      <c r="H183" s="43" t="s">
        <v>247</v>
      </c>
      <c r="I183" s="45" t="s">
        <v>743</v>
      </c>
      <c r="J183" s="36"/>
      <c r="K183" s="36"/>
      <c r="L183" s="45"/>
      <c r="M183" s="36" t="s">
        <v>521</v>
      </c>
      <c r="N183" s="40"/>
      <c r="O183" s="35"/>
      <c r="P183" s="35"/>
      <c r="Q183" s="35"/>
      <c r="R183" s="35"/>
      <c r="S183" s="42"/>
      <c r="T183" s="35" t="s">
        <v>246</v>
      </c>
      <c r="U183" s="35"/>
      <c r="V183" s="36"/>
      <c r="W183" s="36"/>
      <c r="X183" s="43"/>
      <c r="Y183" s="35"/>
      <c r="Z183" s="47"/>
      <c r="AA183" s="35" t="s">
        <v>526</v>
      </c>
    </row>
    <row r="184" customFormat="false" ht="49.5" hidden="false" customHeight="true" outlineLevel="0" collapsed="false">
      <c r="A184" s="34" t="n">
        <v>183</v>
      </c>
      <c r="B184" s="37" t="s">
        <v>233</v>
      </c>
      <c r="C184" s="45" t="s">
        <v>248</v>
      </c>
      <c r="D184" s="43" t="s">
        <v>249</v>
      </c>
      <c r="E184" s="35" t="s">
        <v>211</v>
      </c>
      <c r="F184" s="39" t="s">
        <v>802</v>
      </c>
      <c r="G184" s="43" t="s">
        <v>737</v>
      </c>
      <c r="H184" s="43" t="s">
        <v>738</v>
      </c>
      <c r="I184" s="45" t="s">
        <v>739</v>
      </c>
      <c r="J184" s="36"/>
      <c r="K184" s="36"/>
      <c r="L184" s="45"/>
      <c r="M184" s="36" t="s">
        <v>521</v>
      </c>
      <c r="N184" s="40"/>
      <c r="O184" s="35"/>
      <c r="P184" s="35"/>
      <c r="Q184" s="35"/>
      <c r="R184" s="35"/>
      <c r="S184" s="42"/>
      <c r="T184" s="35" t="s">
        <v>246</v>
      </c>
      <c r="U184" s="35"/>
      <c r="V184" s="36"/>
      <c r="W184" s="36"/>
      <c r="X184" s="43"/>
      <c r="Y184" s="35"/>
      <c r="Z184" s="47"/>
      <c r="AA184" s="35" t="s">
        <v>526</v>
      </c>
    </row>
    <row r="185" customFormat="false" ht="49.5" hidden="false" customHeight="true" outlineLevel="0" collapsed="false">
      <c r="A185" s="34" t="n">
        <v>184</v>
      </c>
      <c r="B185" s="37" t="s">
        <v>233</v>
      </c>
      <c r="C185" s="45" t="s">
        <v>248</v>
      </c>
      <c r="D185" s="43" t="s">
        <v>249</v>
      </c>
      <c r="E185" s="35" t="s">
        <v>211</v>
      </c>
      <c r="F185" s="39" t="s">
        <v>803</v>
      </c>
      <c r="G185" s="43" t="s">
        <v>783</v>
      </c>
      <c r="H185" s="43" t="s">
        <v>738</v>
      </c>
      <c r="I185" s="45" t="s">
        <v>739</v>
      </c>
      <c r="J185" s="36"/>
      <c r="K185" s="36"/>
      <c r="L185" s="45"/>
      <c r="M185" s="36" t="s">
        <v>521</v>
      </c>
      <c r="N185" s="40"/>
      <c r="O185" s="35"/>
      <c r="P185" s="35"/>
      <c r="Q185" s="35"/>
      <c r="R185" s="35"/>
      <c r="S185" s="42"/>
      <c r="T185" s="35" t="s">
        <v>784</v>
      </c>
      <c r="U185" s="35"/>
      <c r="V185" s="36"/>
      <c r="W185" s="36"/>
      <c r="X185" s="43"/>
      <c r="Y185" s="35"/>
      <c r="Z185" s="47"/>
      <c r="AA185" s="35" t="s">
        <v>526</v>
      </c>
    </row>
    <row r="186" customFormat="false" ht="49.5" hidden="false" customHeight="true" outlineLevel="0" collapsed="false">
      <c r="A186" s="34" t="n">
        <v>185</v>
      </c>
      <c r="B186" s="37" t="s">
        <v>233</v>
      </c>
      <c r="C186" s="45" t="s">
        <v>248</v>
      </c>
      <c r="D186" s="43" t="s">
        <v>249</v>
      </c>
      <c r="E186" s="35" t="s">
        <v>211</v>
      </c>
      <c r="F186" s="39" t="s">
        <v>804</v>
      </c>
      <c r="G186" s="43" t="s">
        <v>737</v>
      </c>
      <c r="H186" s="43" t="s">
        <v>738</v>
      </c>
      <c r="I186" s="45" t="s">
        <v>739</v>
      </c>
      <c r="J186" s="36"/>
      <c r="K186" s="36"/>
      <c r="L186" s="45"/>
      <c r="M186" s="36" t="s">
        <v>521</v>
      </c>
      <c r="N186" s="40"/>
      <c r="O186" s="35"/>
      <c r="P186" s="35"/>
      <c r="Q186" s="35"/>
      <c r="R186" s="35"/>
      <c r="S186" s="42"/>
      <c r="T186" s="35" t="s">
        <v>246</v>
      </c>
      <c r="U186" s="35"/>
      <c r="V186" s="36"/>
      <c r="W186" s="36"/>
      <c r="X186" s="43"/>
      <c r="Y186" s="35"/>
      <c r="Z186" s="47"/>
      <c r="AA186" s="35" t="s">
        <v>526</v>
      </c>
    </row>
    <row r="187" customFormat="false" ht="49.5" hidden="false" customHeight="true" outlineLevel="0" collapsed="false">
      <c r="A187" s="34" t="n">
        <v>186</v>
      </c>
      <c r="B187" s="37" t="s">
        <v>233</v>
      </c>
      <c r="C187" s="45" t="s">
        <v>248</v>
      </c>
      <c r="D187" s="43" t="s">
        <v>249</v>
      </c>
      <c r="E187" s="35" t="s">
        <v>211</v>
      </c>
      <c r="F187" s="39" t="s">
        <v>805</v>
      </c>
      <c r="G187" s="43" t="s">
        <v>737</v>
      </c>
      <c r="H187" s="43" t="s">
        <v>738</v>
      </c>
      <c r="I187" s="45" t="s">
        <v>739</v>
      </c>
      <c r="J187" s="36"/>
      <c r="K187" s="36"/>
      <c r="L187" s="45"/>
      <c r="M187" s="36" t="s">
        <v>521</v>
      </c>
      <c r="N187" s="40"/>
      <c r="O187" s="35"/>
      <c r="P187" s="35"/>
      <c r="Q187" s="35"/>
      <c r="R187" s="35"/>
      <c r="S187" s="42"/>
      <c r="T187" s="35" t="s">
        <v>246</v>
      </c>
      <c r="U187" s="35"/>
      <c r="V187" s="36"/>
      <c r="W187" s="36"/>
      <c r="X187" s="43"/>
      <c r="Y187" s="35"/>
      <c r="Z187" s="47"/>
      <c r="AA187" s="35" t="s">
        <v>526</v>
      </c>
    </row>
    <row r="188" customFormat="false" ht="49.5" hidden="false" customHeight="true" outlineLevel="0" collapsed="false">
      <c r="A188" s="34" t="n">
        <v>187</v>
      </c>
      <c r="B188" s="37" t="s">
        <v>233</v>
      </c>
      <c r="C188" s="45" t="s">
        <v>248</v>
      </c>
      <c r="D188" s="43" t="s">
        <v>249</v>
      </c>
      <c r="E188" s="35" t="s">
        <v>211</v>
      </c>
      <c r="F188" s="39" t="s">
        <v>806</v>
      </c>
      <c r="G188" s="43" t="s">
        <v>742</v>
      </c>
      <c r="H188" s="43" t="s">
        <v>247</v>
      </c>
      <c r="I188" s="45" t="s">
        <v>743</v>
      </c>
      <c r="J188" s="36"/>
      <c r="K188" s="36"/>
      <c r="L188" s="45"/>
      <c r="M188" s="36" t="s">
        <v>521</v>
      </c>
      <c r="N188" s="40"/>
      <c r="O188" s="35"/>
      <c r="P188" s="35"/>
      <c r="Q188" s="35"/>
      <c r="R188" s="35"/>
      <c r="S188" s="42"/>
      <c r="T188" s="35" t="s">
        <v>246</v>
      </c>
      <c r="U188" s="35"/>
      <c r="V188" s="36"/>
      <c r="W188" s="36"/>
      <c r="X188" s="43"/>
      <c r="Y188" s="35"/>
      <c r="Z188" s="47"/>
      <c r="AA188" s="35" t="s">
        <v>526</v>
      </c>
    </row>
    <row r="189" customFormat="false" ht="49.5" hidden="false" customHeight="true" outlineLevel="0" collapsed="false">
      <c r="A189" s="34" t="n">
        <v>188</v>
      </c>
      <c r="B189" s="37" t="s">
        <v>233</v>
      </c>
      <c r="C189" s="45" t="s">
        <v>248</v>
      </c>
      <c r="D189" s="43" t="s">
        <v>249</v>
      </c>
      <c r="E189" s="35" t="s">
        <v>211</v>
      </c>
      <c r="F189" s="39" t="s">
        <v>807</v>
      </c>
      <c r="G189" s="43" t="s">
        <v>742</v>
      </c>
      <c r="H189" s="43" t="s">
        <v>247</v>
      </c>
      <c r="I189" s="45" t="s">
        <v>743</v>
      </c>
      <c r="J189" s="36"/>
      <c r="K189" s="36"/>
      <c r="L189" s="45"/>
      <c r="M189" s="36" t="s">
        <v>521</v>
      </c>
      <c r="N189" s="40"/>
      <c r="O189" s="35"/>
      <c r="P189" s="35"/>
      <c r="Q189" s="35"/>
      <c r="R189" s="35"/>
      <c r="S189" s="42"/>
      <c r="T189" s="35" t="s">
        <v>246</v>
      </c>
      <c r="U189" s="35"/>
      <c r="V189" s="36"/>
      <c r="W189" s="36"/>
      <c r="X189" s="43"/>
      <c r="Y189" s="35"/>
      <c r="Z189" s="47"/>
      <c r="AA189" s="35" t="s">
        <v>526</v>
      </c>
    </row>
    <row r="190" customFormat="false" ht="49.5" hidden="false" customHeight="true" outlineLevel="0" collapsed="false">
      <c r="A190" s="34" t="n">
        <v>189</v>
      </c>
      <c r="B190" s="37" t="s">
        <v>233</v>
      </c>
      <c r="C190" s="45" t="s">
        <v>248</v>
      </c>
      <c r="D190" s="43" t="s">
        <v>249</v>
      </c>
      <c r="E190" s="35" t="s">
        <v>211</v>
      </c>
      <c r="F190" s="39" t="s">
        <v>808</v>
      </c>
      <c r="G190" s="43" t="s">
        <v>742</v>
      </c>
      <c r="H190" s="43" t="s">
        <v>247</v>
      </c>
      <c r="I190" s="45" t="s">
        <v>743</v>
      </c>
      <c r="J190" s="36"/>
      <c r="K190" s="36"/>
      <c r="L190" s="45"/>
      <c r="M190" s="36" t="s">
        <v>521</v>
      </c>
      <c r="N190" s="40"/>
      <c r="O190" s="35"/>
      <c r="P190" s="35"/>
      <c r="Q190" s="35"/>
      <c r="R190" s="35"/>
      <c r="S190" s="42"/>
      <c r="T190" s="35" t="s">
        <v>246</v>
      </c>
      <c r="U190" s="35"/>
      <c r="V190" s="36"/>
      <c r="W190" s="36"/>
      <c r="X190" s="43"/>
      <c r="Y190" s="35"/>
      <c r="Z190" s="47"/>
      <c r="AA190" s="35" t="s">
        <v>526</v>
      </c>
    </row>
    <row r="191" customFormat="false" ht="49.5" hidden="false" customHeight="true" outlineLevel="0" collapsed="false">
      <c r="A191" s="34" t="n">
        <v>190</v>
      </c>
      <c r="B191" s="37" t="s">
        <v>233</v>
      </c>
      <c r="C191" s="45" t="s">
        <v>248</v>
      </c>
      <c r="D191" s="43" t="s">
        <v>249</v>
      </c>
      <c r="E191" s="35" t="s">
        <v>211</v>
      </c>
      <c r="F191" s="39" t="s">
        <v>809</v>
      </c>
      <c r="G191" s="43" t="s">
        <v>737</v>
      </c>
      <c r="H191" s="43" t="s">
        <v>738</v>
      </c>
      <c r="I191" s="45" t="s">
        <v>739</v>
      </c>
      <c r="J191" s="36"/>
      <c r="K191" s="36"/>
      <c r="L191" s="45"/>
      <c r="M191" s="36" t="s">
        <v>521</v>
      </c>
      <c r="N191" s="40"/>
      <c r="O191" s="35"/>
      <c r="P191" s="35"/>
      <c r="Q191" s="35"/>
      <c r="R191" s="35"/>
      <c r="S191" s="42"/>
      <c r="T191" s="35" t="s">
        <v>246</v>
      </c>
      <c r="U191" s="35"/>
      <c r="V191" s="36"/>
      <c r="W191" s="36"/>
      <c r="X191" s="43"/>
      <c r="Y191" s="35"/>
      <c r="Z191" s="47"/>
      <c r="AA191" s="35" t="s">
        <v>526</v>
      </c>
    </row>
    <row r="192" customFormat="false" ht="49.5" hidden="false" customHeight="true" outlineLevel="0" collapsed="false">
      <c r="A192" s="34" t="n">
        <v>191</v>
      </c>
      <c r="B192" s="37" t="s">
        <v>233</v>
      </c>
      <c r="C192" s="45" t="s">
        <v>248</v>
      </c>
      <c r="D192" s="43" t="s">
        <v>249</v>
      </c>
      <c r="E192" s="35" t="s">
        <v>211</v>
      </c>
      <c r="F192" s="39" t="s">
        <v>810</v>
      </c>
      <c r="G192" s="43" t="s">
        <v>742</v>
      </c>
      <c r="H192" s="43" t="s">
        <v>247</v>
      </c>
      <c r="I192" s="45" t="s">
        <v>743</v>
      </c>
      <c r="J192" s="36"/>
      <c r="K192" s="36"/>
      <c r="L192" s="45"/>
      <c r="M192" s="36" t="s">
        <v>521</v>
      </c>
      <c r="N192" s="40"/>
      <c r="O192" s="35"/>
      <c r="P192" s="35"/>
      <c r="Q192" s="35"/>
      <c r="R192" s="35"/>
      <c r="S192" s="42"/>
      <c r="T192" s="35" t="s">
        <v>246</v>
      </c>
      <c r="U192" s="35"/>
      <c r="V192" s="36"/>
      <c r="W192" s="36"/>
      <c r="X192" s="43"/>
      <c r="Y192" s="35"/>
      <c r="Z192" s="47"/>
      <c r="AA192" s="35" t="s">
        <v>526</v>
      </c>
    </row>
    <row r="193" customFormat="false" ht="49.5" hidden="false" customHeight="true" outlineLevel="0" collapsed="false">
      <c r="A193" s="34" t="n">
        <v>192</v>
      </c>
      <c r="B193" s="37" t="s">
        <v>233</v>
      </c>
      <c r="C193" s="45" t="s">
        <v>248</v>
      </c>
      <c r="D193" s="43" t="s">
        <v>249</v>
      </c>
      <c r="E193" s="35" t="s">
        <v>211</v>
      </c>
      <c r="F193" s="39" t="s">
        <v>811</v>
      </c>
      <c r="G193" s="43" t="s">
        <v>742</v>
      </c>
      <c r="H193" s="43" t="s">
        <v>247</v>
      </c>
      <c r="I193" s="45" t="s">
        <v>743</v>
      </c>
      <c r="J193" s="36"/>
      <c r="K193" s="36"/>
      <c r="L193" s="45"/>
      <c r="M193" s="36" t="s">
        <v>521</v>
      </c>
      <c r="N193" s="40"/>
      <c r="O193" s="35"/>
      <c r="P193" s="35"/>
      <c r="Q193" s="35"/>
      <c r="R193" s="35"/>
      <c r="S193" s="42"/>
      <c r="T193" s="35" t="s">
        <v>246</v>
      </c>
      <c r="U193" s="35"/>
      <c r="V193" s="36"/>
      <c r="W193" s="36"/>
      <c r="X193" s="43"/>
      <c r="Y193" s="35"/>
      <c r="Z193" s="47"/>
      <c r="AA193" s="35" t="s">
        <v>526</v>
      </c>
    </row>
    <row r="194" customFormat="false" ht="49.5" hidden="false" customHeight="true" outlineLevel="0" collapsed="false">
      <c r="A194" s="34" t="n">
        <v>193</v>
      </c>
      <c r="B194" s="37" t="s">
        <v>233</v>
      </c>
      <c r="C194" s="45" t="s">
        <v>248</v>
      </c>
      <c r="D194" s="43" t="s">
        <v>249</v>
      </c>
      <c r="E194" s="35" t="s">
        <v>211</v>
      </c>
      <c r="F194" s="39" t="s">
        <v>812</v>
      </c>
      <c r="G194" s="43" t="s">
        <v>737</v>
      </c>
      <c r="H194" s="43" t="s">
        <v>738</v>
      </c>
      <c r="I194" s="45" t="s">
        <v>739</v>
      </c>
      <c r="J194" s="36"/>
      <c r="K194" s="36"/>
      <c r="L194" s="45"/>
      <c r="M194" s="36" t="s">
        <v>521</v>
      </c>
      <c r="N194" s="40"/>
      <c r="O194" s="35"/>
      <c r="P194" s="35"/>
      <c r="Q194" s="35"/>
      <c r="R194" s="35"/>
      <c r="S194" s="42"/>
      <c r="T194" s="35" t="s">
        <v>246</v>
      </c>
      <c r="U194" s="35"/>
      <c r="V194" s="36"/>
      <c r="W194" s="36"/>
      <c r="X194" s="43"/>
      <c r="Y194" s="35"/>
      <c r="Z194" s="47"/>
      <c r="AA194" s="35" t="s">
        <v>526</v>
      </c>
    </row>
    <row r="195" customFormat="false" ht="49.5" hidden="false" customHeight="true" outlineLevel="0" collapsed="false">
      <c r="A195" s="34" t="n">
        <v>194</v>
      </c>
      <c r="B195" s="37" t="s">
        <v>233</v>
      </c>
      <c r="C195" s="45" t="s">
        <v>248</v>
      </c>
      <c r="D195" s="43" t="s">
        <v>249</v>
      </c>
      <c r="E195" s="35" t="s">
        <v>211</v>
      </c>
      <c r="F195" s="39" t="s">
        <v>813</v>
      </c>
      <c r="G195" s="43" t="s">
        <v>742</v>
      </c>
      <c r="H195" s="43" t="s">
        <v>247</v>
      </c>
      <c r="I195" s="45" t="s">
        <v>743</v>
      </c>
      <c r="J195" s="36"/>
      <c r="K195" s="36"/>
      <c r="L195" s="45"/>
      <c r="M195" s="36" t="s">
        <v>521</v>
      </c>
      <c r="N195" s="40"/>
      <c r="O195" s="35"/>
      <c r="P195" s="35"/>
      <c r="Q195" s="35"/>
      <c r="R195" s="35"/>
      <c r="S195" s="42"/>
      <c r="T195" s="35" t="s">
        <v>246</v>
      </c>
      <c r="U195" s="35"/>
      <c r="V195" s="36"/>
      <c r="W195" s="36"/>
      <c r="X195" s="43"/>
      <c r="Y195" s="35"/>
      <c r="Z195" s="47"/>
      <c r="AA195" s="35" t="s">
        <v>526</v>
      </c>
    </row>
    <row r="196" customFormat="false" ht="49.5" hidden="false" customHeight="true" outlineLevel="0" collapsed="false">
      <c r="A196" s="34" t="n">
        <v>195</v>
      </c>
      <c r="B196" s="37" t="s">
        <v>233</v>
      </c>
      <c r="C196" s="45" t="s">
        <v>248</v>
      </c>
      <c r="D196" s="43" t="s">
        <v>249</v>
      </c>
      <c r="E196" s="35" t="s">
        <v>211</v>
      </c>
      <c r="F196" s="39" t="s">
        <v>814</v>
      </c>
      <c r="G196" s="43" t="s">
        <v>737</v>
      </c>
      <c r="H196" s="43" t="s">
        <v>738</v>
      </c>
      <c r="I196" s="45" t="s">
        <v>739</v>
      </c>
      <c r="J196" s="36"/>
      <c r="K196" s="36"/>
      <c r="L196" s="45"/>
      <c r="M196" s="36" t="s">
        <v>521</v>
      </c>
      <c r="N196" s="40"/>
      <c r="O196" s="35"/>
      <c r="P196" s="35"/>
      <c r="Q196" s="35"/>
      <c r="R196" s="35"/>
      <c r="S196" s="42"/>
      <c r="T196" s="35" t="s">
        <v>246</v>
      </c>
      <c r="U196" s="35"/>
      <c r="V196" s="36"/>
      <c r="W196" s="36"/>
      <c r="X196" s="43"/>
      <c r="Y196" s="35"/>
      <c r="Z196" s="47"/>
      <c r="AA196" s="35" t="s">
        <v>526</v>
      </c>
    </row>
    <row r="197" customFormat="false" ht="49.5" hidden="false" customHeight="true" outlineLevel="0" collapsed="false">
      <c r="A197" s="34" t="n">
        <v>196</v>
      </c>
      <c r="B197" s="37" t="s">
        <v>233</v>
      </c>
      <c r="C197" s="45" t="s">
        <v>248</v>
      </c>
      <c r="D197" s="43" t="s">
        <v>249</v>
      </c>
      <c r="E197" s="35" t="s">
        <v>211</v>
      </c>
      <c r="F197" s="39" t="s">
        <v>815</v>
      </c>
      <c r="G197" s="43" t="s">
        <v>737</v>
      </c>
      <c r="H197" s="43" t="s">
        <v>738</v>
      </c>
      <c r="I197" s="45" t="s">
        <v>739</v>
      </c>
      <c r="J197" s="36"/>
      <c r="K197" s="36"/>
      <c r="L197" s="45"/>
      <c r="M197" s="36" t="s">
        <v>521</v>
      </c>
      <c r="N197" s="40"/>
      <c r="O197" s="35"/>
      <c r="P197" s="35"/>
      <c r="Q197" s="35"/>
      <c r="R197" s="35"/>
      <c r="S197" s="42"/>
      <c r="T197" s="35" t="s">
        <v>246</v>
      </c>
      <c r="U197" s="35"/>
      <c r="V197" s="36"/>
      <c r="W197" s="36"/>
      <c r="X197" s="43"/>
      <c r="Y197" s="35"/>
      <c r="Z197" s="47"/>
      <c r="AA197" s="35" t="s">
        <v>526</v>
      </c>
    </row>
    <row r="198" customFormat="false" ht="34.5" hidden="false" customHeight="true" outlineLevel="0" collapsed="false">
      <c r="A198" s="34" t="n">
        <v>197</v>
      </c>
      <c r="B198" s="37" t="s">
        <v>233</v>
      </c>
      <c r="C198" s="45" t="s">
        <v>816</v>
      </c>
      <c r="D198" s="43" t="s">
        <v>817</v>
      </c>
      <c r="E198" s="35" t="s">
        <v>211</v>
      </c>
      <c r="F198" s="39" t="s">
        <v>818</v>
      </c>
      <c r="G198" s="43" t="s">
        <v>819</v>
      </c>
      <c r="H198" s="43" t="s">
        <v>820</v>
      </c>
      <c r="I198" s="45" t="s">
        <v>576</v>
      </c>
      <c r="J198" s="36" t="s">
        <v>80</v>
      </c>
      <c r="K198" s="36"/>
      <c r="L198" s="45"/>
      <c r="M198" s="36" t="s">
        <v>521</v>
      </c>
      <c r="N198" s="40"/>
      <c r="O198" s="35"/>
      <c r="P198" s="35"/>
      <c r="Q198" s="35"/>
      <c r="R198" s="35"/>
      <c r="S198" s="42"/>
      <c r="T198" s="35" t="s">
        <v>246</v>
      </c>
      <c r="U198" s="35"/>
      <c r="V198" s="36"/>
      <c r="W198" s="36"/>
      <c r="X198" s="43"/>
      <c r="Y198" s="35"/>
      <c r="Z198" s="47"/>
      <c r="AA198" s="35" t="s">
        <v>578</v>
      </c>
    </row>
    <row r="199" customFormat="false" ht="34.5" hidden="false" customHeight="true" outlineLevel="0" collapsed="false">
      <c r="A199" s="34" t="n">
        <v>198</v>
      </c>
      <c r="B199" s="37" t="s">
        <v>264</v>
      </c>
      <c r="C199" s="45" t="s">
        <v>821</v>
      </c>
      <c r="D199" s="43" t="s">
        <v>822</v>
      </c>
      <c r="E199" s="35" t="s">
        <v>268</v>
      </c>
      <c r="F199" s="39" t="s">
        <v>823</v>
      </c>
      <c r="G199" s="43" t="s">
        <v>824</v>
      </c>
      <c r="H199" s="44" t="s">
        <v>825</v>
      </c>
      <c r="I199" s="45" t="s">
        <v>576</v>
      </c>
      <c r="J199" s="36"/>
      <c r="K199" s="36"/>
      <c r="L199" s="45"/>
      <c r="M199" s="36" t="s">
        <v>521</v>
      </c>
      <c r="N199" s="40" t="n">
        <v>2000</v>
      </c>
      <c r="O199" s="35"/>
      <c r="P199" s="35" t="s">
        <v>265</v>
      </c>
      <c r="Q199" s="35" t="s">
        <v>67</v>
      </c>
      <c r="R199" s="35" t="s">
        <v>68</v>
      </c>
      <c r="S199" s="42" t="n">
        <v>3</v>
      </c>
      <c r="T199" s="35" t="s">
        <v>64</v>
      </c>
      <c r="U199" s="35" t="s">
        <v>204</v>
      </c>
      <c r="V199" s="36" t="s">
        <v>284</v>
      </c>
      <c r="W199" s="36" t="s">
        <v>826</v>
      </c>
      <c r="X199" s="43" t="s">
        <v>827</v>
      </c>
      <c r="Y199" s="41" t="s">
        <v>828</v>
      </c>
      <c r="Z199" s="47" t="n">
        <v>42761</v>
      </c>
      <c r="AA199" s="35" t="s">
        <v>526</v>
      </c>
    </row>
    <row r="200" customFormat="false" ht="34.5" hidden="false" customHeight="true" outlineLevel="0" collapsed="false">
      <c r="A200" s="34" t="n">
        <v>199</v>
      </c>
      <c r="B200" s="37" t="s">
        <v>264</v>
      </c>
      <c r="C200" s="45" t="s">
        <v>821</v>
      </c>
      <c r="D200" s="43" t="s">
        <v>822</v>
      </c>
      <c r="E200" s="35" t="s">
        <v>211</v>
      </c>
      <c r="F200" s="39" t="s">
        <v>829</v>
      </c>
      <c r="G200" s="43" t="s">
        <v>824</v>
      </c>
      <c r="H200" s="44" t="s">
        <v>825</v>
      </c>
      <c r="I200" s="45" t="s">
        <v>576</v>
      </c>
      <c r="J200" s="36"/>
      <c r="K200" s="36"/>
      <c r="L200" s="45"/>
      <c r="M200" s="36" t="s">
        <v>521</v>
      </c>
      <c r="N200" s="40" t="n">
        <v>2000</v>
      </c>
      <c r="O200" s="35"/>
      <c r="P200" s="35" t="s">
        <v>265</v>
      </c>
      <c r="Q200" s="35" t="s">
        <v>67</v>
      </c>
      <c r="R200" s="35" t="s">
        <v>68</v>
      </c>
      <c r="S200" s="42" t="n">
        <v>3</v>
      </c>
      <c r="T200" s="35" t="s">
        <v>64</v>
      </c>
      <c r="U200" s="35" t="s">
        <v>204</v>
      </c>
      <c r="V200" s="36" t="s">
        <v>226</v>
      </c>
      <c r="W200" s="36" t="s">
        <v>826</v>
      </c>
      <c r="X200" s="44" t="s">
        <v>830</v>
      </c>
      <c r="Y200" s="41" t="s">
        <v>831</v>
      </c>
      <c r="Z200" s="47" t="n">
        <v>44372</v>
      </c>
      <c r="AA200" s="35" t="s">
        <v>526</v>
      </c>
    </row>
    <row r="201" customFormat="false" ht="34.5" hidden="false" customHeight="true" outlineLevel="0" collapsed="false">
      <c r="A201" s="34" t="n">
        <v>200</v>
      </c>
      <c r="B201" s="37" t="s">
        <v>264</v>
      </c>
      <c r="C201" s="45" t="s">
        <v>821</v>
      </c>
      <c r="D201" s="43" t="s">
        <v>822</v>
      </c>
      <c r="E201" s="35" t="s">
        <v>211</v>
      </c>
      <c r="F201" s="39" t="s">
        <v>829</v>
      </c>
      <c r="G201" s="43" t="s">
        <v>824</v>
      </c>
      <c r="H201" s="44" t="s">
        <v>825</v>
      </c>
      <c r="I201" s="45" t="s">
        <v>576</v>
      </c>
      <c r="J201" s="36"/>
      <c r="K201" s="36"/>
      <c r="L201" s="45"/>
      <c r="M201" s="36" t="s">
        <v>521</v>
      </c>
      <c r="N201" s="40" t="n">
        <v>2000</v>
      </c>
      <c r="O201" s="35"/>
      <c r="P201" s="35" t="s">
        <v>265</v>
      </c>
      <c r="Q201" s="35" t="s">
        <v>67</v>
      </c>
      <c r="R201" s="35" t="s">
        <v>68</v>
      </c>
      <c r="S201" s="42" t="n">
        <v>3</v>
      </c>
      <c r="T201" s="35" t="s">
        <v>64</v>
      </c>
      <c r="U201" s="35" t="s">
        <v>204</v>
      </c>
      <c r="V201" s="36" t="s">
        <v>226</v>
      </c>
      <c r="W201" s="36" t="s">
        <v>524</v>
      </c>
      <c r="X201" s="44" t="s">
        <v>830</v>
      </c>
      <c r="Y201" s="41" t="s">
        <v>832</v>
      </c>
      <c r="Z201" s="47" t="n">
        <v>44210</v>
      </c>
      <c r="AA201" s="35" t="s">
        <v>526</v>
      </c>
    </row>
    <row r="202" customFormat="false" ht="34.5" hidden="false" customHeight="true" outlineLevel="0" collapsed="false">
      <c r="A202" s="34" t="n">
        <v>201</v>
      </c>
      <c r="B202" s="37" t="s">
        <v>264</v>
      </c>
      <c r="C202" s="45" t="s">
        <v>821</v>
      </c>
      <c r="D202" s="43" t="s">
        <v>822</v>
      </c>
      <c r="E202" s="35" t="s">
        <v>211</v>
      </c>
      <c r="F202" s="39" t="s">
        <v>833</v>
      </c>
      <c r="G202" s="43" t="s">
        <v>824</v>
      </c>
      <c r="H202" s="44" t="s">
        <v>825</v>
      </c>
      <c r="I202" s="45" t="s">
        <v>576</v>
      </c>
      <c r="J202" s="36"/>
      <c r="K202" s="36"/>
      <c r="L202" s="45"/>
      <c r="M202" s="36" t="s">
        <v>521</v>
      </c>
      <c r="N202" s="40" t="n">
        <v>2000</v>
      </c>
      <c r="O202" s="35"/>
      <c r="P202" s="35" t="s">
        <v>265</v>
      </c>
      <c r="Q202" s="35" t="s">
        <v>67</v>
      </c>
      <c r="R202" s="35" t="s">
        <v>68</v>
      </c>
      <c r="S202" s="42" t="n">
        <v>3</v>
      </c>
      <c r="T202" s="35" t="s">
        <v>64</v>
      </c>
      <c r="U202" s="35" t="s">
        <v>204</v>
      </c>
      <c r="V202" s="36" t="s">
        <v>226</v>
      </c>
      <c r="W202" s="36" t="s">
        <v>826</v>
      </c>
      <c r="X202" s="44" t="s">
        <v>834</v>
      </c>
      <c r="Y202" s="41" t="s">
        <v>835</v>
      </c>
      <c r="Z202" s="47" t="n">
        <v>45492</v>
      </c>
      <c r="AA202" s="35" t="s">
        <v>526</v>
      </c>
    </row>
    <row r="203" customFormat="false" ht="34.5" hidden="false" customHeight="true" outlineLevel="0" collapsed="false">
      <c r="A203" s="34" t="n">
        <v>202</v>
      </c>
      <c r="B203" s="37" t="s">
        <v>264</v>
      </c>
      <c r="C203" s="45" t="s">
        <v>821</v>
      </c>
      <c r="D203" s="43" t="s">
        <v>822</v>
      </c>
      <c r="E203" s="35" t="s">
        <v>268</v>
      </c>
      <c r="F203" s="39" t="s">
        <v>836</v>
      </c>
      <c r="G203" s="43" t="s">
        <v>824</v>
      </c>
      <c r="H203" s="44" t="s">
        <v>825</v>
      </c>
      <c r="I203" s="45" t="s">
        <v>576</v>
      </c>
      <c r="J203" s="36"/>
      <c r="K203" s="36"/>
      <c r="L203" s="45"/>
      <c r="M203" s="36" t="s">
        <v>521</v>
      </c>
      <c r="N203" s="40" t="n">
        <v>2000</v>
      </c>
      <c r="O203" s="35"/>
      <c r="P203" s="35" t="s">
        <v>265</v>
      </c>
      <c r="Q203" s="35" t="s">
        <v>67</v>
      </c>
      <c r="R203" s="35" t="s">
        <v>68</v>
      </c>
      <c r="S203" s="42" t="n">
        <v>3</v>
      </c>
      <c r="T203" s="35" t="s">
        <v>64</v>
      </c>
      <c r="U203" s="35" t="s">
        <v>204</v>
      </c>
      <c r="V203" s="36" t="s">
        <v>226</v>
      </c>
      <c r="W203" s="36" t="s">
        <v>826</v>
      </c>
      <c r="X203" s="44" t="s">
        <v>837</v>
      </c>
      <c r="Y203" s="41" t="s">
        <v>838</v>
      </c>
      <c r="Z203" s="47" t="n">
        <v>43775</v>
      </c>
      <c r="AA203" s="35" t="s">
        <v>526</v>
      </c>
    </row>
    <row r="204" customFormat="false" ht="34.5" hidden="false" customHeight="true" outlineLevel="0" collapsed="false">
      <c r="A204" s="34" t="n">
        <v>203</v>
      </c>
      <c r="B204" s="37" t="s">
        <v>264</v>
      </c>
      <c r="C204" s="45" t="s">
        <v>821</v>
      </c>
      <c r="D204" s="43" t="s">
        <v>822</v>
      </c>
      <c r="E204" s="35" t="s">
        <v>211</v>
      </c>
      <c r="F204" s="39" t="s">
        <v>839</v>
      </c>
      <c r="G204" s="43" t="s">
        <v>824</v>
      </c>
      <c r="H204" s="44" t="s">
        <v>825</v>
      </c>
      <c r="I204" s="45" t="s">
        <v>576</v>
      </c>
      <c r="J204" s="36"/>
      <c r="K204" s="36"/>
      <c r="L204" s="45"/>
      <c r="M204" s="36" t="s">
        <v>521</v>
      </c>
      <c r="N204" s="40" t="n">
        <v>2000</v>
      </c>
      <c r="O204" s="35"/>
      <c r="P204" s="35" t="s">
        <v>265</v>
      </c>
      <c r="Q204" s="35" t="s">
        <v>67</v>
      </c>
      <c r="R204" s="35" t="s">
        <v>68</v>
      </c>
      <c r="S204" s="42" t="n">
        <v>3</v>
      </c>
      <c r="T204" s="35" t="s">
        <v>64</v>
      </c>
      <c r="U204" s="35" t="s">
        <v>204</v>
      </c>
      <c r="V204" s="36" t="s">
        <v>226</v>
      </c>
      <c r="W204" s="36" t="s">
        <v>826</v>
      </c>
      <c r="X204" s="43" t="s">
        <v>840</v>
      </c>
      <c r="Y204" s="41" t="s">
        <v>841</v>
      </c>
      <c r="Z204" s="47" t="n">
        <v>45029</v>
      </c>
      <c r="AA204" s="35" t="s">
        <v>526</v>
      </c>
    </row>
    <row r="205" customFormat="false" ht="34.5" hidden="false" customHeight="true" outlineLevel="0" collapsed="false">
      <c r="A205" s="34" t="n">
        <v>204</v>
      </c>
      <c r="B205" s="37" t="s">
        <v>264</v>
      </c>
      <c r="C205" s="45" t="s">
        <v>821</v>
      </c>
      <c r="D205" s="43" t="s">
        <v>822</v>
      </c>
      <c r="E205" s="35" t="s">
        <v>268</v>
      </c>
      <c r="F205" s="39" t="s">
        <v>842</v>
      </c>
      <c r="G205" s="43" t="s">
        <v>843</v>
      </c>
      <c r="H205" s="44" t="s">
        <v>825</v>
      </c>
      <c r="I205" s="45" t="s">
        <v>584</v>
      </c>
      <c r="J205" s="36"/>
      <c r="K205" s="36"/>
      <c r="L205" s="45"/>
      <c r="M205" s="36" t="s">
        <v>521</v>
      </c>
      <c r="N205" s="40" t="n">
        <v>1000</v>
      </c>
      <c r="O205" s="35"/>
      <c r="P205" s="35" t="s">
        <v>265</v>
      </c>
      <c r="Q205" s="35" t="s">
        <v>67</v>
      </c>
      <c r="R205" s="35" t="s">
        <v>68</v>
      </c>
      <c r="S205" s="42" t="n">
        <v>3</v>
      </c>
      <c r="T205" s="35" t="s">
        <v>246</v>
      </c>
      <c r="U205" s="35" t="s">
        <v>537</v>
      </c>
      <c r="V205" s="36" t="s">
        <v>226</v>
      </c>
      <c r="W205" s="36" t="s">
        <v>524</v>
      </c>
      <c r="X205" s="43" t="s">
        <v>300</v>
      </c>
      <c r="Y205" s="41" t="s">
        <v>844</v>
      </c>
      <c r="Z205" s="47" t="n">
        <v>35458</v>
      </c>
      <c r="AA205" s="35" t="s">
        <v>526</v>
      </c>
    </row>
    <row r="206" customFormat="false" ht="34.5" hidden="false" customHeight="true" outlineLevel="0" collapsed="false">
      <c r="A206" s="34" t="n">
        <v>205</v>
      </c>
      <c r="B206" s="37" t="s">
        <v>264</v>
      </c>
      <c r="C206" s="45" t="s">
        <v>821</v>
      </c>
      <c r="D206" s="43" t="s">
        <v>822</v>
      </c>
      <c r="E206" s="35" t="s">
        <v>268</v>
      </c>
      <c r="F206" s="39" t="s">
        <v>842</v>
      </c>
      <c r="G206" s="43" t="s">
        <v>843</v>
      </c>
      <c r="H206" s="44" t="s">
        <v>825</v>
      </c>
      <c r="I206" s="45" t="s">
        <v>584</v>
      </c>
      <c r="J206" s="36"/>
      <c r="K206" s="36"/>
      <c r="L206" s="45"/>
      <c r="M206" s="36" t="s">
        <v>521</v>
      </c>
      <c r="N206" s="40" t="n">
        <v>1000</v>
      </c>
      <c r="O206" s="35"/>
      <c r="P206" s="35" t="s">
        <v>265</v>
      </c>
      <c r="Q206" s="35" t="s">
        <v>67</v>
      </c>
      <c r="R206" s="35" t="s">
        <v>68</v>
      </c>
      <c r="S206" s="42" t="n">
        <v>3</v>
      </c>
      <c r="T206" s="35" t="s">
        <v>246</v>
      </c>
      <c r="U206" s="35" t="s">
        <v>537</v>
      </c>
      <c r="V206" s="36" t="s">
        <v>226</v>
      </c>
      <c r="W206" s="36" t="s">
        <v>524</v>
      </c>
      <c r="X206" s="44" t="s">
        <v>553</v>
      </c>
      <c r="Y206" s="41" t="s">
        <v>845</v>
      </c>
      <c r="Z206" s="47" t="n">
        <v>36127</v>
      </c>
      <c r="AA206" s="35" t="s">
        <v>526</v>
      </c>
    </row>
    <row r="207" customFormat="false" ht="34.5" hidden="false" customHeight="true" outlineLevel="0" collapsed="false">
      <c r="A207" s="34" t="n">
        <v>206</v>
      </c>
      <c r="B207" s="37" t="s">
        <v>264</v>
      </c>
      <c r="C207" s="45" t="s">
        <v>821</v>
      </c>
      <c r="D207" s="43" t="s">
        <v>822</v>
      </c>
      <c r="E207" s="35" t="s">
        <v>268</v>
      </c>
      <c r="F207" s="39" t="s">
        <v>846</v>
      </c>
      <c r="G207" s="43" t="s">
        <v>824</v>
      </c>
      <c r="H207" s="44" t="s">
        <v>825</v>
      </c>
      <c r="I207" s="45" t="s">
        <v>576</v>
      </c>
      <c r="J207" s="36"/>
      <c r="K207" s="36"/>
      <c r="L207" s="45"/>
      <c r="M207" s="36" t="s">
        <v>521</v>
      </c>
      <c r="N207" s="40" t="n">
        <v>2000</v>
      </c>
      <c r="O207" s="35"/>
      <c r="P207" s="35" t="s">
        <v>265</v>
      </c>
      <c r="Q207" s="35" t="s">
        <v>67</v>
      </c>
      <c r="R207" s="35" t="s">
        <v>68</v>
      </c>
      <c r="S207" s="42" t="n">
        <v>3</v>
      </c>
      <c r="T207" s="35" t="s">
        <v>64</v>
      </c>
      <c r="U207" s="35" t="s">
        <v>204</v>
      </c>
      <c r="V207" s="36" t="s">
        <v>284</v>
      </c>
      <c r="W207" s="36" t="s">
        <v>524</v>
      </c>
      <c r="X207" s="44" t="s">
        <v>847</v>
      </c>
      <c r="Y207" s="41" t="s">
        <v>848</v>
      </c>
      <c r="Z207" s="47" t="n">
        <v>44284</v>
      </c>
      <c r="AA207" s="35" t="s">
        <v>526</v>
      </c>
    </row>
    <row r="208" customFormat="false" ht="34.5" hidden="false" customHeight="true" outlineLevel="0" collapsed="false">
      <c r="A208" s="34" t="n">
        <v>207</v>
      </c>
      <c r="B208" s="37" t="s">
        <v>264</v>
      </c>
      <c r="C208" s="45" t="s">
        <v>821</v>
      </c>
      <c r="D208" s="43" t="s">
        <v>822</v>
      </c>
      <c r="E208" s="35" t="s">
        <v>268</v>
      </c>
      <c r="F208" s="39" t="s">
        <v>846</v>
      </c>
      <c r="G208" s="43" t="s">
        <v>824</v>
      </c>
      <c r="H208" s="44" t="s">
        <v>825</v>
      </c>
      <c r="I208" s="45" t="s">
        <v>576</v>
      </c>
      <c r="J208" s="36"/>
      <c r="K208" s="36"/>
      <c r="L208" s="45"/>
      <c r="M208" s="36" t="s">
        <v>521</v>
      </c>
      <c r="N208" s="40" t="n">
        <v>2000</v>
      </c>
      <c r="O208" s="35"/>
      <c r="P208" s="35" t="s">
        <v>265</v>
      </c>
      <c r="Q208" s="35" t="s">
        <v>67</v>
      </c>
      <c r="R208" s="35" t="s">
        <v>68</v>
      </c>
      <c r="S208" s="42" t="n">
        <v>3</v>
      </c>
      <c r="T208" s="35" t="s">
        <v>64</v>
      </c>
      <c r="U208" s="35" t="s">
        <v>204</v>
      </c>
      <c r="V208" s="36" t="s">
        <v>284</v>
      </c>
      <c r="W208" s="36" t="s">
        <v>826</v>
      </c>
      <c r="X208" s="44" t="s">
        <v>847</v>
      </c>
      <c r="Y208" s="41" t="s">
        <v>849</v>
      </c>
      <c r="Z208" s="47" t="n">
        <v>44284</v>
      </c>
      <c r="AA208" s="35" t="s">
        <v>526</v>
      </c>
    </row>
    <row r="209" customFormat="false" ht="34.5" hidden="false" customHeight="true" outlineLevel="0" collapsed="false">
      <c r="A209" s="34" t="n">
        <v>208</v>
      </c>
      <c r="B209" s="37" t="s">
        <v>264</v>
      </c>
      <c r="C209" s="45" t="s">
        <v>821</v>
      </c>
      <c r="D209" s="43" t="s">
        <v>822</v>
      </c>
      <c r="E209" s="35" t="s">
        <v>268</v>
      </c>
      <c r="F209" s="39" t="s">
        <v>850</v>
      </c>
      <c r="G209" s="43" t="s">
        <v>824</v>
      </c>
      <c r="H209" s="44" t="s">
        <v>825</v>
      </c>
      <c r="I209" s="45" t="s">
        <v>576</v>
      </c>
      <c r="J209" s="36"/>
      <c r="K209" s="36"/>
      <c r="L209" s="45"/>
      <c r="M209" s="36" t="s">
        <v>521</v>
      </c>
      <c r="N209" s="40" t="n">
        <v>2000</v>
      </c>
      <c r="O209" s="35"/>
      <c r="P209" s="35" t="s">
        <v>265</v>
      </c>
      <c r="Q209" s="35" t="s">
        <v>67</v>
      </c>
      <c r="R209" s="35" t="s">
        <v>68</v>
      </c>
      <c r="S209" s="42" t="n">
        <v>3</v>
      </c>
      <c r="T209" s="35" t="s">
        <v>64</v>
      </c>
      <c r="U209" s="35" t="s">
        <v>537</v>
      </c>
      <c r="V209" s="36" t="s">
        <v>284</v>
      </c>
      <c r="W209" s="36" t="s">
        <v>524</v>
      </c>
      <c r="X209" s="44" t="s">
        <v>210</v>
      </c>
      <c r="Y209" s="41" t="s">
        <v>851</v>
      </c>
      <c r="Z209" s="47" t="n">
        <v>35464</v>
      </c>
      <c r="AA209" s="35" t="s">
        <v>526</v>
      </c>
    </row>
    <row r="210" customFormat="false" ht="34.5" hidden="false" customHeight="true" outlineLevel="0" collapsed="false">
      <c r="A210" s="34" t="n">
        <v>209</v>
      </c>
      <c r="B210" s="37" t="s">
        <v>264</v>
      </c>
      <c r="C210" s="45" t="s">
        <v>821</v>
      </c>
      <c r="D210" s="43" t="s">
        <v>822</v>
      </c>
      <c r="E210" s="35" t="s">
        <v>268</v>
      </c>
      <c r="F210" s="39" t="s">
        <v>852</v>
      </c>
      <c r="G210" s="43" t="s">
        <v>824</v>
      </c>
      <c r="H210" s="44" t="s">
        <v>825</v>
      </c>
      <c r="I210" s="45" t="s">
        <v>576</v>
      </c>
      <c r="J210" s="36"/>
      <c r="K210" s="36"/>
      <c r="L210" s="45"/>
      <c r="M210" s="36" t="s">
        <v>521</v>
      </c>
      <c r="N210" s="40" t="n">
        <v>2000</v>
      </c>
      <c r="O210" s="35"/>
      <c r="P210" s="35" t="s">
        <v>265</v>
      </c>
      <c r="Q210" s="35" t="s">
        <v>67</v>
      </c>
      <c r="R210" s="35" t="s">
        <v>68</v>
      </c>
      <c r="S210" s="42" t="n">
        <v>3</v>
      </c>
      <c r="T210" s="35" t="s">
        <v>64</v>
      </c>
      <c r="U210" s="35" t="s">
        <v>204</v>
      </c>
      <c r="V210" s="36" t="s">
        <v>284</v>
      </c>
      <c r="W210" s="36" t="s">
        <v>826</v>
      </c>
      <c r="X210" s="43" t="s">
        <v>853</v>
      </c>
      <c r="Y210" s="41" t="s">
        <v>854</v>
      </c>
      <c r="Z210" s="47" t="n">
        <v>44337</v>
      </c>
      <c r="AA210" s="35" t="s">
        <v>526</v>
      </c>
    </row>
    <row r="211" customFormat="false" ht="34.5" hidden="false" customHeight="true" outlineLevel="0" collapsed="false">
      <c r="A211" s="34" t="n">
        <v>210</v>
      </c>
      <c r="B211" s="37" t="s">
        <v>264</v>
      </c>
      <c r="C211" s="45" t="s">
        <v>821</v>
      </c>
      <c r="D211" s="43" t="s">
        <v>822</v>
      </c>
      <c r="E211" s="35" t="s">
        <v>268</v>
      </c>
      <c r="F211" s="39" t="s">
        <v>855</v>
      </c>
      <c r="G211" s="43" t="s">
        <v>824</v>
      </c>
      <c r="H211" s="44" t="s">
        <v>825</v>
      </c>
      <c r="I211" s="45" t="s">
        <v>576</v>
      </c>
      <c r="J211" s="36"/>
      <c r="K211" s="36"/>
      <c r="L211" s="45"/>
      <c r="M211" s="36" t="s">
        <v>521</v>
      </c>
      <c r="N211" s="40" t="n">
        <v>2000</v>
      </c>
      <c r="O211" s="35"/>
      <c r="P211" s="35" t="s">
        <v>265</v>
      </c>
      <c r="Q211" s="35" t="s">
        <v>67</v>
      </c>
      <c r="R211" s="35" t="s">
        <v>68</v>
      </c>
      <c r="S211" s="42" t="n">
        <v>3</v>
      </c>
      <c r="T211" s="35" t="s">
        <v>64</v>
      </c>
      <c r="U211" s="35" t="s">
        <v>204</v>
      </c>
      <c r="V211" s="36" t="s">
        <v>284</v>
      </c>
      <c r="W211" s="36" t="s">
        <v>826</v>
      </c>
      <c r="X211" s="44" t="s">
        <v>856</v>
      </c>
      <c r="Y211" s="41" t="s">
        <v>857</v>
      </c>
      <c r="Z211" s="47" t="n">
        <v>43362</v>
      </c>
      <c r="AA211" s="35" t="s">
        <v>526</v>
      </c>
    </row>
    <row r="212" customFormat="false" ht="34.5" hidden="false" customHeight="true" outlineLevel="0" collapsed="false">
      <c r="A212" s="34" t="n">
        <v>211</v>
      </c>
      <c r="B212" s="37" t="s">
        <v>264</v>
      </c>
      <c r="C212" s="45" t="s">
        <v>821</v>
      </c>
      <c r="D212" s="43" t="s">
        <v>822</v>
      </c>
      <c r="E212" s="35" t="s">
        <v>268</v>
      </c>
      <c r="F212" s="39" t="s">
        <v>858</v>
      </c>
      <c r="G212" s="43" t="s">
        <v>843</v>
      </c>
      <c r="H212" s="44" t="s">
        <v>825</v>
      </c>
      <c r="I212" s="45" t="s">
        <v>584</v>
      </c>
      <c r="J212" s="36"/>
      <c r="K212" s="36"/>
      <c r="L212" s="45"/>
      <c r="M212" s="36" t="s">
        <v>521</v>
      </c>
      <c r="N212" s="40" t="n">
        <v>1000</v>
      </c>
      <c r="O212" s="35"/>
      <c r="P212" s="35" t="s">
        <v>265</v>
      </c>
      <c r="Q212" s="35" t="s">
        <v>67</v>
      </c>
      <c r="R212" s="35" t="s">
        <v>68</v>
      </c>
      <c r="S212" s="42" t="n">
        <v>3</v>
      </c>
      <c r="T212" s="35" t="s">
        <v>246</v>
      </c>
      <c r="U212" s="35" t="s">
        <v>204</v>
      </c>
      <c r="V212" s="36" t="s">
        <v>226</v>
      </c>
      <c r="W212" s="36" t="s">
        <v>524</v>
      </c>
      <c r="X212" s="44" t="s">
        <v>341</v>
      </c>
      <c r="Y212" s="41" t="s">
        <v>859</v>
      </c>
      <c r="Z212" s="47" t="n">
        <v>43929</v>
      </c>
      <c r="AA212" s="35" t="s">
        <v>526</v>
      </c>
    </row>
    <row r="213" customFormat="false" ht="34.5" hidden="false" customHeight="true" outlineLevel="0" collapsed="false">
      <c r="A213" s="34" t="n">
        <v>212</v>
      </c>
      <c r="B213" s="37" t="s">
        <v>264</v>
      </c>
      <c r="C213" s="45" t="s">
        <v>821</v>
      </c>
      <c r="D213" s="43" t="s">
        <v>822</v>
      </c>
      <c r="E213" s="35" t="s">
        <v>268</v>
      </c>
      <c r="F213" s="39" t="s">
        <v>860</v>
      </c>
      <c r="G213" s="43" t="s">
        <v>824</v>
      </c>
      <c r="H213" s="44" t="s">
        <v>825</v>
      </c>
      <c r="I213" s="45" t="s">
        <v>576</v>
      </c>
      <c r="J213" s="36"/>
      <c r="K213" s="36"/>
      <c r="L213" s="45"/>
      <c r="M213" s="36" t="s">
        <v>521</v>
      </c>
      <c r="N213" s="40" t="n">
        <v>2000</v>
      </c>
      <c r="O213" s="35"/>
      <c r="P213" s="35" t="s">
        <v>265</v>
      </c>
      <c r="Q213" s="35" t="s">
        <v>67</v>
      </c>
      <c r="R213" s="35" t="s">
        <v>68</v>
      </c>
      <c r="S213" s="42" t="n">
        <v>3</v>
      </c>
      <c r="T213" s="35" t="s">
        <v>64</v>
      </c>
      <c r="U213" s="35" t="s">
        <v>204</v>
      </c>
      <c r="V213" s="36" t="s">
        <v>284</v>
      </c>
      <c r="W213" s="36" t="s">
        <v>524</v>
      </c>
      <c r="X213" s="43" t="s">
        <v>861</v>
      </c>
      <c r="Y213" s="41" t="s">
        <v>862</v>
      </c>
      <c r="Z213" s="47" t="n">
        <v>42964</v>
      </c>
      <c r="AA213" s="35" t="s">
        <v>526</v>
      </c>
    </row>
    <row r="214" customFormat="false" ht="34.5" hidden="false" customHeight="true" outlineLevel="0" collapsed="false">
      <c r="A214" s="34" t="n">
        <v>213</v>
      </c>
      <c r="B214" s="37" t="s">
        <v>264</v>
      </c>
      <c r="C214" s="45" t="s">
        <v>821</v>
      </c>
      <c r="D214" s="43" t="s">
        <v>822</v>
      </c>
      <c r="E214" s="35" t="s">
        <v>268</v>
      </c>
      <c r="F214" s="39" t="s">
        <v>863</v>
      </c>
      <c r="G214" s="43" t="s">
        <v>824</v>
      </c>
      <c r="H214" s="44" t="s">
        <v>825</v>
      </c>
      <c r="I214" s="45" t="s">
        <v>576</v>
      </c>
      <c r="J214" s="36"/>
      <c r="K214" s="36"/>
      <c r="L214" s="45"/>
      <c r="M214" s="36" t="s">
        <v>521</v>
      </c>
      <c r="N214" s="40" t="n">
        <v>2000</v>
      </c>
      <c r="O214" s="35"/>
      <c r="P214" s="35" t="s">
        <v>265</v>
      </c>
      <c r="Q214" s="35" t="s">
        <v>67</v>
      </c>
      <c r="R214" s="35" t="s">
        <v>68</v>
      </c>
      <c r="S214" s="42" t="n">
        <v>3</v>
      </c>
      <c r="T214" s="35" t="s">
        <v>64</v>
      </c>
      <c r="U214" s="35" t="s">
        <v>204</v>
      </c>
      <c r="V214" s="36" t="s">
        <v>284</v>
      </c>
      <c r="W214" s="36" t="s">
        <v>524</v>
      </c>
      <c r="X214" s="43" t="s">
        <v>864</v>
      </c>
      <c r="Y214" s="41" t="s">
        <v>865</v>
      </c>
      <c r="Z214" s="47" t="n">
        <v>43563</v>
      </c>
      <c r="AA214" s="35" t="s">
        <v>526</v>
      </c>
    </row>
    <row r="215" customFormat="false" ht="34.5" hidden="false" customHeight="true" outlineLevel="0" collapsed="false">
      <c r="A215" s="34" t="n">
        <v>214</v>
      </c>
      <c r="B215" s="37" t="s">
        <v>264</v>
      </c>
      <c r="C215" s="45" t="s">
        <v>821</v>
      </c>
      <c r="D215" s="43" t="s">
        <v>822</v>
      </c>
      <c r="E215" s="35" t="s">
        <v>211</v>
      </c>
      <c r="F215" s="39" t="s">
        <v>866</v>
      </c>
      <c r="G215" s="43" t="s">
        <v>824</v>
      </c>
      <c r="H215" s="44" t="s">
        <v>825</v>
      </c>
      <c r="I215" s="45" t="s">
        <v>576</v>
      </c>
      <c r="J215" s="36"/>
      <c r="K215" s="36"/>
      <c r="L215" s="45"/>
      <c r="M215" s="36" t="s">
        <v>521</v>
      </c>
      <c r="N215" s="40" t="n">
        <v>2000</v>
      </c>
      <c r="O215" s="35"/>
      <c r="P215" s="35" t="s">
        <v>265</v>
      </c>
      <c r="Q215" s="35" t="s">
        <v>67</v>
      </c>
      <c r="R215" s="35" t="s">
        <v>68</v>
      </c>
      <c r="S215" s="42" t="n">
        <v>3</v>
      </c>
      <c r="T215" s="35" t="s">
        <v>64</v>
      </c>
      <c r="U215" s="35" t="s">
        <v>537</v>
      </c>
      <c r="V215" s="36" t="s">
        <v>284</v>
      </c>
      <c r="W215" s="36" t="s">
        <v>524</v>
      </c>
      <c r="X215" s="44" t="s">
        <v>867</v>
      </c>
      <c r="Y215" s="41" t="s">
        <v>868</v>
      </c>
      <c r="Z215" s="47" t="n">
        <v>44497</v>
      </c>
      <c r="AA215" s="35" t="s">
        <v>526</v>
      </c>
    </row>
    <row r="216" customFormat="false" ht="34.5" hidden="false" customHeight="true" outlineLevel="0" collapsed="false">
      <c r="A216" s="34" t="n">
        <v>215</v>
      </c>
      <c r="B216" s="37" t="s">
        <v>264</v>
      </c>
      <c r="C216" s="45" t="s">
        <v>821</v>
      </c>
      <c r="D216" s="43" t="s">
        <v>822</v>
      </c>
      <c r="E216" s="35" t="s">
        <v>211</v>
      </c>
      <c r="F216" s="39" t="s">
        <v>869</v>
      </c>
      <c r="G216" s="43" t="s">
        <v>824</v>
      </c>
      <c r="H216" s="44" t="s">
        <v>825</v>
      </c>
      <c r="I216" s="45" t="s">
        <v>576</v>
      </c>
      <c r="J216" s="36"/>
      <c r="K216" s="36"/>
      <c r="L216" s="45"/>
      <c r="M216" s="36" t="s">
        <v>521</v>
      </c>
      <c r="N216" s="40" t="n">
        <v>2000</v>
      </c>
      <c r="O216" s="35"/>
      <c r="P216" s="35" t="s">
        <v>265</v>
      </c>
      <c r="Q216" s="35" t="s">
        <v>67</v>
      </c>
      <c r="R216" s="35" t="s">
        <v>68</v>
      </c>
      <c r="S216" s="42" t="n">
        <v>3</v>
      </c>
      <c r="T216" s="35" t="s">
        <v>64</v>
      </c>
      <c r="U216" s="35" t="s">
        <v>204</v>
      </c>
      <c r="V216" s="36" t="s">
        <v>284</v>
      </c>
      <c r="W216" s="36" t="s">
        <v>524</v>
      </c>
      <c r="X216" s="44" t="s">
        <v>547</v>
      </c>
      <c r="Y216" s="41" t="s">
        <v>870</v>
      </c>
      <c r="Z216" s="47" t="n">
        <v>44806</v>
      </c>
      <c r="AA216" s="35" t="s">
        <v>526</v>
      </c>
    </row>
    <row r="217" customFormat="false" ht="34.5" hidden="false" customHeight="true" outlineLevel="0" collapsed="false">
      <c r="A217" s="34" t="n">
        <v>216</v>
      </c>
      <c r="B217" s="37" t="s">
        <v>264</v>
      </c>
      <c r="C217" s="45" t="s">
        <v>821</v>
      </c>
      <c r="D217" s="43" t="s">
        <v>822</v>
      </c>
      <c r="E217" s="35" t="s">
        <v>268</v>
      </c>
      <c r="F217" s="39" t="s">
        <v>871</v>
      </c>
      <c r="G217" s="43" t="s">
        <v>824</v>
      </c>
      <c r="H217" s="44" t="s">
        <v>825</v>
      </c>
      <c r="I217" s="45" t="s">
        <v>576</v>
      </c>
      <c r="J217" s="36"/>
      <c r="K217" s="36"/>
      <c r="L217" s="45"/>
      <c r="M217" s="36" t="s">
        <v>521</v>
      </c>
      <c r="N217" s="40" t="n">
        <v>2000</v>
      </c>
      <c r="O217" s="35"/>
      <c r="P217" s="35" t="s">
        <v>265</v>
      </c>
      <c r="Q217" s="35" t="s">
        <v>67</v>
      </c>
      <c r="R217" s="35" t="s">
        <v>68</v>
      </c>
      <c r="S217" s="42" t="n">
        <v>3</v>
      </c>
      <c r="T217" s="35" t="s">
        <v>64</v>
      </c>
      <c r="U217" s="35" t="s">
        <v>204</v>
      </c>
      <c r="V217" s="36" t="s">
        <v>284</v>
      </c>
      <c r="W217" s="36" t="s">
        <v>524</v>
      </c>
      <c r="X217" s="43" t="s">
        <v>872</v>
      </c>
      <c r="Y217" s="41" t="s">
        <v>873</v>
      </c>
      <c r="Z217" s="47" t="n">
        <v>42964</v>
      </c>
      <c r="AA217" s="35" t="s">
        <v>526</v>
      </c>
    </row>
    <row r="218" customFormat="false" ht="34.5" hidden="false" customHeight="true" outlineLevel="0" collapsed="false">
      <c r="A218" s="34" t="n">
        <v>217</v>
      </c>
      <c r="B218" s="37" t="s">
        <v>264</v>
      </c>
      <c r="C218" s="45" t="s">
        <v>821</v>
      </c>
      <c r="D218" s="43" t="s">
        <v>822</v>
      </c>
      <c r="E218" s="35" t="s">
        <v>268</v>
      </c>
      <c r="F218" s="39" t="s">
        <v>874</v>
      </c>
      <c r="G218" s="43" t="s">
        <v>824</v>
      </c>
      <c r="H218" s="44" t="s">
        <v>825</v>
      </c>
      <c r="I218" s="45" t="s">
        <v>576</v>
      </c>
      <c r="J218" s="36"/>
      <c r="K218" s="36"/>
      <c r="L218" s="45"/>
      <c r="M218" s="36" t="s">
        <v>521</v>
      </c>
      <c r="N218" s="40" t="n">
        <v>2000</v>
      </c>
      <c r="O218" s="35"/>
      <c r="P218" s="35" t="s">
        <v>265</v>
      </c>
      <c r="Q218" s="35" t="s">
        <v>67</v>
      </c>
      <c r="R218" s="35" t="s">
        <v>68</v>
      </c>
      <c r="S218" s="42" t="n">
        <v>3</v>
      </c>
      <c r="T218" s="35" t="s">
        <v>64</v>
      </c>
      <c r="U218" s="35" t="s">
        <v>537</v>
      </c>
      <c r="V218" s="36" t="s">
        <v>284</v>
      </c>
      <c r="W218" s="36" t="s">
        <v>524</v>
      </c>
      <c r="X218" s="44" t="s">
        <v>875</v>
      </c>
      <c r="Y218" s="41" t="s">
        <v>876</v>
      </c>
      <c r="Z218" s="47" t="n">
        <v>43955</v>
      </c>
      <c r="AA218" s="35" t="s">
        <v>526</v>
      </c>
    </row>
    <row r="219" customFormat="false" ht="34.5" hidden="false" customHeight="true" outlineLevel="0" collapsed="false">
      <c r="A219" s="34" t="n">
        <v>218</v>
      </c>
      <c r="B219" s="37" t="s">
        <v>264</v>
      </c>
      <c r="C219" s="45" t="s">
        <v>821</v>
      </c>
      <c r="D219" s="43" t="s">
        <v>822</v>
      </c>
      <c r="E219" s="35" t="s">
        <v>211</v>
      </c>
      <c r="F219" s="39" t="s">
        <v>877</v>
      </c>
      <c r="G219" s="43" t="s">
        <v>824</v>
      </c>
      <c r="H219" s="44" t="s">
        <v>825</v>
      </c>
      <c r="I219" s="45" t="s">
        <v>576</v>
      </c>
      <c r="J219" s="36"/>
      <c r="K219" s="36"/>
      <c r="L219" s="45"/>
      <c r="M219" s="36" t="s">
        <v>521</v>
      </c>
      <c r="N219" s="40" t="n">
        <v>2000</v>
      </c>
      <c r="O219" s="35"/>
      <c r="P219" s="35" t="s">
        <v>265</v>
      </c>
      <c r="Q219" s="35" t="s">
        <v>67</v>
      </c>
      <c r="R219" s="35" t="s">
        <v>68</v>
      </c>
      <c r="S219" s="42" t="n">
        <v>3</v>
      </c>
      <c r="T219" s="35" t="s">
        <v>64</v>
      </c>
      <c r="U219" s="35" t="s">
        <v>204</v>
      </c>
      <c r="V219" s="36" t="s">
        <v>284</v>
      </c>
      <c r="W219" s="36" t="s">
        <v>524</v>
      </c>
      <c r="X219" s="43" t="s">
        <v>878</v>
      </c>
      <c r="Y219" s="41" t="s">
        <v>879</v>
      </c>
      <c r="Z219" s="47" t="n">
        <v>44992</v>
      </c>
      <c r="AA219" s="35" t="s">
        <v>526</v>
      </c>
    </row>
    <row r="220" customFormat="false" ht="34.5" hidden="false" customHeight="true" outlineLevel="0" collapsed="false">
      <c r="A220" s="34" t="n">
        <v>219</v>
      </c>
      <c r="B220" s="37" t="s">
        <v>264</v>
      </c>
      <c r="C220" s="45" t="s">
        <v>821</v>
      </c>
      <c r="D220" s="43" t="s">
        <v>822</v>
      </c>
      <c r="E220" s="35" t="s">
        <v>268</v>
      </c>
      <c r="F220" s="39" t="s">
        <v>880</v>
      </c>
      <c r="G220" s="43" t="s">
        <v>824</v>
      </c>
      <c r="H220" s="44" t="s">
        <v>825</v>
      </c>
      <c r="I220" s="45" t="s">
        <v>576</v>
      </c>
      <c r="J220" s="36"/>
      <c r="K220" s="36"/>
      <c r="L220" s="45"/>
      <c r="M220" s="36" t="s">
        <v>521</v>
      </c>
      <c r="N220" s="40" t="n">
        <v>2000</v>
      </c>
      <c r="O220" s="35"/>
      <c r="P220" s="35" t="s">
        <v>265</v>
      </c>
      <c r="Q220" s="35" t="s">
        <v>67</v>
      </c>
      <c r="R220" s="35" t="s">
        <v>68</v>
      </c>
      <c r="S220" s="42" t="n">
        <v>3</v>
      </c>
      <c r="T220" s="35" t="s">
        <v>64</v>
      </c>
      <c r="U220" s="35" t="s">
        <v>204</v>
      </c>
      <c r="V220" s="36" t="s">
        <v>284</v>
      </c>
      <c r="W220" s="36" t="s">
        <v>524</v>
      </c>
      <c r="X220" s="44" t="s">
        <v>881</v>
      </c>
      <c r="Y220" s="41" t="s">
        <v>882</v>
      </c>
      <c r="Z220" s="47" t="n">
        <v>43199</v>
      </c>
      <c r="AA220" s="35" t="s">
        <v>526</v>
      </c>
    </row>
    <row r="221" customFormat="false" ht="34.5" hidden="false" customHeight="true" outlineLevel="0" collapsed="false">
      <c r="A221" s="34" t="n">
        <v>220</v>
      </c>
      <c r="B221" s="37" t="s">
        <v>264</v>
      </c>
      <c r="C221" s="45" t="s">
        <v>821</v>
      </c>
      <c r="D221" s="43" t="s">
        <v>822</v>
      </c>
      <c r="E221" s="35" t="s">
        <v>268</v>
      </c>
      <c r="F221" s="39" t="s">
        <v>883</v>
      </c>
      <c r="G221" s="43" t="s">
        <v>824</v>
      </c>
      <c r="H221" s="44" t="s">
        <v>825</v>
      </c>
      <c r="I221" s="45" t="s">
        <v>576</v>
      </c>
      <c r="J221" s="36"/>
      <c r="K221" s="36"/>
      <c r="L221" s="45"/>
      <c r="M221" s="36" t="s">
        <v>521</v>
      </c>
      <c r="N221" s="40" t="n">
        <v>2000</v>
      </c>
      <c r="O221" s="35"/>
      <c r="P221" s="35" t="s">
        <v>265</v>
      </c>
      <c r="Q221" s="35" t="s">
        <v>67</v>
      </c>
      <c r="R221" s="35" t="s">
        <v>68</v>
      </c>
      <c r="S221" s="42" t="n">
        <v>3</v>
      </c>
      <c r="T221" s="35" t="s">
        <v>64</v>
      </c>
      <c r="U221" s="35" t="s">
        <v>204</v>
      </c>
      <c r="V221" s="36" t="s">
        <v>226</v>
      </c>
      <c r="W221" s="36" t="s">
        <v>826</v>
      </c>
      <c r="X221" s="43" t="s">
        <v>884</v>
      </c>
      <c r="Y221" s="41" t="s">
        <v>885</v>
      </c>
      <c r="Z221" s="47" t="n">
        <v>43201</v>
      </c>
      <c r="AA221" s="35" t="s">
        <v>526</v>
      </c>
    </row>
    <row r="222" customFormat="false" ht="34.5" hidden="false" customHeight="true" outlineLevel="0" collapsed="false">
      <c r="A222" s="34" t="n">
        <v>221</v>
      </c>
      <c r="B222" s="37" t="s">
        <v>264</v>
      </c>
      <c r="C222" s="45" t="s">
        <v>821</v>
      </c>
      <c r="D222" s="43" t="s">
        <v>822</v>
      </c>
      <c r="E222" s="35" t="s">
        <v>211</v>
      </c>
      <c r="F222" s="39" t="s">
        <v>886</v>
      </c>
      <c r="G222" s="43" t="s">
        <v>824</v>
      </c>
      <c r="H222" s="44" t="s">
        <v>825</v>
      </c>
      <c r="I222" s="45" t="s">
        <v>576</v>
      </c>
      <c r="J222" s="36"/>
      <c r="K222" s="36"/>
      <c r="L222" s="45"/>
      <c r="M222" s="36" t="s">
        <v>521</v>
      </c>
      <c r="N222" s="40" t="n">
        <v>2000</v>
      </c>
      <c r="O222" s="35"/>
      <c r="P222" s="35" t="s">
        <v>265</v>
      </c>
      <c r="Q222" s="35" t="s">
        <v>67</v>
      </c>
      <c r="R222" s="35" t="s">
        <v>68</v>
      </c>
      <c r="S222" s="42" t="n">
        <v>3</v>
      </c>
      <c r="T222" s="35" t="s">
        <v>64</v>
      </c>
      <c r="U222" s="35" t="s">
        <v>204</v>
      </c>
      <c r="V222" s="36" t="s">
        <v>284</v>
      </c>
      <c r="W222" s="36" t="s">
        <v>524</v>
      </c>
      <c r="X222" s="44" t="s">
        <v>856</v>
      </c>
      <c r="Y222" s="41" t="s">
        <v>887</v>
      </c>
      <c r="Z222" s="47" t="n">
        <v>44183</v>
      </c>
      <c r="AA222" s="35" t="s">
        <v>526</v>
      </c>
    </row>
    <row r="223" customFormat="false" ht="34.5" hidden="false" customHeight="true" outlineLevel="0" collapsed="false">
      <c r="A223" s="34" t="n">
        <v>222</v>
      </c>
      <c r="B223" s="37" t="s">
        <v>264</v>
      </c>
      <c r="C223" s="45" t="s">
        <v>821</v>
      </c>
      <c r="D223" s="43" t="s">
        <v>822</v>
      </c>
      <c r="E223" s="35" t="s">
        <v>211</v>
      </c>
      <c r="F223" s="39" t="s">
        <v>888</v>
      </c>
      <c r="G223" s="43" t="s">
        <v>824</v>
      </c>
      <c r="H223" s="44" t="s">
        <v>825</v>
      </c>
      <c r="I223" s="45" t="s">
        <v>576</v>
      </c>
      <c r="J223" s="36"/>
      <c r="K223" s="36"/>
      <c r="L223" s="45"/>
      <c r="M223" s="36" t="s">
        <v>521</v>
      </c>
      <c r="N223" s="40" t="n">
        <v>2000</v>
      </c>
      <c r="O223" s="35"/>
      <c r="P223" s="35" t="s">
        <v>265</v>
      </c>
      <c r="Q223" s="35" t="s">
        <v>67</v>
      </c>
      <c r="R223" s="35" t="s">
        <v>68</v>
      </c>
      <c r="S223" s="42" t="n">
        <v>3</v>
      </c>
      <c r="T223" s="35" t="s">
        <v>64</v>
      </c>
      <c r="U223" s="35" t="s">
        <v>204</v>
      </c>
      <c r="V223" s="36" t="s">
        <v>226</v>
      </c>
      <c r="W223" s="36" t="s">
        <v>826</v>
      </c>
      <c r="X223" s="44" t="s">
        <v>889</v>
      </c>
      <c r="Y223" s="41" t="s">
        <v>890</v>
      </c>
      <c r="Z223" s="47" t="n">
        <v>45582</v>
      </c>
      <c r="AA223" s="35" t="s">
        <v>526</v>
      </c>
    </row>
    <row r="224" customFormat="false" ht="34.5" hidden="false" customHeight="true" outlineLevel="0" collapsed="false">
      <c r="A224" s="34" t="n">
        <v>223</v>
      </c>
      <c r="B224" s="37" t="s">
        <v>264</v>
      </c>
      <c r="C224" s="45" t="s">
        <v>821</v>
      </c>
      <c r="D224" s="43" t="s">
        <v>822</v>
      </c>
      <c r="E224" s="35" t="s">
        <v>268</v>
      </c>
      <c r="F224" s="39" t="s">
        <v>891</v>
      </c>
      <c r="G224" s="43" t="s">
        <v>824</v>
      </c>
      <c r="H224" s="44" t="s">
        <v>825</v>
      </c>
      <c r="I224" s="45" t="s">
        <v>576</v>
      </c>
      <c r="J224" s="36"/>
      <c r="K224" s="36"/>
      <c r="L224" s="45"/>
      <c r="M224" s="36" t="s">
        <v>521</v>
      </c>
      <c r="N224" s="40" t="n">
        <v>2000</v>
      </c>
      <c r="O224" s="35"/>
      <c r="P224" s="35" t="s">
        <v>265</v>
      </c>
      <c r="Q224" s="35" t="s">
        <v>67</v>
      </c>
      <c r="R224" s="35" t="s">
        <v>68</v>
      </c>
      <c r="S224" s="42" t="n">
        <v>3</v>
      </c>
      <c r="T224" s="35" t="s">
        <v>64</v>
      </c>
      <c r="U224" s="35" t="s">
        <v>537</v>
      </c>
      <c r="V224" s="36" t="s">
        <v>226</v>
      </c>
      <c r="W224" s="36" t="s">
        <v>826</v>
      </c>
      <c r="X224" s="43" t="s">
        <v>892</v>
      </c>
      <c r="Y224" s="41" t="s">
        <v>893</v>
      </c>
      <c r="Z224" s="47" t="n">
        <v>43515</v>
      </c>
      <c r="AA224" s="35" t="s">
        <v>526</v>
      </c>
    </row>
    <row r="225" customFormat="false" ht="34.5" hidden="false" customHeight="true" outlineLevel="0" collapsed="false">
      <c r="A225" s="34" t="n">
        <v>224</v>
      </c>
      <c r="B225" s="37" t="s">
        <v>264</v>
      </c>
      <c r="C225" s="45" t="s">
        <v>821</v>
      </c>
      <c r="D225" s="43" t="s">
        <v>822</v>
      </c>
      <c r="E225" s="35" t="s">
        <v>211</v>
      </c>
      <c r="F225" s="39" t="s">
        <v>894</v>
      </c>
      <c r="G225" s="43" t="s">
        <v>824</v>
      </c>
      <c r="H225" s="44" t="s">
        <v>825</v>
      </c>
      <c r="I225" s="45" t="s">
        <v>576</v>
      </c>
      <c r="J225" s="36"/>
      <c r="K225" s="36"/>
      <c r="L225" s="45"/>
      <c r="M225" s="36" t="s">
        <v>521</v>
      </c>
      <c r="N225" s="40" t="n">
        <v>2000</v>
      </c>
      <c r="O225" s="35"/>
      <c r="P225" s="35" t="s">
        <v>265</v>
      </c>
      <c r="Q225" s="35" t="s">
        <v>67</v>
      </c>
      <c r="R225" s="35" t="s">
        <v>68</v>
      </c>
      <c r="S225" s="42" t="n">
        <v>3</v>
      </c>
      <c r="T225" s="35" t="s">
        <v>64</v>
      </c>
      <c r="U225" s="35" t="s">
        <v>204</v>
      </c>
      <c r="V225" s="36" t="s">
        <v>284</v>
      </c>
      <c r="W225" s="36" t="s">
        <v>524</v>
      </c>
      <c r="X225" s="43" t="s">
        <v>895</v>
      </c>
      <c r="Y225" s="41" t="s">
        <v>896</v>
      </c>
      <c r="Z225" s="47" t="n">
        <v>44497</v>
      </c>
      <c r="AA225" s="35" t="s">
        <v>526</v>
      </c>
    </row>
    <row r="226" customFormat="false" ht="34.5" hidden="false" customHeight="true" outlineLevel="0" collapsed="false">
      <c r="A226" s="34" t="n">
        <v>225</v>
      </c>
      <c r="B226" s="37" t="s">
        <v>264</v>
      </c>
      <c r="C226" s="45" t="s">
        <v>821</v>
      </c>
      <c r="D226" s="43" t="s">
        <v>822</v>
      </c>
      <c r="E226" s="35" t="s">
        <v>268</v>
      </c>
      <c r="F226" s="39" t="s">
        <v>897</v>
      </c>
      <c r="G226" s="43" t="s">
        <v>824</v>
      </c>
      <c r="H226" s="44" t="s">
        <v>825</v>
      </c>
      <c r="I226" s="45" t="s">
        <v>576</v>
      </c>
      <c r="J226" s="36" t="s">
        <v>80</v>
      </c>
      <c r="K226" s="36"/>
      <c r="L226" s="45"/>
      <c r="M226" s="36" t="s">
        <v>521</v>
      </c>
      <c r="N226" s="40" t="n">
        <v>2000</v>
      </c>
      <c r="O226" s="35"/>
      <c r="P226" s="35" t="s">
        <v>265</v>
      </c>
      <c r="Q226" s="35" t="s">
        <v>67</v>
      </c>
      <c r="R226" s="35" t="s">
        <v>68</v>
      </c>
      <c r="S226" s="42" t="n">
        <v>3</v>
      </c>
      <c r="T226" s="35" t="s">
        <v>64</v>
      </c>
      <c r="U226" s="35" t="s">
        <v>204</v>
      </c>
      <c r="V226" s="36" t="s">
        <v>284</v>
      </c>
      <c r="W226" s="36" t="s">
        <v>524</v>
      </c>
      <c r="X226" s="43" t="s">
        <v>272</v>
      </c>
      <c r="Y226" s="41" t="s">
        <v>898</v>
      </c>
      <c r="Z226" s="47" t="n">
        <v>42891</v>
      </c>
      <c r="AA226" s="35" t="s">
        <v>578</v>
      </c>
    </row>
    <row r="227" customFormat="false" ht="34.5" hidden="false" customHeight="true" outlineLevel="0" collapsed="false">
      <c r="A227" s="34" t="n">
        <v>226</v>
      </c>
      <c r="B227" s="37" t="s">
        <v>264</v>
      </c>
      <c r="C227" s="45" t="s">
        <v>821</v>
      </c>
      <c r="D227" s="43" t="s">
        <v>822</v>
      </c>
      <c r="E227" s="35" t="s">
        <v>268</v>
      </c>
      <c r="F227" s="39" t="s">
        <v>899</v>
      </c>
      <c r="G227" s="43" t="s">
        <v>824</v>
      </c>
      <c r="H227" s="44" t="s">
        <v>825</v>
      </c>
      <c r="I227" s="45" t="s">
        <v>576</v>
      </c>
      <c r="J227" s="36"/>
      <c r="K227" s="36"/>
      <c r="L227" s="45"/>
      <c r="M227" s="36" t="s">
        <v>521</v>
      </c>
      <c r="N227" s="40" t="n">
        <v>2000</v>
      </c>
      <c r="O227" s="35"/>
      <c r="P227" s="35" t="s">
        <v>265</v>
      </c>
      <c r="Q227" s="35" t="s">
        <v>67</v>
      </c>
      <c r="R227" s="35" t="s">
        <v>68</v>
      </c>
      <c r="S227" s="42" t="n">
        <v>3</v>
      </c>
      <c r="T227" s="35" t="s">
        <v>64</v>
      </c>
      <c r="U227" s="35" t="s">
        <v>204</v>
      </c>
      <c r="V227" s="36" t="s">
        <v>284</v>
      </c>
      <c r="W227" s="36" t="s">
        <v>826</v>
      </c>
      <c r="X227" s="43" t="s">
        <v>900</v>
      </c>
      <c r="Y227" s="41" t="s">
        <v>901</v>
      </c>
      <c r="Z227" s="47" t="n">
        <v>35464</v>
      </c>
      <c r="AA227" s="35" t="s">
        <v>526</v>
      </c>
    </row>
    <row r="228" customFormat="false" ht="34.5" hidden="false" customHeight="true" outlineLevel="0" collapsed="false">
      <c r="A228" s="34" t="n">
        <v>227</v>
      </c>
      <c r="B228" s="37" t="s">
        <v>264</v>
      </c>
      <c r="C228" s="45" t="s">
        <v>821</v>
      </c>
      <c r="D228" s="43" t="s">
        <v>822</v>
      </c>
      <c r="E228" s="35" t="s">
        <v>211</v>
      </c>
      <c r="F228" s="39" t="s">
        <v>902</v>
      </c>
      <c r="G228" s="43" t="s">
        <v>824</v>
      </c>
      <c r="H228" s="44" t="s">
        <v>825</v>
      </c>
      <c r="I228" s="45" t="s">
        <v>576</v>
      </c>
      <c r="J228" s="36"/>
      <c r="K228" s="36"/>
      <c r="L228" s="45"/>
      <c r="M228" s="36" t="s">
        <v>521</v>
      </c>
      <c r="N228" s="40" t="n">
        <v>2000</v>
      </c>
      <c r="O228" s="35"/>
      <c r="P228" s="35" t="s">
        <v>265</v>
      </c>
      <c r="Q228" s="35" t="s">
        <v>67</v>
      </c>
      <c r="R228" s="35" t="s">
        <v>68</v>
      </c>
      <c r="S228" s="42" t="n">
        <v>3</v>
      </c>
      <c r="T228" s="35" t="s">
        <v>64</v>
      </c>
      <c r="U228" s="35" t="s">
        <v>204</v>
      </c>
      <c r="V228" s="36" t="s">
        <v>284</v>
      </c>
      <c r="W228" s="36" t="s">
        <v>524</v>
      </c>
      <c r="X228" s="44" t="s">
        <v>903</v>
      </c>
      <c r="Y228" s="41" t="s">
        <v>904</v>
      </c>
      <c r="Z228" s="47" t="n">
        <v>45919</v>
      </c>
      <c r="AA228" s="35" t="s">
        <v>526</v>
      </c>
    </row>
    <row r="229" customFormat="false" ht="34.5" hidden="false" customHeight="true" outlineLevel="0" collapsed="false">
      <c r="A229" s="34" t="n">
        <v>228</v>
      </c>
      <c r="B229" s="37" t="s">
        <v>264</v>
      </c>
      <c r="C229" s="45" t="s">
        <v>821</v>
      </c>
      <c r="D229" s="43" t="s">
        <v>822</v>
      </c>
      <c r="E229" s="35" t="s">
        <v>268</v>
      </c>
      <c r="F229" s="39" t="s">
        <v>905</v>
      </c>
      <c r="G229" s="43" t="s">
        <v>824</v>
      </c>
      <c r="H229" s="44" t="s">
        <v>825</v>
      </c>
      <c r="I229" s="45" t="s">
        <v>576</v>
      </c>
      <c r="J229" s="36"/>
      <c r="K229" s="36"/>
      <c r="L229" s="45"/>
      <c r="M229" s="36" t="s">
        <v>521</v>
      </c>
      <c r="N229" s="40" t="n">
        <v>2000</v>
      </c>
      <c r="O229" s="35"/>
      <c r="P229" s="35" t="s">
        <v>265</v>
      </c>
      <c r="Q229" s="35" t="s">
        <v>67</v>
      </c>
      <c r="R229" s="35" t="s">
        <v>68</v>
      </c>
      <c r="S229" s="42" t="n">
        <v>3</v>
      </c>
      <c r="T229" s="35" t="s">
        <v>64</v>
      </c>
      <c r="U229" s="35" t="s">
        <v>204</v>
      </c>
      <c r="V229" s="36" t="s">
        <v>284</v>
      </c>
      <c r="W229" s="36" t="s">
        <v>524</v>
      </c>
      <c r="X229" s="43" t="s">
        <v>906</v>
      </c>
      <c r="Y229" s="41" t="s">
        <v>907</v>
      </c>
      <c r="Z229" s="47" t="n">
        <v>43213</v>
      </c>
      <c r="AA229" s="35" t="s">
        <v>526</v>
      </c>
    </row>
    <row r="230" customFormat="false" ht="34.5" hidden="false" customHeight="true" outlineLevel="0" collapsed="false">
      <c r="A230" s="34" t="n">
        <v>229</v>
      </c>
      <c r="B230" s="37" t="s">
        <v>264</v>
      </c>
      <c r="C230" s="45" t="s">
        <v>821</v>
      </c>
      <c r="D230" s="43" t="s">
        <v>822</v>
      </c>
      <c r="E230" s="35" t="s">
        <v>268</v>
      </c>
      <c r="F230" s="39" t="s">
        <v>908</v>
      </c>
      <c r="G230" s="43" t="s">
        <v>824</v>
      </c>
      <c r="H230" s="44" t="s">
        <v>825</v>
      </c>
      <c r="I230" s="45" t="s">
        <v>576</v>
      </c>
      <c r="J230" s="36"/>
      <c r="K230" s="36"/>
      <c r="L230" s="45"/>
      <c r="M230" s="36" t="s">
        <v>521</v>
      </c>
      <c r="N230" s="40" t="n">
        <v>2000</v>
      </c>
      <c r="O230" s="35"/>
      <c r="P230" s="35" t="s">
        <v>265</v>
      </c>
      <c r="Q230" s="35" t="s">
        <v>67</v>
      </c>
      <c r="R230" s="35" t="s">
        <v>68</v>
      </c>
      <c r="S230" s="42" t="n">
        <v>3</v>
      </c>
      <c r="T230" s="35" t="s">
        <v>64</v>
      </c>
      <c r="U230" s="35" t="s">
        <v>204</v>
      </c>
      <c r="V230" s="36" t="s">
        <v>284</v>
      </c>
      <c r="W230" s="36" t="s">
        <v>524</v>
      </c>
      <c r="X230" s="44" t="s">
        <v>221</v>
      </c>
      <c r="Y230" s="41" t="s">
        <v>909</v>
      </c>
      <c r="Z230" s="47" t="n">
        <v>42964</v>
      </c>
      <c r="AA230" s="35" t="s">
        <v>526</v>
      </c>
    </row>
    <row r="231" customFormat="false" ht="34.5" hidden="false" customHeight="true" outlineLevel="0" collapsed="false">
      <c r="A231" s="34" t="n">
        <v>230</v>
      </c>
      <c r="B231" s="37" t="s">
        <v>264</v>
      </c>
      <c r="C231" s="45" t="s">
        <v>821</v>
      </c>
      <c r="D231" s="43" t="s">
        <v>822</v>
      </c>
      <c r="E231" s="35" t="s">
        <v>268</v>
      </c>
      <c r="F231" s="39" t="s">
        <v>908</v>
      </c>
      <c r="G231" s="43" t="s">
        <v>824</v>
      </c>
      <c r="H231" s="44" t="s">
        <v>825</v>
      </c>
      <c r="I231" s="45" t="s">
        <v>576</v>
      </c>
      <c r="J231" s="36"/>
      <c r="K231" s="36"/>
      <c r="L231" s="45"/>
      <c r="M231" s="36" t="s">
        <v>521</v>
      </c>
      <c r="N231" s="40" t="n">
        <v>2000</v>
      </c>
      <c r="O231" s="35"/>
      <c r="P231" s="35" t="s">
        <v>265</v>
      </c>
      <c r="Q231" s="35" t="s">
        <v>67</v>
      </c>
      <c r="R231" s="35" t="s">
        <v>68</v>
      </c>
      <c r="S231" s="42" t="n">
        <v>3</v>
      </c>
      <c r="T231" s="35" t="s">
        <v>64</v>
      </c>
      <c r="U231" s="35" t="s">
        <v>204</v>
      </c>
      <c r="V231" s="36" t="s">
        <v>284</v>
      </c>
      <c r="W231" s="36" t="s">
        <v>826</v>
      </c>
      <c r="X231" s="44" t="s">
        <v>221</v>
      </c>
      <c r="Y231" s="41" t="s">
        <v>910</v>
      </c>
      <c r="Z231" s="47" t="n">
        <v>44497</v>
      </c>
      <c r="AA231" s="35" t="s">
        <v>526</v>
      </c>
    </row>
    <row r="232" customFormat="false" ht="34.5" hidden="false" customHeight="true" outlineLevel="0" collapsed="false">
      <c r="A232" s="34" t="n">
        <v>231</v>
      </c>
      <c r="B232" s="37" t="s">
        <v>264</v>
      </c>
      <c r="C232" s="45" t="s">
        <v>821</v>
      </c>
      <c r="D232" s="43" t="s">
        <v>822</v>
      </c>
      <c r="E232" s="35" t="s">
        <v>268</v>
      </c>
      <c r="F232" s="39" t="s">
        <v>911</v>
      </c>
      <c r="G232" s="43" t="s">
        <v>824</v>
      </c>
      <c r="H232" s="44" t="s">
        <v>825</v>
      </c>
      <c r="I232" s="45" t="s">
        <v>576</v>
      </c>
      <c r="J232" s="36"/>
      <c r="K232" s="36"/>
      <c r="L232" s="45"/>
      <c r="M232" s="36" t="s">
        <v>521</v>
      </c>
      <c r="N232" s="40" t="n">
        <v>2000</v>
      </c>
      <c r="O232" s="35"/>
      <c r="P232" s="35" t="s">
        <v>265</v>
      </c>
      <c r="Q232" s="35" t="s">
        <v>67</v>
      </c>
      <c r="R232" s="35" t="s">
        <v>68</v>
      </c>
      <c r="S232" s="42" t="n">
        <v>3</v>
      </c>
      <c r="T232" s="35" t="s">
        <v>64</v>
      </c>
      <c r="U232" s="35" t="s">
        <v>204</v>
      </c>
      <c r="V232" s="36" t="s">
        <v>284</v>
      </c>
      <c r="W232" s="36" t="s">
        <v>826</v>
      </c>
      <c r="X232" s="43" t="s">
        <v>912</v>
      </c>
      <c r="Y232" s="41" t="s">
        <v>913</v>
      </c>
      <c r="Z232" s="47" t="n">
        <v>43497</v>
      </c>
      <c r="AA232" s="35" t="s">
        <v>526</v>
      </c>
    </row>
    <row r="233" customFormat="false" ht="64.5" hidden="false" customHeight="true" outlineLevel="0" collapsed="false">
      <c r="A233" s="34" t="n">
        <v>232</v>
      </c>
      <c r="B233" s="37" t="s">
        <v>264</v>
      </c>
      <c r="C233" s="45" t="s">
        <v>914</v>
      </c>
      <c r="D233" s="43" t="s">
        <v>915</v>
      </c>
      <c r="E233" s="35" t="s">
        <v>268</v>
      </c>
      <c r="F233" s="39" t="s">
        <v>916</v>
      </c>
      <c r="G233" s="43" t="s">
        <v>917</v>
      </c>
      <c r="H233" s="44" t="s">
        <v>918</v>
      </c>
      <c r="I233" s="45" t="s">
        <v>919</v>
      </c>
      <c r="J233" s="36"/>
      <c r="K233" s="36"/>
      <c r="L233" s="45"/>
      <c r="M233" s="36" t="s">
        <v>521</v>
      </c>
      <c r="N233" s="40" t="n">
        <v>1000</v>
      </c>
      <c r="O233" s="35"/>
      <c r="P233" s="35" t="s">
        <v>265</v>
      </c>
      <c r="Q233" s="35" t="s">
        <v>67</v>
      </c>
      <c r="R233" s="35" t="s">
        <v>68</v>
      </c>
      <c r="S233" s="42" t="n">
        <v>2</v>
      </c>
      <c r="T233" s="35" t="s">
        <v>644</v>
      </c>
      <c r="U233" s="35" t="s">
        <v>204</v>
      </c>
      <c r="V233" s="36" t="s">
        <v>226</v>
      </c>
      <c r="W233" s="36" t="s">
        <v>524</v>
      </c>
      <c r="X233" s="44" t="s">
        <v>267</v>
      </c>
      <c r="Y233" s="41" t="s">
        <v>920</v>
      </c>
      <c r="Z233" s="47" t="n">
        <v>42039</v>
      </c>
      <c r="AA233" s="35" t="s">
        <v>526</v>
      </c>
    </row>
    <row r="234" customFormat="false" ht="64.5" hidden="false" customHeight="true" outlineLevel="0" collapsed="false">
      <c r="A234" s="34" t="n">
        <v>233</v>
      </c>
      <c r="B234" s="37" t="s">
        <v>264</v>
      </c>
      <c r="C234" s="45" t="s">
        <v>921</v>
      </c>
      <c r="D234" s="43" t="s">
        <v>922</v>
      </c>
      <c r="E234" s="35" t="s">
        <v>268</v>
      </c>
      <c r="F234" s="39" t="s">
        <v>923</v>
      </c>
      <c r="G234" s="43" t="s">
        <v>924</v>
      </c>
      <c r="H234" s="44" t="s">
        <v>925</v>
      </c>
      <c r="I234" s="45" t="s">
        <v>926</v>
      </c>
      <c r="J234" s="36"/>
      <c r="K234" s="36"/>
      <c r="L234" s="45"/>
      <c r="M234" s="36" t="s">
        <v>521</v>
      </c>
      <c r="N234" s="40" t="n">
        <v>2000</v>
      </c>
      <c r="O234" s="35"/>
      <c r="P234" s="35" t="s">
        <v>265</v>
      </c>
      <c r="Q234" s="35" t="s">
        <v>67</v>
      </c>
      <c r="R234" s="35" t="s">
        <v>144</v>
      </c>
      <c r="S234" s="42" t="n">
        <v>3</v>
      </c>
      <c r="T234" s="35" t="s">
        <v>64</v>
      </c>
      <c r="U234" s="35" t="s">
        <v>537</v>
      </c>
      <c r="V234" s="36" t="s">
        <v>226</v>
      </c>
      <c r="W234" s="36" t="s">
        <v>524</v>
      </c>
      <c r="X234" s="43" t="s">
        <v>272</v>
      </c>
      <c r="Y234" s="41" t="s">
        <v>927</v>
      </c>
      <c r="Z234" s="47" t="n">
        <v>41008</v>
      </c>
      <c r="AA234" s="35" t="s">
        <v>526</v>
      </c>
    </row>
    <row r="235" customFormat="false" ht="64.5" hidden="false" customHeight="true" outlineLevel="0" collapsed="false">
      <c r="A235" s="34" t="n">
        <v>234</v>
      </c>
      <c r="B235" s="37" t="s">
        <v>264</v>
      </c>
      <c r="C235" s="45" t="s">
        <v>921</v>
      </c>
      <c r="D235" s="43" t="s">
        <v>922</v>
      </c>
      <c r="E235" s="35" t="s">
        <v>268</v>
      </c>
      <c r="F235" s="39" t="s">
        <v>928</v>
      </c>
      <c r="G235" s="43" t="s">
        <v>929</v>
      </c>
      <c r="H235" s="44" t="s">
        <v>930</v>
      </c>
      <c r="I235" s="45" t="s">
        <v>931</v>
      </c>
      <c r="J235" s="36"/>
      <c r="K235" s="36"/>
      <c r="L235" s="45"/>
      <c r="M235" s="36" t="s">
        <v>521</v>
      </c>
      <c r="N235" s="40" t="n">
        <v>1000</v>
      </c>
      <c r="O235" s="35"/>
      <c r="P235" s="35" t="s">
        <v>265</v>
      </c>
      <c r="Q235" s="35" t="s">
        <v>67</v>
      </c>
      <c r="R235" s="35" t="s">
        <v>68</v>
      </c>
      <c r="S235" s="42" t="n">
        <v>3</v>
      </c>
      <c r="T235" s="35" t="s">
        <v>246</v>
      </c>
      <c r="U235" s="35" t="s">
        <v>537</v>
      </c>
      <c r="V235" s="36" t="s">
        <v>226</v>
      </c>
      <c r="W235" s="36" t="s">
        <v>524</v>
      </c>
      <c r="X235" s="43" t="s">
        <v>932</v>
      </c>
      <c r="Y235" s="41" t="s">
        <v>933</v>
      </c>
      <c r="Z235" s="47" t="n">
        <v>38440</v>
      </c>
      <c r="AA235" s="35" t="s">
        <v>526</v>
      </c>
    </row>
    <row r="236" customFormat="false" ht="64.5" hidden="false" customHeight="true" outlineLevel="0" collapsed="false">
      <c r="A236" s="34" t="n">
        <v>235</v>
      </c>
      <c r="B236" s="37" t="s">
        <v>264</v>
      </c>
      <c r="C236" s="45" t="s">
        <v>921</v>
      </c>
      <c r="D236" s="43" t="s">
        <v>922</v>
      </c>
      <c r="E236" s="35" t="s">
        <v>268</v>
      </c>
      <c r="F236" s="39" t="s">
        <v>934</v>
      </c>
      <c r="G236" s="43" t="s">
        <v>935</v>
      </c>
      <c r="H236" s="44" t="s">
        <v>930</v>
      </c>
      <c r="I236" s="45" t="s">
        <v>936</v>
      </c>
      <c r="J236" s="36"/>
      <c r="K236" s="36"/>
      <c r="L236" s="45"/>
      <c r="M236" s="36" t="s">
        <v>521</v>
      </c>
      <c r="N236" s="40" t="n">
        <v>2000</v>
      </c>
      <c r="O236" s="35"/>
      <c r="P236" s="35" t="s">
        <v>265</v>
      </c>
      <c r="Q236" s="35" t="s">
        <v>67</v>
      </c>
      <c r="R236" s="35" t="s">
        <v>68</v>
      </c>
      <c r="S236" s="42" t="n">
        <v>3</v>
      </c>
      <c r="T236" s="35" t="s">
        <v>64</v>
      </c>
      <c r="U236" s="35" t="s">
        <v>537</v>
      </c>
      <c r="V236" s="36" t="s">
        <v>226</v>
      </c>
      <c r="W236" s="36" t="s">
        <v>524</v>
      </c>
      <c r="X236" s="43" t="s">
        <v>932</v>
      </c>
      <c r="Y236" s="41" t="s">
        <v>937</v>
      </c>
      <c r="Z236" s="47" t="n">
        <v>39170</v>
      </c>
      <c r="AA236" s="35" t="s">
        <v>526</v>
      </c>
    </row>
    <row r="237" customFormat="false" ht="64.5" hidden="false" customHeight="true" outlineLevel="0" collapsed="false">
      <c r="A237" s="34" t="n">
        <v>236</v>
      </c>
      <c r="B237" s="37" t="s">
        <v>264</v>
      </c>
      <c r="C237" s="45" t="s">
        <v>921</v>
      </c>
      <c r="D237" s="43" t="s">
        <v>922</v>
      </c>
      <c r="E237" s="35" t="s">
        <v>268</v>
      </c>
      <c r="F237" s="39" t="s">
        <v>938</v>
      </c>
      <c r="G237" s="43" t="s">
        <v>939</v>
      </c>
      <c r="H237" s="44" t="s">
        <v>940</v>
      </c>
      <c r="I237" s="45" t="s">
        <v>941</v>
      </c>
      <c r="J237" s="36"/>
      <c r="K237" s="36"/>
      <c r="L237" s="45"/>
      <c r="M237" s="36" t="s">
        <v>521</v>
      </c>
      <c r="N237" s="40" t="n">
        <v>1000</v>
      </c>
      <c r="O237" s="35"/>
      <c r="P237" s="35" t="s">
        <v>265</v>
      </c>
      <c r="Q237" s="35" t="s">
        <v>67</v>
      </c>
      <c r="R237" s="35" t="s">
        <v>68</v>
      </c>
      <c r="S237" s="42" t="n">
        <v>3</v>
      </c>
      <c r="T237" s="35" t="s">
        <v>64</v>
      </c>
      <c r="U237" s="35" t="s">
        <v>204</v>
      </c>
      <c r="V237" s="36" t="s">
        <v>226</v>
      </c>
      <c r="W237" s="36" t="s">
        <v>524</v>
      </c>
      <c r="X237" s="44" t="s">
        <v>210</v>
      </c>
      <c r="Y237" s="41" t="s">
        <v>942</v>
      </c>
      <c r="Z237" s="47" t="n">
        <v>39170</v>
      </c>
      <c r="AA237" s="35" t="s">
        <v>526</v>
      </c>
    </row>
    <row r="238" customFormat="false" ht="64.5" hidden="false" customHeight="true" outlineLevel="0" collapsed="false">
      <c r="A238" s="34" t="n">
        <v>237</v>
      </c>
      <c r="B238" s="37" t="s">
        <v>264</v>
      </c>
      <c r="C238" s="45" t="s">
        <v>943</v>
      </c>
      <c r="D238" s="43" t="s">
        <v>944</v>
      </c>
      <c r="E238" s="35" t="s">
        <v>268</v>
      </c>
      <c r="F238" s="39" t="s">
        <v>945</v>
      </c>
      <c r="G238" s="43" t="s">
        <v>946</v>
      </c>
      <c r="H238" s="44" t="s">
        <v>947</v>
      </c>
      <c r="I238" s="45" t="s">
        <v>948</v>
      </c>
      <c r="J238" s="36"/>
      <c r="K238" s="36"/>
      <c r="L238" s="45"/>
      <c r="M238" s="36" t="s">
        <v>521</v>
      </c>
      <c r="N238" s="40" t="n">
        <v>2000</v>
      </c>
      <c r="O238" s="35"/>
      <c r="P238" s="35" t="s">
        <v>265</v>
      </c>
      <c r="Q238" s="35" t="s">
        <v>67</v>
      </c>
      <c r="R238" s="35" t="s">
        <v>91</v>
      </c>
      <c r="S238" s="42" t="n">
        <v>3</v>
      </c>
      <c r="T238" s="35" t="s">
        <v>64</v>
      </c>
      <c r="U238" s="35" t="s">
        <v>537</v>
      </c>
      <c r="V238" s="36" t="s">
        <v>284</v>
      </c>
      <c r="W238" s="36" t="s">
        <v>524</v>
      </c>
      <c r="X238" s="43" t="s">
        <v>272</v>
      </c>
      <c r="Y238" s="41" t="s">
        <v>949</v>
      </c>
      <c r="Z238" s="47" t="n">
        <v>43350</v>
      </c>
      <c r="AA238" s="35" t="s">
        <v>526</v>
      </c>
    </row>
    <row r="239" customFormat="false" ht="64.5" hidden="false" customHeight="true" outlineLevel="0" collapsed="false">
      <c r="A239" s="34" t="n">
        <v>238</v>
      </c>
      <c r="B239" s="37" t="s">
        <v>264</v>
      </c>
      <c r="C239" s="45" t="s">
        <v>943</v>
      </c>
      <c r="D239" s="43" t="s">
        <v>944</v>
      </c>
      <c r="E239" s="35" t="s">
        <v>211</v>
      </c>
      <c r="F239" s="39" t="s">
        <v>950</v>
      </c>
      <c r="G239" s="43" t="s">
        <v>951</v>
      </c>
      <c r="H239" s="44" t="s">
        <v>947</v>
      </c>
      <c r="I239" s="45" t="s">
        <v>952</v>
      </c>
      <c r="J239" s="36"/>
      <c r="K239" s="36"/>
      <c r="L239" s="45"/>
      <c r="M239" s="36" t="s">
        <v>521</v>
      </c>
      <c r="N239" s="40" t="n">
        <v>2000</v>
      </c>
      <c r="O239" s="35"/>
      <c r="P239" s="35" t="s">
        <v>265</v>
      </c>
      <c r="Q239" s="35" t="s">
        <v>67</v>
      </c>
      <c r="R239" s="35" t="s">
        <v>144</v>
      </c>
      <c r="S239" s="42" t="n">
        <v>2</v>
      </c>
      <c r="T239" s="35" t="s">
        <v>246</v>
      </c>
      <c r="U239" s="35" t="s">
        <v>537</v>
      </c>
      <c r="V239" s="36" t="s">
        <v>226</v>
      </c>
      <c r="W239" s="36" t="s">
        <v>524</v>
      </c>
      <c r="X239" s="43" t="s">
        <v>932</v>
      </c>
      <c r="Y239" s="41" t="s">
        <v>953</v>
      </c>
      <c r="Z239" s="47" t="n">
        <v>44204</v>
      </c>
      <c r="AA239" s="35" t="s">
        <v>526</v>
      </c>
    </row>
    <row r="240" customFormat="false" ht="34.5" hidden="false" customHeight="true" outlineLevel="0" collapsed="false">
      <c r="A240" s="34" t="n">
        <v>239</v>
      </c>
      <c r="B240" s="37" t="s">
        <v>264</v>
      </c>
      <c r="C240" s="45" t="s">
        <v>954</v>
      </c>
      <c r="D240" s="43" t="s">
        <v>955</v>
      </c>
      <c r="E240" s="35" t="s">
        <v>268</v>
      </c>
      <c r="F240" s="39" t="s">
        <v>956</v>
      </c>
      <c r="G240" s="43" t="s">
        <v>957</v>
      </c>
      <c r="H240" s="44" t="s">
        <v>958</v>
      </c>
      <c r="I240" s="45" t="s">
        <v>959</v>
      </c>
      <c r="J240" s="36"/>
      <c r="K240" s="36"/>
      <c r="L240" s="45"/>
      <c r="M240" s="36" t="s">
        <v>521</v>
      </c>
      <c r="N240" s="40" t="n">
        <v>3000</v>
      </c>
      <c r="O240" s="35"/>
      <c r="P240" s="35" t="s">
        <v>265</v>
      </c>
      <c r="Q240" s="35" t="s">
        <v>67</v>
      </c>
      <c r="R240" s="35" t="s">
        <v>68</v>
      </c>
      <c r="S240" s="42" t="n">
        <v>2</v>
      </c>
      <c r="T240" s="35" t="s">
        <v>90</v>
      </c>
      <c r="U240" s="35" t="s">
        <v>204</v>
      </c>
      <c r="V240" s="36" t="s">
        <v>284</v>
      </c>
      <c r="W240" s="36" t="s">
        <v>826</v>
      </c>
      <c r="X240" s="44" t="s">
        <v>960</v>
      </c>
      <c r="Y240" s="41" t="s">
        <v>961</v>
      </c>
      <c r="Z240" s="47" t="n">
        <v>46139</v>
      </c>
      <c r="AA240" s="35" t="s">
        <v>526</v>
      </c>
    </row>
    <row r="241" customFormat="false" ht="34.5" hidden="false" customHeight="true" outlineLevel="0" collapsed="false">
      <c r="A241" s="34" t="n">
        <v>240</v>
      </c>
      <c r="B241" s="37" t="s">
        <v>264</v>
      </c>
      <c r="C241" s="45" t="s">
        <v>954</v>
      </c>
      <c r="D241" s="43" t="s">
        <v>955</v>
      </c>
      <c r="E241" s="35" t="s">
        <v>268</v>
      </c>
      <c r="F241" s="39" t="s">
        <v>962</v>
      </c>
      <c r="G241" s="43" t="s">
        <v>963</v>
      </c>
      <c r="H241" s="44" t="s">
        <v>958</v>
      </c>
      <c r="I241" s="45" t="s">
        <v>964</v>
      </c>
      <c r="J241" s="36"/>
      <c r="K241" s="36"/>
      <c r="L241" s="45"/>
      <c r="M241" s="36" t="s">
        <v>521</v>
      </c>
      <c r="N241" s="40" t="n">
        <v>1000</v>
      </c>
      <c r="O241" s="35"/>
      <c r="P241" s="35" t="s">
        <v>265</v>
      </c>
      <c r="Q241" s="35" t="s">
        <v>67</v>
      </c>
      <c r="R241" s="35" t="s">
        <v>144</v>
      </c>
      <c r="S241" s="42" t="n">
        <v>3</v>
      </c>
      <c r="T241" s="35" t="s">
        <v>98</v>
      </c>
      <c r="U241" s="35" t="s">
        <v>204</v>
      </c>
      <c r="V241" s="36" t="s">
        <v>226</v>
      </c>
      <c r="W241" s="36" t="s">
        <v>524</v>
      </c>
      <c r="X241" s="44" t="s">
        <v>960</v>
      </c>
      <c r="Y241" s="41" t="s">
        <v>965</v>
      </c>
      <c r="Z241" s="47" t="n">
        <v>39902</v>
      </c>
      <c r="AA241" s="35" t="s">
        <v>526</v>
      </c>
    </row>
    <row r="242" customFormat="false" ht="34.5" hidden="false" customHeight="true" outlineLevel="0" collapsed="false">
      <c r="A242" s="34" t="n">
        <v>241</v>
      </c>
      <c r="B242" s="37" t="s">
        <v>264</v>
      </c>
      <c r="C242" s="45" t="s">
        <v>571</v>
      </c>
      <c r="D242" s="43" t="s">
        <v>572</v>
      </c>
      <c r="E242" s="35" t="s">
        <v>268</v>
      </c>
      <c r="F242" s="39" t="s">
        <v>966</v>
      </c>
      <c r="G242" s="43" t="s">
        <v>967</v>
      </c>
      <c r="H242" s="44" t="s">
        <v>968</v>
      </c>
      <c r="I242" s="45" t="s">
        <v>584</v>
      </c>
      <c r="J242" s="36"/>
      <c r="K242" s="36"/>
      <c r="L242" s="45"/>
      <c r="M242" s="36" t="s">
        <v>521</v>
      </c>
      <c r="N242" s="40" t="n">
        <v>2000</v>
      </c>
      <c r="O242" s="35"/>
      <c r="P242" s="35" t="s">
        <v>265</v>
      </c>
      <c r="Q242" s="35" t="s">
        <v>67</v>
      </c>
      <c r="R242" s="35" t="s">
        <v>68</v>
      </c>
      <c r="S242" s="42" t="n">
        <v>3</v>
      </c>
      <c r="T242" s="35" t="s">
        <v>246</v>
      </c>
      <c r="U242" s="35" t="s">
        <v>204</v>
      </c>
      <c r="V242" s="36" t="s">
        <v>226</v>
      </c>
      <c r="W242" s="36" t="s">
        <v>524</v>
      </c>
      <c r="X242" s="44" t="s">
        <v>267</v>
      </c>
      <c r="Y242" s="41" t="s">
        <v>969</v>
      </c>
      <c r="Z242" s="47" t="n">
        <v>33444</v>
      </c>
      <c r="AA242" s="35" t="s">
        <v>526</v>
      </c>
    </row>
    <row r="243" customFormat="false" ht="64.5" hidden="false" customHeight="true" outlineLevel="0" collapsed="false">
      <c r="A243" s="34" t="n">
        <v>242</v>
      </c>
      <c r="B243" s="37" t="s">
        <v>264</v>
      </c>
      <c r="C243" s="45" t="s">
        <v>970</v>
      </c>
      <c r="D243" s="43" t="s">
        <v>971</v>
      </c>
      <c r="E243" s="35" t="s">
        <v>268</v>
      </c>
      <c r="F243" s="39" t="s">
        <v>972</v>
      </c>
      <c r="G243" s="43" t="s">
        <v>973</v>
      </c>
      <c r="H243" s="44" t="s">
        <v>974</v>
      </c>
      <c r="I243" s="45" t="s">
        <v>975</v>
      </c>
      <c r="J243" s="36"/>
      <c r="K243" s="36"/>
      <c r="L243" s="45"/>
      <c r="M243" s="36" t="s">
        <v>521</v>
      </c>
      <c r="N243" s="40" t="n">
        <v>2000</v>
      </c>
      <c r="O243" s="35"/>
      <c r="P243" s="35" t="s">
        <v>265</v>
      </c>
      <c r="Q243" s="35" t="s">
        <v>67</v>
      </c>
      <c r="R243" s="35" t="s">
        <v>68</v>
      </c>
      <c r="S243" s="42" t="n">
        <v>3</v>
      </c>
      <c r="T243" s="35" t="s">
        <v>64</v>
      </c>
      <c r="U243" s="35" t="s">
        <v>537</v>
      </c>
      <c r="V243" s="36" t="s">
        <v>284</v>
      </c>
      <c r="W243" s="36" t="s">
        <v>524</v>
      </c>
      <c r="X243" s="44" t="s">
        <v>210</v>
      </c>
      <c r="Y243" s="41" t="s">
        <v>976</v>
      </c>
      <c r="Z243" s="47" t="n">
        <v>40631</v>
      </c>
      <c r="AA243" s="35" t="s">
        <v>526</v>
      </c>
    </row>
    <row r="244" customFormat="false" ht="64.5" hidden="false" customHeight="true" outlineLevel="0" collapsed="false">
      <c r="A244" s="34" t="n">
        <v>243</v>
      </c>
      <c r="B244" s="37" t="s">
        <v>264</v>
      </c>
      <c r="C244" s="45" t="s">
        <v>977</v>
      </c>
      <c r="D244" s="43" t="s">
        <v>978</v>
      </c>
      <c r="E244" s="35" t="s">
        <v>268</v>
      </c>
      <c r="F244" s="39" t="s">
        <v>979</v>
      </c>
      <c r="G244" s="43" t="s">
        <v>980</v>
      </c>
      <c r="H244" s="44" t="s">
        <v>981</v>
      </c>
      <c r="I244" s="45" t="s">
        <v>982</v>
      </c>
      <c r="J244" s="36"/>
      <c r="K244" s="36"/>
      <c r="L244" s="45"/>
      <c r="M244" s="36" t="s">
        <v>521</v>
      </c>
      <c r="N244" s="40" t="n">
        <v>2000</v>
      </c>
      <c r="O244" s="35"/>
      <c r="P244" s="35" t="s">
        <v>265</v>
      </c>
      <c r="Q244" s="35" t="s">
        <v>67</v>
      </c>
      <c r="R244" s="35" t="s">
        <v>144</v>
      </c>
      <c r="S244" s="42" t="n">
        <v>3</v>
      </c>
      <c r="T244" s="35" t="s">
        <v>610</v>
      </c>
      <c r="U244" s="35" t="s">
        <v>204</v>
      </c>
      <c r="V244" s="36" t="s">
        <v>226</v>
      </c>
      <c r="W244" s="36" t="s">
        <v>524</v>
      </c>
      <c r="X244" s="43" t="s">
        <v>932</v>
      </c>
      <c r="Y244" s="41" t="s">
        <v>983</v>
      </c>
      <c r="Z244" s="47" t="n">
        <v>43770</v>
      </c>
      <c r="AA244" s="35" t="s">
        <v>526</v>
      </c>
    </row>
    <row r="245" customFormat="false" ht="64.5" hidden="false" customHeight="true" outlineLevel="0" collapsed="false">
      <c r="A245" s="34" t="n">
        <v>244</v>
      </c>
      <c r="B245" s="37" t="s">
        <v>264</v>
      </c>
      <c r="C245" s="45" t="s">
        <v>984</v>
      </c>
      <c r="D245" s="43" t="s">
        <v>985</v>
      </c>
      <c r="E245" s="35" t="s">
        <v>268</v>
      </c>
      <c r="F245" s="39" t="s">
        <v>986</v>
      </c>
      <c r="G245" s="43" t="s">
        <v>987</v>
      </c>
      <c r="H245" s="44" t="s">
        <v>988</v>
      </c>
      <c r="I245" s="45" t="s">
        <v>989</v>
      </c>
      <c r="J245" s="36"/>
      <c r="K245" s="36"/>
      <c r="L245" s="45"/>
      <c r="M245" s="36" t="s">
        <v>521</v>
      </c>
      <c r="N245" s="40" t="n">
        <v>2000</v>
      </c>
      <c r="O245" s="35"/>
      <c r="P245" s="35" t="s">
        <v>265</v>
      </c>
      <c r="Q245" s="35" t="s">
        <v>67</v>
      </c>
      <c r="R245" s="35" t="s">
        <v>91</v>
      </c>
      <c r="S245" s="42" t="n">
        <v>2</v>
      </c>
      <c r="T245" s="35" t="s">
        <v>98</v>
      </c>
      <c r="U245" s="35" t="s">
        <v>204</v>
      </c>
      <c r="V245" s="36" t="s">
        <v>205</v>
      </c>
      <c r="W245" s="36" t="s">
        <v>524</v>
      </c>
      <c r="X245" s="44" t="s">
        <v>210</v>
      </c>
      <c r="Y245" s="41" t="s">
        <v>990</v>
      </c>
      <c r="Z245" s="47" t="n">
        <v>39170</v>
      </c>
      <c r="AA245" s="35" t="s">
        <v>526</v>
      </c>
    </row>
    <row r="246" customFormat="false" ht="64.5" hidden="false" customHeight="true" outlineLevel="0" collapsed="false">
      <c r="A246" s="34" t="n">
        <v>245</v>
      </c>
      <c r="B246" s="37" t="s">
        <v>264</v>
      </c>
      <c r="C246" s="45" t="s">
        <v>991</v>
      </c>
      <c r="D246" s="43" t="s">
        <v>992</v>
      </c>
      <c r="E246" s="35" t="s">
        <v>268</v>
      </c>
      <c r="F246" s="39" t="s">
        <v>993</v>
      </c>
      <c r="G246" s="43" t="s">
        <v>994</v>
      </c>
      <c r="H246" s="44" t="s">
        <v>995</v>
      </c>
      <c r="I246" s="45" t="s">
        <v>996</v>
      </c>
      <c r="J246" s="36"/>
      <c r="K246" s="36"/>
      <c r="L246" s="45"/>
      <c r="M246" s="36" t="s">
        <v>521</v>
      </c>
      <c r="N246" s="40" t="n">
        <v>1000</v>
      </c>
      <c r="O246" s="35"/>
      <c r="P246" s="35" t="s">
        <v>265</v>
      </c>
      <c r="Q246" s="35" t="s">
        <v>67</v>
      </c>
      <c r="R246" s="35" t="s">
        <v>113</v>
      </c>
      <c r="S246" s="42" t="n">
        <v>3</v>
      </c>
      <c r="T246" s="35" t="s">
        <v>64</v>
      </c>
      <c r="U246" s="35" t="s">
        <v>204</v>
      </c>
      <c r="V246" s="36" t="s">
        <v>205</v>
      </c>
      <c r="W246" s="36" t="s">
        <v>524</v>
      </c>
      <c r="X246" s="44" t="s">
        <v>267</v>
      </c>
      <c r="Y246" s="41" t="s">
        <v>997</v>
      </c>
      <c r="Z246" s="47" t="n">
        <v>41337</v>
      </c>
      <c r="AA246" s="35" t="s">
        <v>526</v>
      </c>
    </row>
    <row r="247" customFormat="false" ht="64.5" hidden="false" customHeight="true" outlineLevel="0" collapsed="false">
      <c r="A247" s="34" t="n">
        <v>246</v>
      </c>
      <c r="B247" s="37" t="s">
        <v>264</v>
      </c>
      <c r="C247" s="45" t="s">
        <v>998</v>
      </c>
      <c r="D247" s="43" t="s">
        <v>999</v>
      </c>
      <c r="E247" s="35" t="s">
        <v>268</v>
      </c>
      <c r="F247" s="39" t="s">
        <v>1000</v>
      </c>
      <c r="G247" s="43" t="s">
        <v>1001</v>
      </c>
      <c r="H247" s="44" t="s">
        <v>1002</v>
      </c>
      <c r="I247" s="45" t="s">
        <v>1003</v>
      </c>
      <c r="J247" s="36"/>
      <c r="K247" s="36"/>
      <c r="L247" s="45"/>
      <c r="M247" s="36" t="s">
        <v>521</v>
      </c>
      <c r="N247" s="40" t="n">
        <v>2000</v>
      </c>
      <c r="O247" s="35"/>
      <c r="P247" s="35" t="s">
        <v>265</v>
      </c>
      <c r="Q247" s="35" t="s">
        <v>67</v>
      </c>
      <c r="R247" s="35" t="s">
        <v>91</v>
      </c>
      <c r="S247" s="42" t="n">
        <v>3</v>
      </c>
      <c r="T247" s="35" t="s">
        <v>64</v>
      </c>
      <c r="U247" s="35" t="s">
        <v>204</v>
      </c>
      <c r="V247" s="36" t="s">
        <v>205</v>
      </c>
      <c r="W247" s="36" t="s">
        <v>524</v>
      </c>
      <c r="X247" s="43" t="s">
        <v>932</v>
      </c>
      <c r="Y247" s="41" t="s">
        <v>1004</v>
      </c>
      <c r="Z247" s="47" t="n">
        <v>41841</v>
      </c>
      <c r="AA247" s="35" t="s">
        <v>526</v>
      </c>
    </row>
    <row r="248" customFormat="false" ht="34.5" hidden="false" customHeight="true" outlineLevel="0" collapsed="false">
      <c r="A248" s="34" t="n">
        <v>247</v>
      </c>
      <c r="B248" s="37" t="s">
        <v>264</v>
      </c>
      <c r="C248" s="45" t="s">
        <v>207</v>
      </c>
      <c r="D248" s="43" t="s">
        <v>208</v>
      </c>
      <c r="E248" s="35" t="s">
        <v>211</v>
      </c>
      <c r="F248" s="39" t="s">
        <v>1005</v>
      </c>
      <c r="G248" s="43" t="s">
        <v>1006</v>
      </c>
      <c r="H248" s="44" t="s">
        <v>1007</v>
      </c>
      <c r="I248" s="45" t="s">
        <v>520</v>
      </c>
      <c r="J248" s="36"/>
      <c r="K248" s="36"/>
      <c r="L248" s="45"/>
      <c r="M248" s="36" t="s">
        <v>521</v>
      </c>
      <c r="N248" s="40"/>
      <c r="O248" s="41" t="s">
        <v>522</v>
      </c>
      <c r="P248" s="35" t="s">
        <v>523</v>
      </c>
      <c r="Q248" s="35" t="s">
        <v>189</v>
      </c>
      <c r="R248" s="35" t="s">
        <v>202</v>
      </c>
      <c r="S248" s="42" t="n">
        <v>1</v>
      </c>
      <c r="T248" s="35" t="s">
        <v>127</v>
      </c>
      <c r="U248" s="35" t="s">
        <v>204</v>
      </c>
      <c r="V248" s="36" t="s">
        <v>226</v>
      </c>
      <c r="W248" s="36" t="s">
        <v>524</v>
      </c>
      <c r="X248" s="44" t="s">
        <v>553</v>
      </c>
      <c r="Y248" s="41" t="s">
        <v>1008</v>
      </c>
      <c r="Z248" s="47" t="n">
        <v>34075</v>
      </c>
      <c r="AA248" s="35" t="s">
        <v>526</v>
      </c>
    </row>
    <row r="249" customFormat="false" ht="34.5" hidden="false" customHeight="true" outlineLevel="0" collapsed="false">
      <c r="A249" s="34" t="n">
        <v>248</v>
      </c>
      <c r="B249" s="37" t="s">
        <v>264</v>
      </c>
      <c r="C249" s="45" t="s">
        <v>207</v>
      </c>
      <c r="D249" s="43" t="s">
        <v>208</v>
      </c>
      <c r="E249" s="35" t="s">
        <v>211</v>
      </c>
      <c r="F249" s="39" t="s">
        <v>200</v>
      </c>
      <c r="G249" s="43" t="s">
        <v>519</v>
      </c>
      <c r="H249" s="44" t="s">
        <v>206</v>
      </c>
      <c r="I249" s="45" t="s">
        <v>520</v>
      </c>
      <c r="J249" s="36"/>
      <c r="K249" s="36"/>
      <c r="L249" s="45"/>
      <c r="M249" s="36" t="s">
        <v>521</v>
      </c>
      <c r="N249" s="40"/>
      <c r="O249" s="41" t="s">
        <v>522</v>
      </c>
      <c r="P249" s="35" t="s">
        <v>523</v>
      </c>
      <c r="Q249" s="35" t="s">
        <v>1009</v>
      </c>
      <c r="R249" s="35" t="s">
        <v>202</v>
      </c>
      <c r="S249" s="42" t="n">
        <v>1</v>
      </c>
      <c r="T249" s="35" t="s">
        <v>127</v>
      </c>
      <c r="U249" s="35" t="s">
        <v>204</v>
      </c>
      <c r="V249" s="36" t="s">
        <v>205</v>
      </c>
      <c r="W249" s="36" t="s">
        <v>524</v>
      </c>
      <c r="X249" s="44" t="s">
        <v>210</v>
      </c>
      <c r="Y249" s="41" t="s">
        <v>212</v>
      </c>
      <c r="Z249" s="47" t="n">
        <v>36187</v>
      </c>
      <c r="AA249" s="35" t="s">
        <v>526</v>
      </c>
    </row>
    <row r="250" customFormat="false" ht="64.5" hidden="false" customHeight="true" outlineLevel="0" collapsed="false">
      <c r="A250" s="34" t="n">
        <v>249</v>
      </c>
      <c r="B250" s="37" t="s">
        <v>264</v>
      </c>
      <c r="C250" s="45" t="s">
        <v>1010</v>
      </c>
      <c r="D250" s="43" t="s">
        <v>1011</v>
      </c>
      <c r="E250" s="35" t="s">
        <v>268</v>
      </c>
      <c r="F250" s="39" t="s">
        <v>1012</v>
      </c>
      <c r="G250" s="43" t="s">
        <v>1013</v>
      </c>
      <c r="H250" s="44" t="s">
        <v>1014</v>
      </c>
      <c r="I250" s="45" t="s">
        <v>1015</v>
      </c>
      <c r="J250" s="36"/>
      <c r="K250" s="36"/>
      <c r="L250" s="45"/>
      <c r="M250" s="36" t="s">
        <v>521</v>
      </c>
      <c r="N250" s="40" t="n">
        <v>1000</v>
      </c>
      <c r="O250" s="35"/>
      <c r="P250" s="35" t="s">
        <v>265</v>
      </c>
      <c r="Q250" s="35" t="s">
        <v>67</v>
      </c>
      <c r="R250" s="35" t="s">
        <v>144</v>
      </c>
      <c r="S250" s="42" t="n">
        <v>2</v>
      </c>
      <c r="T250" s="35" t="s">
        <v>246</v>
      </c>
      <c r="U250" s="35" t="s">
        <v>537</v>
      </c>
      <c r="V250" s="36" t="s">
        <v>226</v>
      </c>
      <c r="W250" s="36" t="s">
        <v>524</v>
      </c>
      <c r="X250" s="44" t="s">
        <v>553</v>
      </c>
      <c r="Y250" s="41" t="s">
        <v>1016</v>
      </c>
      <c r="Z250" s="47" t="n">
        <v>43578</v>
      </c>
      <c r="AA250" s="35" t="s">
        <v>526</v>
      </c>
    </row>
    <row r="251" customFormat="false" ht="64.5" hidden="false" customHeight="true" outlineLevel="0" collapsed="false">
      <c r="A251" s="34" t="n">
        <v>250</v>
      </c>
      <c r="B251" s="37" t="s">
        <v>264</v>
      </c>
      <c r="C251" s="45" t="s">
        <v>1017</v>
      </c>
      <c r="D251" s="43" t="s">
        <v>1018</v>
      </c>
      <c r="E251" s="35" t="s">
        <v>268</v>
      </c>
      <c r="F251" s="39" t="s">
        <v>1019</v>
      </c>
      <c r="G251" s="43" t="s">
        <v>1020</v>
      </c>
      <c r="H251" s="44" t="s">
        <v>1021</v>
      </c>
      <c r="I251" s="45" t="s">
        <v>1022</v>
      </c>
      <c r="J251" s="36"/>
      <c r="K251" s="36"/>
      <c r="L251" s="45"/>
      <c r="M251" s="36" t="s">
        <v>521</v>
      </c>
      <c r="N251" s="40" t="n">
        <v>2000</v>
      </c>
      <c r="O251" s="35"/>
      <c r="P251" s="35" t="s">
        <v>265</v>
      </c>
      <c r="Q251" s="35" t="s">
        <v>67</v>
      </c>
      <c r="R251" s="35" t="s">
        <v>144</v>
      </c>
      <c r="S251" s="42" t="n">
        <v>3</v>
      </c>
      <c r="T251" s="35" t="s">
        <v>90</v>
      </c>
      <c r="U251" s="35" t="s">
        <v>204</v>
      </c>
      <c r="V251" s="36" t="s">
        <v>205</v>
      </c>
      <c r="W251" s="36" t="s">
        <v>524</v>
      </c>
      <c r="X251" s="44" t="s">
        <v>267</v>
      </c>
      <c r="Y251" s="41" t="s">
        <v>1023</v>
      </c>
      <c r="Z251" s="47" t="n">
        <v>40268</v>
      </c>
      <c r="AA251" s="35" t="s">
        <v>526</v>
      </c>
    </row>
    <row r="252" customFormat="false" ht="49.5" hidden="false" customHeight="true" outlineLevel="0" collapsed="false">
      <c r="A252" s="34" t="n">
        <v>251</v>
      </c>
      <c r="B252" s="37" t="s">
        <v>264</v>
      </c>
      <c r="C252" s="45" t="s">
        <v>622</v>
      </c>
      <c r="D252" s="43" t="s">
        <v>623</v>
      </c>
      <c r="E252" s="35" t="s">
        <v>268</v>
      </c>
      <c r="F252" s="39" t="s">
        <v>1024</v>
      </c>
      <c r="G252" s="43" t="s">
        <v>1025</v>
      </c>
      <c r="H252" s="44" t="s">
        <v>1026</v>
      </c>
      <c r="I252" s="45" t="s">
        <v>1027</v>
      </c>
      <c r="J252" s="36" t="s">
        <v>80</v>
      </c>
      <c r="K252" s="36"/>
      <c r="L252" s="45"/>
      <c r="M252" s="36" t="s">
        <v>521</v>
      </c>
      <c r="N252" s="40" t="n">
        <v>2000</v>
      </c>
      <c r="O252" s="35"/>
      <c r="P252" s="35" t="s">
        <v>265</v>
      </c>
      <c r="Q252" s="35" t="s">
        <v>67</v>
      </c>
      <c r="R252" s="35" t="s">
        <v>68</v>
      </c>
      <c r="S252" s="42" t="n">
        <v>2</v>
      </c>
      <c r="T252" s="35" t="s">
        <v>780</v>
      </c>
      <c r="U252" s="35" t="s">
        <v>537</v>
      </c>
      <c r="V252" s="36" t="s">
        <v>205</v>
      </c>
      <c r="W252" s="36" t="s">
        <v>826</v>
      </c>
      <c r="X252" s="44" t="s">
        <v>321</v>
      </c>
      <c r="Y252" s="41" t="s">
        <v>1028</v>
      </c>
      <c r="Z252" s="47" t="n">
        <v>42741</v>
      </c>
      <c r="AA252" s="35" t="s">
        <v>526</v>
      </c>
    </row>
    <row r="253" customFormat="false" ht="49.5" hidden="false" customHeight="true" outlineLevel="0" collapsed="false">
      <c r="A253" s="34" t="n">
        <v>252</v>
      </c>
      <c r="B253" s="37" t="s">
        <v>264</v>
      </c>
      <c r="C253" s="45" t="s">
        <v>622</v>
      </c>
      <c r="D253" s="43" t="s">
        <v>623</v>
      </c>
      <c r="E253" s="35" t="s">
        <v>268</v>
      </c>
      <c r="F253" s="39" t="s">
        <v>1024</v>
      </c>
      <c r="G253" s="43" t="s">
        <v>1025</v>
      </c>
      <c r="H253" s="44" t="s">
        <v>1026</v>
      </c>
      <c r="I253" s="45" t="s">
        <v>1027</v>
      </c>
      <c r="J253" s="36" t="s">
        <v>80</v>
      </c>
      <c r="K253" s="36"/>
      <c r="L253" s="45"/>
      <c r="M253" s="36" t="s">
        <v>521</v>
      </c>
      <c r="N253" s="40" t="n">
        <v>2000</v>
      </c>
      <c r="O253" s="35"/>
      <c r="P253" s="35" t="s">
        <v>265</v>
      </c>
      <c r="Q253" s="35" t="s">
        <v>67</v>
      </c>
      <c r="R253" s="35" t="s">
        <v>68</v>
      </c>
      <c r="S253" s="42" t="n">
        <v>2</v>
      </c>
      <c r="T253" s="35" t="s">
        <v>780</v>
      </c>
      <c r="U253" s="35" t="s">
        <v>537</v>
      </c>
      <c r="V253" s="36" t="s">
        <v>205</v>
      </c>
      <c r="W253" s="36" t="s">
        <v>524</v>
      </c>
      <c r="X253" s="44" t="s">
        <v>210</v>
      </c>
      <c r="Y253" s="41" t="s">
        <v>1029</v>
      </c>
      <c r="Z253" s="47" t="n">
        <v>43907</v>
      </c>
      <c r="AA253" s="35" t="s">
        <v>578</v>
      </c>
    </row>
    <row r="254" customFormat="false" ht="49.5" hidden="false" customHeight="true" outlineLevel="0" collapsed="false">
      <c r="A254" s="34" t="n">
        <v>253</v>
      </c>
      <c r="B254" s="37" t="s">
        <v>264</v>
      </c>
      <c r="C254" s="45" t="s">
        <v>622</v>
      </c>
      <c r="D254" s="43" t="s">
        <v>623</v>
      </c>
      <c r="E254" s="35" t="s">
        <v>268</v>
      </c>
      <c r="F254" s="39" t="s">
        <v>1030</v>
      </c>
      <c r="G254" s="43" t="s">
        <v>1025</v>
      </c>
      <c r="H254" s="44" t="s">
        <v>1026</v>
      </c>
      <c r="I254" s="45" t="s">
        <v>1031</v>
      </c>
      <c r="J254" s="36"/>
      <c r="K254" s="36"/>
      <c r="L254" s="45"/>
      <c r="M254" s="36" t="s">
        <v>521</v>
      </c>
      <c r="N254" s="40" t="n">
        <v>4000</v>
      </c>
      <c r="O254" s="35"/>
      <c r="P254" s="35" t="s">
        <v>265</v>
      </c>
      <c r="Q254" s="35" t="s">
        <v>67</v>
      </c>
      <c r="R254" s="35" t="s">
        <v>68</v>
      </c>
      <c r="S254" s="42" t="n">
        <v>2</v>
      </c>
      <c r="T254" s="35" t="s">
        <v>780</v>
      </c>
      <c r="U254" s="35" t="s">
        <v>537</v>
      </c>
      <c r="V254" s="36" t="s">
        <v>205</v>
      </c>
      <c r="W254" s="36" t="s">
        <v>826</v>
      </c>
      <c r="X254" s="44" t="s">
        <v>321</v>
      </c>
      <c r="Y254" s="41" t="s">
        <v>1032</v>
      </c>
      <c r="Z254" s="47" t="n">
        <v>43578</v>
      </c>
      <c r="AA254" s="35" t="s">
        <v>526</v>
      </c>
    </row>
    <row r="255" customFormat="false" ht="49.5" hidden="false" customHeight="true" outlineLevel="0" collapsed="false">
      <c r="A255" s="34" t="n">
        <v>254</v>
      </c>
      <c r="B255" s="37" t="s">
        <v>264</v>
      </c>
      <c r="C255" s="45" t="s">
        <v>622</v>
      </c>
      <c r="D255" s="43" t="s">
        <v>623</v>
      </c>
      <c r="E255" s="35" t="s">
        <v>268</v>
      </c>
      <c r="F255" s="39" t="s">
        <v>1033</v>
      </c>
      <c r="G255" s="43" t="s">
        <v>1025</v>
      </c>
      <c r="H255" s="44" t="s">
        <v>1026</v>
      </c>
      <c r="I255" s="45" t="s">
        <v>1027</v>
      </c>
      <c r="J255" s="36"/>
      <c r="K255" s="36"/>
      <c r="L255" s="45"/>
      <c r="M255" s="36" t="s">
        <v>521</v>
      </c>
      <c r="N255" s="40" t="n">
        <v>2000</v>
      </c>
      <c r="O255" s="35"/>
      <c r="P255" s="35" t="s">
        <v>265</v>
      </c>
      <c r="Q255" s="35" t="s">
        <v>67</v>
      </c>
      <c r="R255" s="35" t="s">
        <v>68</v>
      </c>
      <c r="S255" s="42" t="n">
        <v>2</v>
      </c>
      <c r="T255" s="35" t="s">
        <v>780</v>
      </c>
      <c r="U255" s="35" t="s">
        <v>537</v>
      </c>
      <c r="V255" s="36" t="s">
        <v>205</v>
      </c>
      <c r="W255" s="36" t="s">
        <v>826</v>
      </c>
      <c r="X255" s="44" t="s">
        <v>210</v>
      </c>
      <c r="Y255" s="41" t="s">
        <v>1034</v>
      </c>
      <c r="Z255" s="47" t="n">
        <v>43027</v>
      </c>
      <c r="AA255" s="35" t="s">
        <v>526</v>
      </c>
    </row>
    <row r="256" customFormat="false" ht="49.5" hidden="false" customHeight="true" outlineLevel="0" collapsed="false">
      <c r="A256" s="34" t="n">
        <v>255</v>
      </c>
      <c r="B256" s="37" t="s">
        <v>264</v>
      </c>
      <c r="C256" s="45" t="s">
        <v>622</v>
      </c>
      <c r="D256" s="43" t="s">
        <v>623</v>
      </c>
      <c r="E256" s="35" t="s">
        <v>268</v>
      </c>
      <c r="F256" s="39" t="s">
        <v>635</v>
      </c>
      <c r="G256" s="43" t="s">
        <v>1035</v>
      </c>
      <c r="H256" s="44" t="s">
        <v>1036</v>
      </c>
      <c r="I256" s="45" t="s">
        <v>631</v>
      </c>
      <c r="J256" s="36"/>
      <c r="K256" s="36"/>
      <c r="L256" s="45"/>
      <c r="M256" s="36" t="s">
        <v>521</v>
      </c>
      <c r="N256" s="40" t="n">
        <v>2000</v>
      </c>
      <c r="O256" s="35"/>
      <c r="P256" s="35" t="s">
        <v>265</v>
      </c>
      <c r="Q256" s="35" t="s">
        <v>67</v>
      </c>
      <c r="R256" s="35" t="s">
        <v>68</v>
      </c>
      <c r="S256" s="42" t="n">
        <v>3</v>
      </c>
      <c r="T256" s="35" t="s">
        <v>632</v>
      </c>
      <c r="U256" s="35" t="s">
        <v>204</v>
      </c>
      <c r="V256" s="36" t="s">
        <v>205</v>
      </c>
      <c r="W256" s="36" t="s">
        <v>524</v>
      </c>
      <c r="X256" s="44" t="s">
        <v>210</v>
      </c>
      <c r="Y256" s="41" t="s">
        <v>1037</v>
      </c>
      <c r="Z256" s="47" t="n">
        <v>43620</v>
      </c>
      <c r="AA256" s="35" t="s">
        <v>526</v>
      </c>
    </row>
    <row r="257" customFormat="false" ht="49.5" hidden="false" customHeight="true" outlineLevel="0" collapsed="false">
      <c r="A257" s="34" t="n">
        <v>256</v>
      </c>
      <c r="B257" s="37" t="s">
        <v>264</v>
      </c>
      <c r="C257" s="45" t="s">
        <v>622</v>
      </c>
      <c r="D257" s="43" t="s">
        <v>623</v>
      </c>
      <c r="E257" s="35" t="s">
        <v>268</v>
      </c>
      <c r="F257" s="39" t="s">
        <v>656</v>
      </c>
      <c r="G257" s="43" t="s">
        <v>1038</v>
      </c>
      <c r="H257" s="44" t="s">
        <v>1036</v>
      </c>
      <c r="I257" s="45" t="s">
        <v>584</v>
      </c>
      <c r="J257" s="36"/>
      <c r="K257" s="36"/>
      <c r="L257" s="45"/>
      <c r="M257" s="36" t="s">
        <v>521</v>
      </c>
      <c r="N257" s="40" t="n">
        <v>1000</v>
      </c>
      <c r="O257" s="35"/>
      <c r="P257" s="35" t="s">
        <v>1039</v>
      </c>
      <c r="Q257" s="35" t="s">
        <v>67</v>
      </c>
      <c r="R257" s="35" t="s">
        <v>68</v>
      </c>
      <c r="S257" s="42" t="n">
        <v>3</v>
      </c>
      <c r="T257" s="35" t="s">
        <v>246</v>
      </c>
      <c r="U257" s="35" t="s">
        <v>204</v>
      </c>
      <c r="V257" s="36" t="s">
        <v>205</v>
      </c>
      <c r="W257" s="36" t="s">
        <v>524</v>
      </c>
      <c r="X257" s="44" t="s">
        <v>267</v>
      </c>
      <c r="Y257" s="41" t="s">
        <v>1040</v>
      </c>
      <c r="Z257" s="47" t="n">
        <v>41446</v>
      </c>
      <c r="AA257" s="35" t="s">
        <v>526</v>
      </c>
    </row>
    <row r="258" customFormat="false" ht="79.5" hidden="false" customHeight="true" outlineLevel="0" collapsed="false">
      <c r="A258" s="34" t="n">
        <v>257</v>
      </c>
      <c r="B258" s="37" t="s">
        <v>264</v>
      </c>
      <c r="C258" s="45" t="s">
        <v>1041</v>
      </c>
      <c r="D258" s="43" t="s">
        <v>1042</v>
      </c>
      <c r="E258" s="35" t="s">
        <v>211</v>
      </c>
      <c r="F258" s="39" t="s">
        <v>1043</v>
      </c>
      <c r="G258" s="43" t="s">
        <v>1044</v>
      </c>
      <c r="H258" s="44" t="s">
        <v>1045</v>
      </c>
      <c r="I258" s="45" t="s">
        <v>1046</v>
      </c>
      <c r="J258" s="36"/>
      <c r="K258" s="36"/>
      <c r="L258" s="45"/>
      <c r="M258" s="36" t="s">
        <v>521</v>
      </c>
      <c r="N258" s="40" t="n">
        <v>2000</v>
      </c>
      <c r="O258" s="35"/>
      <c r="P258" s="35" t="s">
        <v>265</v>
      </c>
      <c r="Q258" s="35" t="s">
        <v>67</v>
      </c>
      <c r="R258" s="35" t="s">
        <v>68</v>
      </c>
      <c r="S258" s="42" t="n">
        <v>3</v>
      </c>
      <c r="T258" s="35" t="s">
        <v>64</v>
      </c>
      <c r="U258" s="35" t="s">
        <v>537</v>
      </c>
      <c r="V258" s="36" t="s">
        <v>284</v>
      </c>
      <c r="W258" s="36" t="s">
        <v>826</v>
      </c>
      <c r="X258" s="44" t="s">
        <v>960</v>
      </c>
      <c r="Y258" s="41" t="s">
        <v>1047</v>
      </c>
      <c r="Z258" s="47" t="n">
        <v>45971</v>
      </c>
      <c r="AA258" s="35" t="s">
        <v>526</v>
      </c>
    </row>
    <row r="259" customFormat="false" ht="79.5" hidden="false" customHeight="true" outlineLevel="0" collapsed="false">
      <c r="A259" s="34" t="n">
        <v>258</v>
      </c>
      <c r="B259" s="37" t="s">
        <v>264</v>
      </c>
      <c r="C259" s="45" t="s">
        <v>1048</v>
      </c>
      <c r="D259" s="43" t="s">
        <v>1049</v>
      </c>
      <c r="E259" s="35" t="s">
        <v>268</v>
      </c>
      <c r="F259" s="39" t="s">
        <v>1050</v>
      </c>
      <c r="G259" s="43" t="s">
        <v>1051</v>
      </c>
      <c r="H259" s="44" t="s">
        <v>1052</v>
      </c>
      <c r="I259" s="45" t="s">
        <v>1053</v>
      </c>
      <c r="J259" s="36"/>
      <c r="K259" s="36"/>
      <c r="L259" s="45"/>
      <c r="M259" s="36" t="s">
        <v>521</v>
      </c>
      <c r="N259" s="40" t="n">
        <v>5000</v>
      </c>
      <c r="O259" s="35"/>
      <c r="P259" s="35" t="s">
        <v>265</v>
      </c>
      <c r="Q259" s="35" t="s">
        <v>67</v>
      </c>
      <c r="R259" s="35" t="s">
        <v>68</v>
      </c>
      <c r="S259" s="42" t="n">
        <v>3</v>
      </c>
      <c r="T259" s="35" t="s">
        <v>90</v>
      </c>
      <c r="U259" s="35" t="s">
        <v>204</v>
      </c>
      <c r="V259" s="36" t="s">
        <v>205</v>
      </c>
      <c r="W259" s="36" t="s">
        <v>524</v>
      </c>
      <c r="X259" s="43" t="s">
        <v>369</v>
      </c>
      <c r="Y259" s="41" t="s">
        <v>1054</v>
      </c>
      <c r="Z259" s="47" t="n">
        <v>41446</v>
      </c>
      <c r="AA259" s="35" t="s">
        <v>526</v>
      </c>
    </row>
    <row r="260" customFormat="false" ht="79.5" hidden="false" customHeight="true" outlineLevel="0" collapsed="false">
      <c r="A260" s="34" t="n">
        <v>259</v>
      </c>
      <c r="B260" s="37" t="s">
        <v>264</v>
      </c>
      <c r="C260" s="45" t="s">
        <v>1048</v>
      </c>
      <c r="D260" s="43" t="s">
        <v>1049</v>
      </c>
      <c r="E260" s="35" t="s">
        <v>268</v>
      </c>
      <c r="F260" s="39" t="s">
        <v>1055</v>
      </c>
      <c r="G260" s="43" t="s">
        <v>1056</v>
      </c>
      <c r="H260" s="44" t="s">
        <v>1057</v>
      </c>
      <c r="I260" s="45" t="s">
        <v>1058</v>
      </c>
      <c r="J260" s="36"/>
      <c r="K260" s="36"/>
      <c r="L260" s="45"/>
      <c r="M260" s="36" t="s">
        <v>521</v>
      </c>
      <c r="N260" s="40" t="n">
        <v>5000</v>
      </c>
      <c r="O260" s="35"/>
      <c r="P260" s="35" t="s">
        <v>265</v>
      </c>
      <c r="Q260" s="35" t="s">
        <v>67</v>
      </c>
      <c r="R260" s="35" t="s">
        <v>144</v>
      </c>
      <c r="S260" s="42" t="n">
        <v>3</v>
      </c>
      <c r="T260" s="35" t="s">
        <v>64</v>
      </c>
      <c r="U260" s="35" t="s">
        <v>204</v>
      </c>
      <c r="V260" s="36" t="s">
        <v>205</v>
      </c>
      <c r="W260" s="36" t="s">
        <v>524</v>
      </c>
      <c r="X260" s="43" t="s">
        <v>369</v>
      </c>
      <c r="Y260" s="41" t="s">
        <v>1059</v>
      </c>
      <c r="Z260" s="47" t="n">
        <v>39902</v>
      </c>
      <c r="AA260" s="35" t="s">
        <v>526</v>
      </c>
    </row>
    <row r="261" customFormat="false" ht="79.5" hidden="false" customHeight="true" outlineLevel="0" collapsed="false">
      <c r="A261" s="34" t="n">
        <v>260</v>
      </c>
      <c r="B261" s="37" t="s">
        <v>264</v>
      </c>
      <c r="C261" s="45" t="s">
        <v>286</v>
      </c>
      <c r="D261" s="43" t="s">
        <v>287</v>
      </c>
      <c r="E261" s="35" t="s">
        <v>211</v>
      </c>
      <c r="F261" s="39" t="s">
        <v>282</v>
      </c>
      <c r="G261" s="43" t="s">
        <v>1060</v>
      </c>
      <c r="H261" s="44" t="s">
        <v>285</v>
      </c>
      <c r="I261" s="45" t="s">
        <v>1061</v>
      </c>
      <c r="J261" s="36" t="s">
        <v>80</v>
      </c>
      <c r="K261" s="36"/>
      <c r="L261" s="45" t="s">
        <v>667</v>
      </c>
      <c r="M261" s="36" t="s">
        <v>521</v>
      </c>
      <c r="N261" s="40" t="n">
        <v>2000</v>
      </c>
      <c r="O261" s="35"/>
      <c r="P261" s="35" t="s">
        <v>265</v>
      </c>
      <c r="Q261" s="35" t="s">
        <v>67</v>
      </c>
      <c r="R261" s="35" t="s">
        <v>144</v>
      </c>
      <c r="S261" s="42" t="n">
        <v>2</v>
      </c>
      <c r="T261" s="35" t="s">
        <v>64</v>
      </c>
      <c r="U261" s="35" t="s">
        <v>204</v>
      </c>
      <c r="V261" s="36" t="s">
        <v>284</v>
      </c>
      <c r="W261" s="36" t="s">
        <v>524</v>
      </c>
      <c r="X261" s="43" t="s">
        <v>272</v>
      </c>
      <c r="Y261" s="41" t="s">
        <v>289</v>
      </c>
      <c r="Z261" s="47" t="n">
        <v>45238</v>
      </c>
      <c r="AA261" s="35" t="s">
        <v>578</v>
      </c>
    </row>
    <row r="262" customFormat="false" ht="49.5" hidden="false" customHeight="true" outlineLevel="0" collapsed="false">
      <c r="A262" s="34" t="n">
        <v>261</v>
      </c>
      <c r="B262" s="37" t="s">
        <v>264</v>
      </c>
      <c r="C262" s="45" t="s">
        <v>367</v>
      </c>
      <c r="D262" s="43" t="s">
        <v>368</v>
      </c>
      <c r="E262" s="35" t="s">
        <v>268</v>
      </c>
      <c r="F262" s="39" t="s">
        <v>1062</v>
      </c>
      <c r="G262" s="43" t="s">
        <v>1063</v>
      </c>
      <c r="H262" s="44" t="s">
        <v>1064</v>
      </c>
      <c r="I262" s="45" t="s">
        <v>1027</v>
      </c>
      <c r="J262" s="36"/>
      <c r="K262" s="36"/>
      <c r="L262" s="45"/>
      <c r="M262" s="36" t="s">
        <v>521</v>
      </c>
      <c r="N262" s="40" t="n">
        <v>1000</v>
      </c>
      <c r="O262" s="35"/>
      <c r="P262" s="35" t="s">
        <v>265</v>
      </c>
      <c r="Q262" s="35" t="s">
        <v>67</v>
      </c>
      <c r="R262" s="35" t="s">
        <v>144</v>
      </c>
      <c r="S262" s="42" t="n">
        <v>2</v>
      </c>
      <c r="T262" s="35" t="s">
        <v>665</v>
      </c>
      <c r="U262" s="35" t="s">
        <v>204</v>
      </c>
      <c r="V262" s="36" t="s">
        <v>226</v>
      </c>
      <c r="W262" s="36" t="s">
        <v>524</v>
      </c>
      <c r="X262" s="44" t="s">
        <v>230</v>
      </c>
      <c r="Y262" s="41" t="s">
        <v>1065</v>
      </c>
      <c r="Z262" s="47" t="n">
        <v>43235</v>
      </c>
      <c r="AA262" s="35" t="s">
        <v>526</v>
      </c>
    </row>
    <row r="263" customFormat="false" ht="49.5" hidden="false" customHeight="true" outlineLevel="0" collapsed="false">
      <c r="A263" s="34" t="n">
        <v>262</v>
      </c>
      <c r="B263" s="37" t="s">
        <v>264</v>
      </c>
      <c r="C263" s="45" t="s">
        <v>367</v>
      </c>
      <c r="D263" s="43" t="s">
        <v>368</v>
      </c>
      <c r="E263" s="35" t="s">
        <v>211</v>
      </c>
      <c r="F263" s="39" t="s">
        <v>364</v>
      </c>
      <c r="G263" s="43" t="s">
        <v>1066</v>
      </c>
      <c r="H263" s="44" t="s">
        <v>366</v>
      </c>
      <c r="I263" s="45" t="s">
        <v>1067</v>
      </c>
      <c r="J263" s="36" t="s">
        <v>80</v>
      </c>
      <c r="K263" s="36"/>
      <c r="L263" s="45"/>
      <c r="M263" s="36" t="s">
        <v>521</v>
      </c>
      <c r="N263" s="40" t="n">
        <v>2500</v>
      </c>
      <c r="O263" s="35"/>
      <c r="P263" s="35" t="s">
        <v>265</v>
      </c>
      <c r="Q263" s="35" t="s">
        <v>67</v>
      </c>
      <c r="R263" s="35" t="s">
        <v>68</v>
      </c>
      <c r="S263" s="42" t="n">
        <v>2</v>
      </c>
      <c r="T263" s="35" t="s">
        <v>64</v>
      </c>
      <c r="U263" s="35" t="s">
        <v>204</v>
      </c>
      <c r="V263" s="36" t="s">
        <v>205</v>
      </c>
      <c r="W263" s="36" t="s">
        <v>524</v>
      </c>
      <c r="X263" s="43" t="s">
        <v>369</v>
      </c>
      <c r="Y263" s="41" t="s">
        <v>370</v>
      </c>
      <c r="Z263" s="47" t="n">
        <v>45712</v>
      </c>
      <c r="AA263" s="35" t="s">
        <v>578</v>
      </c>
    </row>
    <row r="264" customFormat="false" ht="49.5" hidden="false" customHeight="true" outlineLevel="0" collapsed="false">
      <c r="A264" s="34" t="n">
        <v>263</v>
      </c>
      <c r="B264" s="37" t="s">
        <v>264</v>
      </c>
      <c r="C264" s="45" t="s">
        <v>367</v>
      </c>
      <c r="D264" s="43" t="s">
        <v>368</v>
      </c>
      <c r="E264" s="35" t="s">
        <v>211</v>
      </c>
      <c r="F264" s="39" t="s">
        <v>364</v>
      </c>
      <c r="G264" s="43" t="s">
        <v>1066</v>
      </c>
      <c r="H264" s="44" t="s">
        <v>366</v>
      </c>
      <c r="I264" s="45" t="s">
        <v>1067</v>
      </c>
      <c r="J264" s="36" t="s">
        <v>80</v>
      </c>
      <c r="K264" s="36"/>
      <c r="L264" s="45"/>
      <c r="M264" s="36" t="s">
        <v>521</v>
      </c>
      <c r="N264" s="40" t="n">
        <v>2500</v>
      </c>
      <c r="O264" s="35"/>
      <c r="P264" s="35" t="s">
        <v>265</v>
      </c>
      <c r="Q264" s="35" t="s">
        <v>67</v>
      </c>
      <c r="R264" s="35" t="s">
        <v>68</v>
      </c>
      <c r="S264" s="42" t="n">
        <v>2</v>
      </c>
      <c r="T264" s="35" t="s">
        <v>64</v>
      </c>
      <c r="U264" s="35" t="s">
        <v>204</v>
      </c>
      <c r="V264" s="36" t="s">
        <v>205</v>
      </c>
      <c r="W264" s="36" t="s">
        <v>826</v>
      </c>
      <c r="X264" s="43" t="s">
        <v>369</v>
      </c>
      <c r="Y264" s="41" t="s">
        <v>1068</v>
      </c>
      <c r="Z264" s="47" t="n">
        <v>44711</v>
      </c>
      <c r="AA264" s="35" t="s">
        <v>526</v>
      </c>
    </row>
    <row r="265" customFormat="false" ht="49.5" hidden="false" customHeight="true" outlineLevel="0" collapsed="false">
      <c r="A265" s="34" t="n">
        <v>264</v>
      </c>
      <c r="B265" s="37" t="s">
        <v>264</v>
      </c>
      <c r="C265" s="45" t="s">
        <v>367</v>
      </c>
      <c r="D265" s="43" t="s">
        <v>368</v>
      </c>
      <c r="E265" s="35" t="s">
        <v>268</v>
      </c>
      <c r="F265" s="39" t="s">
        <v>1069</v>
      </c>
      <c r="G265" s="43" t="s">
        <v>1070</v>
      </c>
      <c r="H265" s="44" t="s">
        <v>1071</v>
      </c>
      <c r="I265" s="45" t="s">
        <v>584</v>
      </c>
      <c r="J265" s="36"/>
      <c r="K265" s="36"/>
      <c r="L265" s="45"/>
      <c r="M265" s="36" t="s">
        <v>521</v>
      </c>
      <c r="N265" s="40" t="n">
        <v>2000</v>
      </c>
      <c r="O265" s="35"/>
      <c r="P265" s="35" t="s">
        <v>265</v>
      </c>
      <c r="Q265" s="35" t="s">
        <v>67</v>
      </c>
      <c r="R265" s="35" t="s">
        <v>68</v>
      </c>
      <c r="S265" s="42" t="n">
        <v>3</v>
      </c>
      <c r="T265" s="35" t="s">
        <v>246</v>
      </c>
      <c r="U265" s="35" t="s">
        <v>204</v>
      </c>
      <c r="V265" s="36" t="s">
        <v>226</v>
      </c>
      <c r="W265" s="36" t="s">
        <v>524</v>
      </c>
      <c r="X265" s="43" t="s">
        <v>300</v>
      </c>
      <c r="Y265" s="41" t="s">
        <v>1072</v>
      </c>
      <c r="Z265" s="47" t="n">
        <v>43934</v>
      </c>
      <c r="AA265" s="35" t="s">
        <v>526</v>
      </c>
    </row>
    <row r="266" customFormat="false" ht="49.5" hidden="false" customHeight="true" outlineLevel="0" collapsed="false">
      <c r="A266" s="34" t="n">
        <v>265</v>
      </c>
      <c r="B266" s="37" t="s">
        <v>264</v>
      </c>
      <c r="C266" s="45" t="s">
        <v>367</v>
      </c>
      <c r="D266" s="43" t="s">
        <v>368</v>
      </c>
      <c r="E266" s="35" t="s">
        <v>268</v>
      </c>
      <c r="F266" s="39" t="s">
        <v>1073</v>
      </c>
      <c r="G266" s="43" t="s">
        <v>1074</v>
      </c>
      <c r="H266" s="44" t="s">
        <v>1064</v>
      </c>
      <c r="I266" s="45" t="s">
        <v>1031</v>
      </c>
      <c r="J266" s="36"/>
      <c r="K266" s="36"/>
      <c r="L266" s="45"/>
      <c r="M266" s="36" t="s">
        <v>521</v>
      </c>
      <c r="N266" s="40" t="n">
        <v>2000</v>
      </c>
      <c r="O266" s="35"/>
      <c r="P266" s="35" t="s">
        <v>265</v>
      </c>
      <c r="Q266" s="35" t="s">
        <v>67</v>
      </c>
      <c r="R266" s="35" t="s">
        <v>144</v>
      </c>
      <c r="S266" s="42" t="n">
        <v>2</v>
      </c>
      <c r="T266" s="35" t="s">
        <v>246</v>
      </c>
      <c r="U266" s="35" t="s">
        <v>204</v>
      </c>
      <c r="V266" s="36" t="s">
        <v>226</v>
      </c>
      <c r="W266" s="36" t="s">
        <v>524</v>
      </c>
      <c r="X266" s="44" t="s">
        <v>267</v>
      </c>
      <c r="Y266" s="41" t="s">
        <v>1075</v>
      </c>
      <c r="Z266" s="47" t="n">
        <v>43235</v>
      </c>
      <c r="AA266" s="35" t="s">
        <v>526</v>
      </c>
    </row>
    <row r="267" customFormat="false" ht="64.5" hidden="false" customHeight="true" outlineLevel="0" collapsed="false">
      <c r="A267" s="34" t="n">
        <v>266</v>
      </c>
      <c r="B267" s="37" t="s">
        <v>264</v>
      </c>
      <c r="C267" s="45" t="s">
        <v>1076</v>
      </c>
      <c r="D267" s="43" t="s">
        <v>1077</v>
      </c>
      <c r="E267" s="35" t="s">
        <v>268</v>
      </c>
      <c r="F267" s="39" t="s">
        <v>1078</v>
      </c>
      <c r="G267" s="43" t="s">
        <v>1079</v>
      </c>
      <c r="H267" s="44" t="s">
        <v>1080</v>
      </c>
      <c r="I267" s="45" t="s">
        <v>1081</v>
      </c>
      <c r="J267" s="36"/>
      <c r="K267" s="36"/>
      <c r="L267" s="45"/>
      <c r="M267" s="36" t="s">
        <v>521</v>
      </c>
      <c r="N267" s="40" t="n">
        <v>1000</v>
      </c>
      <c r="O267" s="35"/>
      <c r="P267" s="35" t="s">
        <v>265</v>
      </c>
      <c r="Q267" s="35" t="s">
        <v>67</v>
      </c>
      <c r="R267" s="35" t="s">
        <v>144</v>
      </c>
      <c r="S267" s="42" t="n">
        <v>3</v>
      </c>
      <c r="T267" s="35" t="s">
        <v>246</v>
      </c>
      <c r="U267" s="35" t="s">
        <v>204</v>
      </c>
      <c r="V267" s="36" t="s">
        <v>226</v>
      </c>
      <c r="W267" s="36" t="s">
        <v>524</v>
      </c>
      <c r="X267" s="44" t="s">
        <v>553</v>
      </c>
      <c r="Y267" s="41" t="s">
        <v>1082</v>
      </c>
      <c r="Z267" s="47" t="n">
        <v>43578</v>
      </c>
      <c r="AA267" s="35" t="s">
        <v>526</v>
      </c>
    </row>
    <row r="268" customFormat="false" ht="79.5" hidden="false" customHeight="true" outlineLevel="0" collapsed="false">
      <c r="A268" s="34" t="n">
        <v>267</v>
      </c>
      <c r="B268" s="37" t="s">
        <v>264</v>
      </c>
      <c r="C268" s="45" t="s">
        <v>1083</v>
      </c>
      <c r="D268" s="43" t="s">
        <v>1084</v>
      </c>
      <c r="E268" s="35" t="s">
        <v>211</v>
      </c>
      <c r="F268" s="39" t="s">
        <v>1085</v>
      </c>
      <c r="G268" s="43" t="s">
        <v>1086</v>
      </c>
      <c r="H268" s="44" t="s">
        <v>1087</v>
      </c>
      <c r="I268" s="45" t="s">
        <v>1088</v>
      </c>
      <c r="J268" s="36"/>
      <c r="K268" s="36"/>
      <c r="L268" s="45"/>
      <c r="M268" s="36" t="s">
        <v>521</v>
      </c>
      <c r="N268" s="40" t="n">
        <v>2000</v>
      </c>
      <c r="O268" s="35"/>
      <c r="P268" s="35" t="s">
        <v>265</v>
      </c>
      <c r="Q268" s="35" t="s">
        <v>67</v>
      </c>
      <c r="R268" s="35" t="s">
        <v>144</v>
      </c>
      <c r="S268" s="42" t="n">
        <v>2</v>
      </c>
      <c r="T268" s="35" t="s">
        <v>246</v>
      </c>
      <c r="U268" s="35" t="s">
        <v>204</v>
      </c>
      <c r="V268" s="36" t="s">
        <v>226</v>
      </c>
      <c r="W268" s="36" t="s">
        <v>524</v>
      </c>
      <c r="X268" s="44" t="s">
        <v>210</v>
      </c>
      <c r="Y268" s="41" t="s">
        <v>1089</v>
      </c>
      <c r="Z268" s="47" t="n">
        <v>44252</v>
      </c>
      <c r="AA268" s="35" t="s">
        <v>526</v>
      </c>
    </row>
    <row r="269" customFormat="false" ht="79.5" hidden="false" customHeight="true" outlineLevel="0" collapsed="false">
      <c r="A269" s="34" t="n">
        <v>268</v>
      </c>
      <c r="B269" s="37" t="s">
        <v>264</v>
      </c>
      <c r="C269" s="45" t="s">
        <v>276</v>
      </c>
      <c r="D269" s="43" t="s">
        <v>277</v>
      </c>
      <c r="E269" s="35" t="s">
        <v>211</v>
      </c>
      <c r="F269" s="39" t="s">
        <v>274</v>
      </c>
      <c r="G269" s="43" t="s">
        <v>1090</v>
      </c>
      <c r="H269" s="44" t="s">
        <v>275</v>
      </c>
      <c r="I269" s="45" t="s">
        <v>1091</v>
      </c>
      <c r="J269" s="36" t="s">
        <v>80</v>
      </c>
      <c r="K269" s="36"/>
      <c r="L269" s="45" t="s">
        <v>541</v>
      </c>
      <c r="M269" s="36" t="s">
        <v>521</v>
      </c>
      <c r="N269" s="40" t="n">
        <v>1000</v>
      </c>
      <c r="O269" s="35"/>
      <c r="P269" s="35" t="s">
        <v>265</v>
      </c>
      <c r="Q269" s="35" t="s">
        <v>67</v>
      </c>
      <c r="R269" s="35" t="s">
        <v>144</v>
      </c>
      <c r="S269" s="42" t="n">
        <v>2</v>
      </c>
      <c r="T269" s="35" t="s">
        <v>246</v>
      </c>
      <c r="U269" s="35" t="s">
        <v>204</v>
      </c>
      <c r="V269" s="36" t="s">
        <v>226</v>
      </c>
      <c r="W269" s="36" t="s">
        <v>524</v>
      </c>
      <c r="X269" s="44" t="s">
        <v>267</v>
      </c>
      <c r="Y269" s="41" t="s">
        <v>279</v>
      </c>
      <c r="Z269" s="47" t="n">
        <v>45516</v>
      </c>
      <c r="AA269" s="35" t="s">
        <v>578</v>
      </c>
    </row>
    <row r="270" customFormat="false" ht="34.5" hidden="false" customHeight="true" outlineLevel="0" collapsed="false">
      <c r="A270" s="34" t="n">
        <v>269</v>
      </c>
      <c r="B270" s="37" t="s">
        <v>264</v>
      </c>
      <c r="C270" s="45" t="s">
        <v>1092</v>
      </c>
      <c r="D270" s="43" t="s">
        <v>1093</v>
      </c>
      <c r="E270" s="35" t="s">
        <v>268</v>
      </c>
      <c r="F270" s="39" t="s">
        <v>1094</v>
      </c>
      <c r="G270" s="43" t="s">
        <v>1095</v>
      </c>
      <c r="H270" s="44" t="s">
        <v>1096</v>
      </c>
      <c r="I270" s="45" t="s">
        <v>576</v>
      </c>
      <c r="J270" s="36"/>
      <c r="K270" s="36"/>
      <c r="L270" s="45"/>
      <c r="M270" s="36" t="s">
        <v>521</v>
      </c>
      <c r="N270" s="40" t="n">
        <v>1000</v>
      </c>
      <c r="O270" s="35"/>
      <c r="P270" s="35" t="s">
        <v>265</v>
      </c>
      <c r="Q270" s="35" t="s">
        <v>67</v>
      </c>
      <c r="R270" s="35" t="s">
        <v>68</v>
      </c>
      <c r="S270" s="42" t="n">
        <v>2</v>
      </c>
      <c r="T270" s="35" t="s">
        <v>64</v>
      </c>
      <c r="U270" s="35" t="s">
        <v>537</v>
      </c>
      <c r="V270" s="36" t="s">
        <v>205</v>
      </c>
      <c r="W270" s="36" t="s">
        <v>524</v>
      </c>
      <c r="X270" s="44" t="s">
        <v>267</v>
      </c>
      <c r="Y270" s="41" t="s">
        <v>1097</v>
      </c>
      <c r="Z270" s="47" t="n">
        <v>44067</v>
      </c>
      <c r="AA270" s="35" t="s">
        <v>526</v>
      </c>
    </row>
    <row r="271" customFormat="false" ht="34.5" hidden="false" customHeight="true" outlineLevel="0" collapsed="false">
      <c r="A271" s="34" t="n">
        <v>270</v>
      </c>
      <c r="B271" s="37" t="s">
        <v>264</v>
      </c>
      <c r="C271" s="45" t="s">
        <v>261</v>
      </c>
      <c r="D271" s="43" t="s">
        <v>262</v>
      </c>
      <c r="E271" s="35" t="s">
        <v>268</v>
      </c>
      <c r="F271" s="39" t="s">
        <v>1098</v>
      </c>
      <c r="G271" s="43" t="s">
        <v>1099</v>
      </c>
      <c r="H271" s="44" t="s">
        <v>1100</v>
      </c>
      <c r="I271" s="45" t="s">
        <v>1101</v>
      </c>
      <c r="J271" s="36"/>
      <c r="K271" s="36"/>
      <c r="L271" s="45"/>
      <c r="M271" s="36" t="s">
        <v>521</v>
      </c>
      <c r="N271" s="40" t="n">
        <v>2000</v>
      </c>
      <c r="O271" s="35"/>
      <c r="P271" s="35" t="s">
        <v>265</v>
      </c>
      <c r="Q271" s="35" t="s">
        <v>67</v>
      </c>
      <c r="R271" s="35" t="s">
        <v>91</v>
      </c>
      <c r="S271" s="42" t="n">
        <v>2</v>
      </c>
      <c r="T271" s="35" t="s">
        <v>64</v>
      </c>
      <c r="U271" s="35" t="s">
        <v>204</v>
      </c>
      <c r="V271" s="36" t="s">
        <v>205</v>
      </c>
      <c r="W271" s="36" t="s">
        <v>524</v>
      </c>
      <c r="X271" s="44" t="s">
        <v>210</v>
      </c>
      <c r="Y271" s="41" t="s">
        <v>1102</v>
      </c>
      <c r="Z271" s="47" t="n">
        <v>38372</v>
      </c>
      <c r="AA271" s="35" t="s">
        <v>526</v>
      </c>
    </row>
    <row r="272" customFormat="false" ht="64.5" hidden="false" customHeight="true" outlineLevel="0" collapsed="false">
      <c r="A272" s="34" t="n">
        <v>271</v>
      </c>
      <c r="B272" s="37" t="s">
        <v>264</v>
      </c>
      <c r="C272" s="45" t="s">
        <v>1103</v>
      </c>
      <c r="D272" s="43" t="s">
        <v>1104</v>
      </c>
      <c r="E272" s="35" t="s">
        <v>211</v>
      </c>
      <c r="F272" s="39" t="s">
        <v>1105</v>
      </c>
      <c r="G272" s="43" t="s">
        <v>1106</v>
      </c>
      <c r="H272" s="44" t="s">
        <v>1107</v>
      </c>
      <c r="I272" s="45" t="s">
        <v>1108</v>
      </c>
      <c r="J272" s="36"/>
      <c r="K272" s="36"/>
      <c r="L272" s="45"/>
      <c r="M272" s="36" t="s">
        <v>521</v>
      </c>
      <c r="N272" s="40" t="n">
        <v>2500</v>
      </c>
      <c r="O272" s="35"/>
      <c r="P272" s="35" t="s">
        <v>265</v>
      </c>
      <c r="Q272" s="35" t="s">
        <v>67</v>
      </c>
      <c r="R272" s="35" t="s">
        <v>144</v>
      </c>
      <c r="S272" s="42" t="n">
        <v>3</v>
      </c>
      <c r="T272" s="35" t="s">
        <v>64</v>
      </c>
      <c r="U272" s="35" t="s">
        <v>537</v>
      </c>
      <c r="V272" s="36" t="s">
        <v>284</v>
      </c>
      <c r="W272" s="36" t="s">
        <v>826</v>
      </c>
      <c r="X272" s="43" t="s">
        <v>853</v>
      </c>
      <c r="Y272" s="41" t="s">
        <v>1109</v>
      </c>
      <c r="Z272" s="47" t="n">
        <v>43159</v>
      </c>
      <c r="AA272" s="35" t="s">
        <v>526</v>
      </c>
    </row>
    <row r="273" customFormat="false" ht="64.5" hidden="false" customHeight="true" outlineLevel="0" collapsed="false">
      <c r="A273" s="34" t="n">
        <v>272</v>
      </c>
      <c r="B273" s="37" t="s">
        <v>264</v>
      </c>
      <c r="C273" s="45" t="s">
        <v>228</v>
      </c>
      <c r="D273" s="43" t="s">
        <v>229</v>
      </c>
      <c r="E273" s="35" t="s">
        <v>211</v>
      </c>
      <c r="F273" s="39" t="s">
        <v>1110</v>
      </c>
      <c r="G273" s="43" t="s">
        <v>1111</v>
      </c>
      <c r="H273" s="44" t="s">
        <v>1112</v>
      </c>
      <c r="I273" s="45" t="s">
        <v>1113</v>
      </c>
      <c r="J273" s="36"/>
      <c r="K273" s="36"/>
      <c r="L273" s="45"/>
      <c r="M273" s="36" t="s">
        <v>521</v>
      </c>
      <c r="N273" s="40" t="n">
        <v>1000</v>
      </c>
      <c r="O273" s="35"/>
      <c r="P273" s="35" t="s">
        <v>265</v>
      </c>
      <c r="Q273" s="35" t="s">
        <v>67</v>
      </c>
      <c r="R273" s="35" t="s">
        <v>68</v>
      </c>
      <c r="S273" s="42" t="n">
        <v>3</v>
      </c>
      <c r="T273" s="35" t="s">
        <v>246</v>
      </c>
      <c r="U273" s="35" t="s">
        <v>537</v>
      </c>
      <c r="V273" s="36" t="s">
        <v>284</v>
      </c>
      <c r="W273" s="36" t="s">
        <v>524</v>
      </c>
      <c r="X273" s="43" t="s">
        <v>300</v>
      </c>
      <c r="Y273" s="41" t="s">
        <v>1114</v>
      </c>
      <c r="Z273" s="47" t="n">
        <v>43452</v>
      </c>
      <c r="AA273" s="35" t="s">
        <v>526</v>
      </c>
    </row>
    <row r="274" customFormat="false" ht="64.5" hidden="false" customHeight="true" outlineLevel="0" collapsed="false">
      <c r="A274" s="34" t="n">
        <v>273</v>
      </c>
      <c r="B274" s="37" t="s">
        <v>264</v>
      </c>
      <c r="C274" s="45" t="s">
        <v>1115</v>
      </c>
      <c r="D274" s="43" t="s">
        <v>1116</v>
      </c>
      <c r="E274" s="35" t="s">
        <v>268</v>
      </c>
      <c r="F274" s="39" t="s">
        <v>1117</v>
      </c>
      <c r="G274" s="43" t="s">
        <v>1118</v>
      </c>
      <c r="H274" s="44" t="s">
        <v>1119</v>
      </c>
      <c r="I274" s="45" t="s">
        <v>1120</v>
      </c>
      <c r="J274" s="36" t="s">
        <v>80</v>
      </c>
      <c r="K274" s="36"/>
      <c r="L274" s="45"/>
      <c r="M274" s="36" t="s">
        <v>521</v>
      </c>
      <c r="N274" s="40" t="n">
        <v>2000</v>
      </c>
      <c r="O274" s="35"/>
      <c r="P274" s="35" t="s">
        <v>265</v>
      </c>
      <c r="Q274" s="35" t="s">
        <v>67</v>
      </c>
      <c r="R274" s="35" t="s">
        <v>144</v>
      </c>
      <c r="S274" s="42" t="n">
        <v>2</v>
      </c>
      <c r="T274" s="35" t="s">
        <v>98</v>
      </c>
      <c r="U274" s="35" t="s">
        <v>204</v>
      </c>
      <c r="V274" s="36" t="s">
        <v>226</v>
      </c>
      <c r="W274" s="36" t="s">
        <v>524</v>
      </c>
      <c r="X274" s="44" t="s">
        <v>210</v>
      </c>
      <c r="Y274" s="41" t="s">
        <v>1121</v>
      </c>
      <c r="Z274" s="47" t="n">
        <v>38805</v>
      </c>
      <c r="AA274" s="35" t="s">
        <v>578</v>
      </c>
    </row>
    <row r="275" customFormat="false" ht="34.5" hidden="false" customHeight="true" outlineLevel="0" collapsed="false">
      <c r="A275" s="34" t="n">
        <v>274</v>
      </c>
      <c r="B275" s="37" t="s">
        <v>264</v>
      </c>
      <c r="C275" s="45" t="s">
        <v>238</v>
      </c>
      <c r="D275" s="43" t="s">
        <v>239</v>
      </c>
      <c r="E275" s="35" t="s">
        <v>268</v>
      </c>
      <c r="F275" s="39" t="s">
        <v>234</v>
      </c>
      <c r="G275" s="43" t="s">
        <v>1122</v>
      </c>
      <c r="H275" s="44" t="s">
        <v>1123</v>
      </c>
      <c r="I275" s="45" t="s">
        <v>688</v>
      </c>
      <c r="J275" s="36" t="s">
        <v>80</v>
      </c>
      <c r="K275" s="36"/>
      <c r="L275" s="45" t="s">
        <v>527</v>
      </c>
      <c r="M275" s="36" t="s">
        <v>521</v>
      </c>
      <c r="N275" s="40" t="n">
        <v>2000</v>
      </c>
      <c r="O275" s="35"/>
      <c r="P275" s="35" t="s">
        <v>265</v>
      </c>
      <c r="Q275" s="35" t="s">
        <v>67</v>
      </c>
      <c r="R275" s="35" t="s">
        <v>91</v>
      </c>
      <c r="S275" s="42" t="n">
        <v>3</v>
      </c>
      <c r="T275" s="35" t="s">
        <v>98</v>
      </c>
      <c r="U275" s="35" t="s">
        <v>204</v>
      </c>
      <c r="V275" s="36" t="s">
        <v>205</v>
      </c>
      <c r="W275" s="36" t="s">
        <v>524</v>
      </c>
      <c r="X275" s="44" t="s">
        <v>267</v>
      </c>
      <c r="Y275" s="41" t="s">
        <v>269</v>
      </c>
      <c r="Z275" s="47" t="n">
        <v>36187</v>
      </c>
      <c r="AA275" s="35" t="s">
        <v>578</v>
      </c>
    </row>
    <row r="276" customFormat="false" ht="34.5" hidden="false" customHeight="true" outlineLevel="0" collapsed="false">
      <c r="A276" s="34" t="n">
        <v>275</v>
      </c>
      <c r="B276" s="37" t="s">
        <v>264</v>
      </c>
      <c r="C276" s="45" t="s">
        <v>238</v>
      </c>
      <c r="D276" s="43" t="s">
        <v>239</v>
      </c>
      <c r="E276" s="35" t="s">
        <v>268</v>
      </c>
      <c r="F276" s="39" t="s">
        <v>1124</v>
      </c>
      <c r="G276" s="43" t="s">
        <v>1125</v>
      </c>
      <c r="H276" s="44" t="s">
        <v>1126</v>
      </c>
      <c r="I276" s="45" t="s">
        <v>576</v>
      </c>
      <c r="J276" s="36"/>
      <c r="K276" s="36"/>
      <c r="L276" s="45"/>
      <c r="M276" s="36" t="s">
        <v>521</v>
      </c>
      <c r="N276" s="40" t="n">
        <v>1000</v>
      </c>
      <c r="O276" s="35"/>
      <c r="P276" s="35" t="s">
        <v>265</v>
      </c>
      <c r="Q276" s="35" t="s">
        <v>67</v>
      </c>
      <c r="R276" s="35" t="s">
        <v>144</v>
      </c>
      <c r="S276" s="42" t="n">
        <v>3</v>
      </c>
      <c r="T276" s="35" t="s">
        <v>780</v>
      </c>
      <c r="U276" s="35" t="s">
        <v>204</v>
      </c>
      <c r="V276" s="36" t="s">
        <v>205</v>
      </c>
      <c r="W276" s="36" t="s">
        <v>524</v>
      </c>
      <c r="X276" s="44" t="s">
        <v>230</v>
      </c>
      <c r="Y276" s="41" t="s">
        <v>1127</v>
      </c>
      <c r="Z276" s="47" t="n">
        <v>39170</v>
      </c>
      <c r="AA276" s="35" t="s">
        <v>526</v>
      </c>
    </row>
    <row r="277" customFormat="false" ht="34.5" hidden="false" customHeight="true" outlineLevel="0" collapsed="false">
      <c r="A277" s="34" t="n">
        <v>276</v>
      </c>
      <c r="B277" s="37" t="s">
        <v>264</v>
      </c>
      <c r="C277" s="45" t="s">
        <v>238</v>
      </c>
      <c r="D277" s="43" t="s">
        <v>239</v>
      </c>
      <c r="E277" s="35" t="s">
        <v>268</v>
      </c>
      <c r="F277" s="39" t="s">
        <v>1128</v>
      </c>
      <c r="G277" s="43" t="s">
        <v>1129</v>
      </c>
      <c r="H277" s="44" t="s">
        <v>1123</v>
      </c>
      <c r="I277" s="45" t="s">
        <v>584</v>
      </c>
      <c r="J277" s="36"/>
      <c r="K277" s="36"/>
      <c r="L277" s="45"/>
      <c r="M277" s="36" t="s">
        <v>521</v>
      </c>
      <c r="N277" s="40" t="n">
        <v>1000</v>
      </c>
      <c r="O277" s="35"/>
      <c r="P277" s="35" t="s">
        <v>265</v>
      </c>
      <c r="Q277" s="35" t="s">
        <v>67</v>
      </c>
      <c r="R277" s="35" t="s">
        <v>144</v>
      </c>
      <c r="S277" s="42" t="n">
        <v>3</v>
      </c>
      <c r="T277" s="35" t="s">
        <v>780</v>
      </c>
      <c r="U277" s="35" t="s">
        <v>537</v>
      </c>
      <c r="V277" s="36" t="s">
        <v>205</v>
      </c>
      <c r="W277" s="36" t="s">
        <v>524</v>
      </c>
      <c r="X277" s="44" t="s">
        <v>267</v>
      </c>
      <c r="Y277" s="41" t="s">
        <v>1130</v>
      </c>
      <c r="Z277" s="47" t="n">
        <v>38805</v>
      </c>
      <c r="AA277" s="35" t="s">
        <v>526</v>
      </c>
    </row>
    <row r="278" customFormat="false" ht="34.5" hidden="false" customHeight="true" outlineLevel="0" collapsed="false">
      <c r="A278" s="34" t="n">
        <v>277</v>
      </c>
      <c r="B278" s="37" t="s">
        <v>264</v>
      </c>
      <c r="C278" s="45" t="s">
        <v>238</v>
      </c>
      <c r="D278" s="43" t="s">
        <v>239</v>
      </c>
      <c r="E278" s="35" t="s">
        <v>268</v>
      </c>
      <c r="F278" s="39" t="s">
        <v>1131</v>
      </c>
      <c r="G278" s="43" t="s">
        <v>1132</v>
      </c>
      <c r="H278" s="44" t="s">
        <v>328</v>
      </c>
      <c r="I278" s="45" t="s">
        <v>679</v>
      </c>
      <c r="J278" s="36"/>
      <c r="K278" s="36"/>
      <c r="L278" s="45"/>
      <c r="M278" s="36" t="s">
        <v>521</v>
      </c>
      <c r="N278" s="40" t="n">
        <v>4000</v>
      </c>
      <c r="O278" s="35"/>
      <c r="P278" s="35" t="s">
        <v>265</v>
      </c>
      <c r="Q278" s="35" t="s">
        <v>67</v>
      </c>
      <c r="R278" s="35" t="s">
        <v>144</v>
      </c>
      <c r="S278" s="42" t="n">
        <v>2</v>
      </c>
      <c r="T278" s="35" t="s">
        <v>784</v>
      </c>
      <c r="U278" s="35" t="s">
        <v>537</v>
      </c>
      <c r="V278" s="36" t="s">
        <v>205</v>
      </c>
      <c r="W278" s="36" t="s">
        <v>826</v>
      </c>
      <c r="X278" s="44" t="s">
        <v>847</v>
      </c>
      <c r="Y278" s="41" t="s">
        <v>1133</v>
      </c>
      <c r="Z278" s="47" t="n">
        <v>40259</v>
      </c>
      <c r="AA278" s="35" t="s">
        <v>526</v>
      </c>
    </row>
    <row r="279" customFormat="false" ht="34.5" hidden="false" customHeight="true" outlineLevel="0" collapsed="false">
      <c r="A279" s="34" t="n">
        <v>278</v>
      </c>
      <c r="B279" s="37" t="s">
        <v>264</v>
      </c>
      <c r="C279" s="45" t="s">
        <v>238</v>
      </c>
      <c r="D279" s="43" t="s">
        <v>239</v>
      </c>
      <c r="E279" s="35" t="s">
        <v>268</v>
      </c>
      <c r="F279" s="39" t="s">
        <v>1134</v>
      </c>
      <c r="G279" s="43" t="s">
        <v>1132</v>
      </c>
      <c r="H279" s="44" t="s">
        <v>328</v>
      </c>
      <c r="I279" s="45" t="s">
        <v>679</v>
      </c>
      <c r="J279" s="36"/>
      <c r="K279" s="36"/>
      <c r="L279" s="45"/>
      <c r="M279" s="36" t="s">
        <v>521</v>
      </c>
      <c r="N279" s="40" t="n">
        <v>4000</v>
      </c>
      <c r="O279" s="35"/>
      <c r="P279" s="35" t="s">
        <v>265</v>
      </c>
      <c r="Q279" s="35" t="s">
        <v>67</v>
      </c>
      <c r="R279" s="35" t="s">
        <v>144</v>
      </c>
      <c r="S279" s="42" t="n">
        <v>2</v>
      </c>
      <c r="T279" s="35" t="s">
        <v>784</v>
      </c>
      <c r="U279" s="35" t="s">
        <v>537</v>
      </c>
      <c r="V279" s="36" t="s">
        <v>205</v>
      </c>
      <c r="W279" s="36" t="s">
        <v>826</v>
      </c>
      <c r="X279" s="44" t="s">
        <v>856</v>
      </c>
      <c r="Y279" s="41" t="s">
        <v>1135</v>
      </c>
      <c r="Z279" s="47" t="n">
        <v>40064</v>
      </c>
      <c r="AA279" s="35" t="s">
        <v>526</v>
      </c>
    </row>
    <row r="280" customFormat="false" ht="34.5" hidden="false" customHeight="true" outlineLevel="0" collapsed="false">
      <c r="A280" s="34" t="n">
        <v>279</v>
      </c>
      <c r="B280" s="37" t="s">
        <v>264</v>
      </c>
      <c r="C280" s="45" t="s">
        <v>238</v>
      </c>
      <c r="D280" s="43" t="s">
        <v>239</v>
      </c>
      <c r="E280" s="35" t="s">
        <v>268</v>
      </c>
      <c r="F280" s="39" t="s">
        <v>1134</v>
      </c>
      <c r="G280" s="43" t="s">
        <v>1132</v>
      </c>
      <c r="H280" s="44" t="s">
        <v>328</v>
      </c>
      <c r="I280" s="45" t="s">
        <v>679</v>
      </c>
      <c r="J280" s="36"/>
      <c r="K280" s="36"/>
      <c r="L280" s="45"/>
      <c r="M280" s="36" t="s">
        <v>521</v>
      </c>
      <c r="N280" s="40" t="n">
        <v>4000</v>
      </c>
      <c r="O280" s="35"/>
      <c r="P280" s="35" t="s">
        <v>265</v>
      </c>
      <c r="Q280" s="35" t="s">
        <v>67</v>
      </c>
      <c r="R280" s="35" t="s">
        <v>144</v>
      </c>
      <c r="S280" s="42" t="n">
        <v>2</v>
      </c>
      <c r="T280" s="35" t="s">
        <v>784</v>
      </c>
      <c r="U280" s="35" t="s">
        <v>537</v>
      </c>
      <c r="V280" s="36" t="s">
        <v>205</v>
      </c>
      <c r="W280" s="36" t="s">
        <v>524</v>
      </c>
      <c r="X280" s="44" t="s">
        <v>856</v>
      </c>
      <c r="Y280" s="41" t="s">
        <v>1136</v>
      </c>
      <c r="Z280" s="47" t="n">
        <v>44531</v>
      </c>
      <c r="AA280" s="35" t="s">
        <v>526</v>
      </c>
    </row>
    <row r="281" customFormat="false" ht="64.5" hidden="false" customHeight="true" outlineLevel="0" collapsed="false">
      <c r="A281" s="34" t="n">
        <v>280</v>
      </c>
      <c r="B281" s="37" t="s">
        <v>264</v>
      </c>
      <c r="C281" s="45" t="s">
        <v>1137</v>
      </c>
      <c r="D281" s="43" t="s">
        <v>1138</v>
      </c>
      <c r="E281" s="35" t="s">
        <v>268</v>
      </c>
      <c r="F281" s="39" t="s">
        <v>1139</v>
      </c>
      <c r="G281" s="43" t="s">
        <v>1140</v>
      </c>
      <c r="H281" s="44" t="s">
        <v>1141</v>
      </c>
      <c r="I281" s="45" t="s">
        <v>1142</v>
      </c>
      <c r="J281" s="36"/>
      <c r="K281" s="36"/>
      <c r="L281" s="45"/>
      <c r="M281" s="36" t="s">
        <v>521</v>
      </c>
      <c r="N281" s="40" t="n">
        <v>2000</v>
      </c>
      <c r="O281" s="35"/>
      <c r="P281" s="35" t="s">
        <v>265</v>
      </c>
      <c r="Q281" s="35" t="s">
        <v>67</v>
      </c>
      <c r="R281" s="35" t="s">
        <v>68</v>
      </c>
      <c r="S281" s="42" t="n">
        <v>3</v>
      </c>
      <c r="T281" s="35" t="s">
        <v>98</v>
      </c>
      <c r="U281" s="35" t="s">
        <v>204</v>
      </c>
      <c r="V281" s="36" t="s">
        <v>205</v>
      </c>
      <c r="W281" s="36" t="s">
        <v>524</v>
      </c>
      <c r="X281" s="44" t="s">
        <v>210</v>
      </c>
      <c r="Y281" s="41" t="s">
        <v>1143</v>
      </c>
      <c r="Z281" s="47" t="n">
        <v>40855</v>
      </c>
      <c r="AA281" s="35" t="s">
        <v>526</v>
      </c>
    </row>
    <row r="282" customFormat="false" ht="64.5" hidden="false" customHeight="true" outlineLevel="0" collapsed="false">
      <c r="A282" s="34" t="n">
        <v>281</v>
      </c>
      <c r="B282" s="37" t="s">
        <v>264</v>
      </c>
      <c r="C282" s="45" t="s">
        <v>1137</v>
      </c>
      <c r="D282" s="43" t="s">
        <v>1138</v>
      </c>
      <c r="E282" s="35" t="s">
        <v>268</v>
      </c>
      <c r="F282" s="39" t="s">
        <v>1144</v>
      </c>
      <c r="G282" s="43" t="s">
        <v>1145</v>
      </c>
      <c r="H282" s="44" t="s">
        <v>1141</v>
      </c>
      <c r="I282" s="45" t="s">
        <v>1142</v>
      </c>
      <c r="J282" s="36"/>
      <c r="K282" s="36"/>
      <c r="L282" s="45"/>
      <c r="M282" s="36" t="s">
        <v>521</v>
      </c>
      <c r="N282" s="40" t="n">
        <v>2000</v>
      </c>
      <c r="O282" s="35"/>
      <c r="P282" s="35" t="s">
        <v>265</v>
      </c>
      <c r="Q282" s="35" t="s">
        <v>67</v>
      </c>
      <c r="R282" s="35" t="s">
        <v>144</v>
      </c>
      <c r="S282" s="42" t="n">
        <v>2</v>
      </c>
      <c r="T282" s="35" t="s">
        <v>64</v>
      </c>
      <c r="U282" s="35" t="s">
        <v>204</v>
      </c>
      <c r="V282" s="36" t="s">
        <v>205</v>
      </c>
      <c r="W282" s="36" t="s">
        <v>524</v>
      </c>
      <c r="X282" s="43" t="s">
        <v>861</v>
      </c>
      <c r="Y282" s="41" t="s">
        <v>1146</v>
      </c>
      <c r="Z282" s="47" t="n">
        <v>41841</v>
      </c>
      <c r="AA282" s="35" t="s">
        <v>526</v>
      </c>
    </row>
    <row r="283" customFormat="false" ht="64.5" hidden="false" customHeight="true" outlineLevel="0" collapsed="false">
      <c r="A283" s="34" t="n">
        <v>282</v>
      </c>
      <c r="B283" s="37" t="s">
        <v>264</v>
      </c>
      <c r="C283" s="45" t="s">
        <v>1137</v>
      </c>
      <c r="D283" s="43" t="s">
        <v>1138</v>
      </c>
      <c r="E283" s="35" t="s">
        <v>268</v>
      </c>
      <c r="F283" s="39" t="s">
        <v>1147</v>
      </c>
      <c r="G283" s="43" t="s">
        <v>1148</v>
      </c>
      <c r="H283" s="44" t="s">
        <v>1149</v>
      </c>
      <c r="I283" s="45" t="s">
        <v>1150</v>
      </c>
      <c r="J283" s="36"/>
      <c r="K283" s="36"/>
      <c r="L283" s="45"/>
      <c r="M283" s="36" t="s">
        <v>521</v>
      </c>
      <c r="N283" s="40" t="n">
        <v>2000</v>
      </c>
      <c r="O283" s="35"/>
      <c r="P283" s="35" t="s">
        <v>265</v>
      </c>
      <c r="Q283" s="35" t="s">
        <v>67</v>
      </c>
      <c r="R283" s="35" t="s">
        <v>144</v>
      </c>
      <c r="S283" s="42" t="n">
        <v>2</v>
      </c>
      <c r="T283" s="35" t="s">
        <v>246</v>
      </c>
      <c r="U283" s="35" t="s">
        <v>537</v>
      </c>
      <c r="V283" s="36" t="s">
        <v>205</v>
      </c>
      <c r="W283" s="36" t="s">
        <v>524</v>
      </c>
      <c r="X283" s="43" t="s">
        <v>853</v>
      </c>
      <c r="Y283" s="41" t="s">
        <v>1151</v>
      </c>
      <c r="Z283" s="47" t="n">
        <v>46146</v>
      </c>
      <c r="AA283" s="35" t="s">
        <v>526</v>
      </c>
    </row>
    <row r="284" customFormat="false" ht="64.5" hidden="false" customHeight="true" outlineLevel="0" collapsed="false">
      <c r="A284" s="34" t="n">
        <v>283</v>
      </c>
      <c r="B284" s="37" t="s">
        <v>264</v>
      </c>
      <c r="C284" s="45" t="s">
        <v>1137</v>
      </c>
      <c r="D284" s="43" t="s">
        <v>1138</v>
      </c>
      <c r="E284" s="35" t="s">
        <v>268</v>
      </c>
      <c r="F284" s="39" t="s">
        <v>1147</v>
      </c>
      <c r="G284" s="43" t="s">
        <v>1148</v>
      </c>
      <c r="H284" s="44" t="s">
        <v>1152</v>
      </c>
      <c r="I284" s="45" t="s">
        <v>1150</v>
      </c>
      <c r="J284" s="36"/>
      <c r="K284" s="36"/>
      <c r="L284" s="45"/>
      <c r="M284" s="36" t="s">
        <v>521</v>
      </c>
      <c r="N284" s="40" t="n">
        <v>2000</v>
      </c>
      <c r="O284" s="35"/>
      <c r="P284" s="35" t="s">
        <v>265</v>
      </c>
      <c r="Q284" s="35" t="s">
        <v>67</v>
      </c>
      <c r="R284" s="35" t="s">
        <v>144</v>
      </c>
      <c r="S284" s="42" t="n">
        <v>2</v>
      </c>
      <c r="T284" s="35" t="s">
        <v>246</v>
      </c>
      <c r="U284" s="35" t="s">
        <v>537</v>
      </c>
      <c r="V284" s="36" t="s">
        <v>205</v>
      </c>
      <c r="W284" s="36" t="s">
        <v>826</v>
      </c>
      <c r="X284" s="43" t="s">
        <v>1153</v>
      </c>
      <c r="Y284" s="41" t="s">
        <v>1154</v>
      </c>
      <c r="Z284" s="47" t="n">
        <v>41011</v>
      </c>
      <c r="AA284" s="35" t="s">
        <v>526</v>
      </c>
    </row>
    <row r="285" customFormat="false" ht="64.5" hidden="false" customHeight="true" outlineLevel="0" collapsed="false">
      <c r="A285" s="34" t="n">
        <v>284</v>
      </c>
      <c r="B285" s="37" t="s">
        <v>264</v>
      </c>
      <c r="C285" s="45" t="s">
        <v>1137</v>
      </c>
      <c r="D285" s="43" t="s">
        <v>1138</v>
      </c>
      <c r="E285" s="35" t="s">
        <v>268</v>
      </c>
      <c r="F285" s="39" t="s">
        <v>1147</v>
      </c>
      <c r="G285" s="43" t="s">
        <v>1148</v>
      </c>
      <c r="H285" s="44" t="s">
        <v>1152</v>
      </c>
      <c r="I285" s="45" t="s">
        <v>1150</v>
      </c>
      <c r="J285" s="36"/>
      <c r="K285" s="36"/>
      <c r="L285" s="45"/>
      <c r="M285" s="36" t="s">
        <v>521</v>
      </c>
      <c r="N285" s="40" t="n">
        <v>2000</v>
      </c>
      <c r="O285" s="35"/>
      <c r="P285" s="35" t="s">
        <v>265</v>
      </c>
      <c r="Q285" s="35" t="s">
        <v>67</v>
      </c>
      <c r="R285" s="35" t="s">
        <v>144</v>
      </c>
      <c r="S285" s="42" t="n">
        <v>2</v>
      </c>
      <c r="T285" s="35" t="s">
        <v>246</v>
      </c>
      <c r="U285" s="35" t="s">
        <v>537</v>
      </c>
      <c r="V285" s="36" t="s">
        <v>205</v>
      </c>
      <c r="W285" s="36" t="s">
        <v>826</v>
      </c>
      <c r="X285" s="43" t="s">
        <v>853</v>
      </c>
      <c r="Y285" s="41" t="s">
        <v>1155</v>
      </c>
      <c r="Z285" s="47" t="n">
        <v>42285</v>
      </c>
      <c r="AA285" s="35" t="s">
        <v>526</v>
      </c>
    </row>
    <row r="286" customFormat="false" ht="64.5" hidden="false" customHeight="true" outlineLevel="0" collapsed="false">
      <c r="A286" s="34" t="n">
        <v>285</v>
      </c>
      <c r="B286" s="37" t="s">
        <v>264</v>
      </c>
      <c r="C286" s="45" t="s">
        <v>1156</v>
      </c>
      <c r="D286" s="43" t="s">
        <v>1157</v>
      </c>
      <c r="E286" s="35" t="s">
        <v>268</v>
      </c>
      <c r="F286" s="39" t="s">
        <v>1158</v>
      </c>
      <c r="G286" s="43" t="s">
        <v>1159</v>
      </c>
      <c r="H286" s="44" t="s">
        <v>1160</v>
      </c>
      <c r="I286" s="45" t="s">
        <v>1161</v>
      </c>
      <c r="J286" s="36"/>
      <c r="K286" s="36"/>
      <c r="L286" s="45"/>
      <c r="M286" s="36" t="s">
        <v>521</v>
      </c>
      <c r="N286" s="40" t="n">
        <v>1000</v>
      </c>
      <c r="O286" s="35"/>
      <c r="P286" s="35" t="s">
        <v>265</v>
      </c>
      <c r="Q286" s="35" t="s">
        <v>67</v>
      </c>
      <c r="R286" s="35" t="s">
        <v>144</v>
      </c>
      <c r="S286" s="42" t="n">
        <v>2</v>
      </c>
      <c r="T286" s="35" t="s">
        <v>98</v>
      </c>
      <c r="U286" s="35" t="s">
        <v>204</v>
      </c>
      <c r="V286" s="36" t="s">
        <v>205</v>
      </c>
      <c r="W286" s="36" t="s">
        <v>524</v>
      </c>
      <c r="X286" s="44" t="s">
        <v>210</v>
      </c>
      <c r="Y286" s="41" t="s">
        <v>1162</v>
      </c>
      <c r="Z286" s="47" t="n">
        <v>38805</v>
      </c>
      <c r="AA286" s="35" t="s">
        <v>526</v>
      </c>
    </row>
    <row r="287" customFormat="false" ht="64.5" hidden="false" customHeight="true" outlineLevel="0" collapsed="false">
      <c r="A287" s="34" t="n">
        <v>286</v>
      </c>
      <c r="B287" s="37" t="s">
        <v>264</v>
      </c>
      <c r="C287" s="45" t="s">
        <v>1156</v>
      </c>
      <c r="D287" s="43" t="s">
        <v>1157</v>
      </c>
      <c r="E287" s="35" t="s">
        <v>268</v>
      </c>
      <c r="F287" s="39" t="s">
        <v>1163</v>
      </c>
      <c r="G287" s="43" t="s">
        <v>1164</v>
      </c>
      <c r="H287" s="44" t="s">
        <v>1160</v>
      </c>
      <c r="I287" s="45" t="s">
        <v>1161</v>
      </c>
      <c r="J287" s="36"/>
      <c r="K287" s="36"/>
      <c r="L287" s="45"/>
      <c r="M287" s="36" t="s">
        <v>521</v>
      </c>
      <c r="N287" s="40" t="n">
        <v>1000</v>
      </c>
      <c r="O287" s="35"/>
      <c r="P287" s="35" t="s">
        <v>265</v>
      </c>
      <c r="Q287" s="35" t="s">
        <v>67</v>
      </c>
      <c r="R287" s="35" t="s">
        <v>144</v>
      </c>
      <c r="S287" s="42" t="n">
        <v>2</v>
      </c>
      <c r="T287" s="35" t="s">
        <v>64</v>
      </c>
      <c r="U287" s="35" t="s">
        <v>537</v>
      </c>
      <c r="V287" s="36" t="s">
        <v>205</v>
      </c>
      <c r="W287" s="36" t="s">
        <v>524</v>
      </c>
      <c r="X287" s="44" t="s">
        <v>221</v>
      </c>
      <c r="Y287" s="41" t="s">
        <v>1165</v>
      </c>
      <c r="Z287" s="47" t="n">
        <v>41446</v>
      </c>
      <c r="AA287" s="35" t="s">
        <v>526</v>
      </c>
    </row>
    <row r="288" customFormat="false" ht="64.5" hidden="false" customHeight="true" outlineLevel="0" collapsed="false">
      <c r="A288" s="34" t="n">
        <v>287</v>
      </c>
      <c r="B288" s="37" t="s">
        <v>264</v>
      </c>
      <c r="C288" s="45" t="s">
        <v>1156</v>
      </c>
      <c r="D288" s="43" t="s">
        <v>1157</v>
      </c>
      <c r="E288" s="35" t="s">
        <v>211</v>
      </c>
      <c r="F288" s="39" t="s">
        <v>1163</v>
      </c>
      <c r="G288" s="43" t="s">
        <v>1164</v>
      </c>
      <c r="H288" s="44" t="s">
        <v>1166</v>
      </c>
      <c r="I288" s="45" t="s">
        <v>1161</v>
      </c>
      <c r="J288" s="36"/>
      <c r="K288" s="36"/>
      <c r="L288" s="45"/>
      <c r="M288" s="36" t="s">
        <v>521</v>
      </c>
      <c r="N288" s="40" t="n">
        <v>1000</v>
      </c>
      <c r="O288" s="35"/>
      <c r="P288" s="35" t="s">
        <v>265</v>
      </c>
      <c r="Q288" s="35" t="s">
        <v>67</v>
      </c>
      <c r="R288" s="35" t="s">
        <v>144</v>
      </c>
      <c r="S288" s="42" t="n">
        <v>2</v>
      </c>
      <c r="T288" s="35" t="s">
        <v>64</v>
      </c>
      <c r="U288" s="35" t="s">
        <v>537</v>
      </c>
      <c r="V288" s="36" t="s">
        <v>205</v>
      </c>
      <c r="W288" s="36" t="s">
        <v>524</v>
      </c>
      <c r="X288" s="44" t="s">
        <v>547</v>
      </c>
      <c r="Y288" s="41" t="s">
        <v>1167</v>
      </c>
      <c r="Z288" s="47" t="n">
        <v>45983</v>
      </c>
      <c r="AA288" s="35" t="s">
        <v>526</v>
      </c>
    </row>
    <row r="289" customFormat="false" ht="64.5" hidden="false" customHeight="true" outlineLevel="0" collapsed="false">
      <c r="A289" s="34" t="n">
        <v>288</v>
      </c>
      <c r="B289" s="37" t="s">
        <v>264</v>
      </c>
      <c r="C289" s="45" t="s">
        <v>1168</v>
      </c>
      <c r="D289" s="43" t="s">
        <v>1169</v>
      </c>
      <c r="E289" s="35" t="s">
        <v>268</v>
      </c>
      <c r="F289" s="39" t="s">
        <v>1170</v>
      </c>
      <c r="G289" s="43" t="s">
        <v>1171</v>
      </c>
      <c r="H289" s="44" t="s">
        <v>1172</v>
      </c>
      <c r="I289" s="45" t="s">
        <v>1173</v>
      </c>
      <c r="J289" s="36"/>
      <c r="K289" s="36"/>
      <c r="L289" s="45"/>
      <c r="M289" s="36" t="s">
        <v>521</v>
      </c>
      <c r="N289" s="40" t="n">
        <v>1000</v>
      </c>
      <c r="O289" s="35"/>
      <c r="P289" s="35" t="s">
        <v>265</v>
      </c>
      <c r="Q289" s="35" t="s">
        <v>67</v>
      </c>
      <c r="R289" s="35" t="s">
        <v>68</v>
      </c>
      <c r="S289" s="42" t="n">
        <v>3</v>
      </c>
      <c r="T289" s="35" t="s">
        <v>98</v>
      </c>
      <c r="U289" s="35" t="s">
        <v>204</v>
      </c>
      <c r="V289" s="36" t="s">
        <v>205</v>
      </c>
      <c r="W289" s="36" t="s">
        <v>524</v>
      </c>
      <c r="X289" s="44" t="s">
        <v>267</v>
      </c>
      <c r="Y289" s="41" t="s">
        <v>1174</v>
      </c>
      <c r="Z289" s="47" t="n">
        <v>39814</v>
      </c>
      <c r="AA289" s="35" t="s">
        <v>526</v>
      </c>
    </row>
    <row r="290" customFormat="false" ht="64.5" hidden="false" customHeight="true" outlineLevel="0" collapsed="false">
      <c r="A290" s="34" t="n">
        <v>289</v>
      </c>
      <c r="B290" s="37" t="s">
        <v>264</v>
      </c>
      <c r="C290" s="45" t="s">
        <v>1168</v>
      </c>
      <c r="D290" s="43" t="s">
        <v>1169</v>
      </c>
      <c r="E290" s="35" t="s">
        <v>268</v>
      </c>
      <c r="F290" s="39" t="s">
        <v>1175</v>
      </c>
      <c r="G290" s="43" t="s">
        <v>1171</v>
      </c>
      <c r="H290" s="44" t="s">
        <v>1172</v>
      </c>
      <c r="I290" s="45" t="s">
        <v>1173</v>
      </c>
      <c r="J290" s="36"/>
      <c r="K290" s="36"/>
      <c r="L290" s="45"/>
      <c r="M290" s="36" t="s">
        <v>521</v>
      </c>
      <c r="N290" s="40" t="n">
        <v>1000</v>
      </c>
      <c r="O290" s="35"/>
      <c r="P290" s="35" t="s">
        <v>265</v>
      </c>
      <c r="Q290" s="35" t="s">
        <v>67</v>
      </c>
      <c r="R290" s="35" t="s">
        <v>68</v>
      </c>
      <c r="S290" s="42" t="n">
        <v>3</v>
      </c>
      <c r="T290" s="35" t="s">
        <v>98</v>
      </c>
      <c r="U290" s="35" t="s">
        <v>204</v>
      </c>
      <c r="V290" s="36" t="s">
        <v>205</v>
      </c>
      <c r="W290" s="36" t="s">
        <v>524</v>
      </c>
      <c r="X290" s="43" t="s">
        <v>272</v>
      </c>
      <c r="Y290" s="41" t="s">
        <v>1176</v>
      </c>
      <c r="Z290" s="47" t="n">
        <v>41488</v>
      </c>
      <c r="AA290" s="35" t="s">
        <v>526</v>
      </c>
    </row>
    <row r="291" customFormat="false" ht="64.5" hidden="false" customHeight="true" outlineLevel="0" collapsed="false">
      <c r="A291" s="34" t="n">
        <v>290</v>
      </c>
      <c r="B291" s="37" t="s">
        <v>264</v>
      </c>
      <c r="C291" s="45" t="s">
        <v>1177</v>
      </c>
      <c r="D291" s="43" t="s">
        <v>1178</v>
      </c>
      <c r="E291" s="35" t="s">
        <v>268</v>
      </c>
      <c r="F291" s="39" t="s">
        <v>1179</v>
      </c>
      <c r="G291" s="43" t="s">
        <v>1180</v>
      </c>
      <c r="H291" s="44" t="s">
        <v>1181</v>
      </c>
      <c r="I291" s="45" t="s">
        <v>1182</v>
      </c>
      <c r="J291" s="36" t="s">
        <v>80</v>
      </c>
      <c r="K291" s="36"/>
      <c r="L291" s="45"/>
      <c r="M291" s="36" t="s">
        <v>521</v>
      </c>
      <c r="N291" s="40" t="n">
        <v>2000</v>
      </c>
      <c r="O291" s="35"/>
      <c r="P291" s="35" t="s">
        <v>265</v>
      </c>
      <c r="Q291" s="35" t="s">
        <v>67</v>
      </c>
      <c r="R291" s="35" t="s">
        <v>68</v>
      </c>
      <c r="S291" s="42" t="n">
        <v>2</v>
      </c>
      <c r="T291" s="35" t="s">
        <v>90</v>
      </c>
      <c r="U291" s="35" t="s">
        <v>204</v>
      </c>
      <c r="V291" s="36" t="s">
        <v>205</v>
      </c>
      <c r="W291" s="36" t="s">
        <v>524</v>
      </c>
      <c r="X291" s="44" t="s">
        <v>210</v>
      </c>
      <c r="Y291" s="41" t="s">
        <v>1183</v>
      </c>
      <c r="Z291" s="47" t="n">
        <v>41841</v>
      </c>
      <c r="AA291" s="35" t="s">
        <v>578</v>
      </c>
    </row>
    <row r="292" customFormat="false" ht="64.5" hidden="false" customHeight="true" outlineLevel="0" collapsed="false">
      <c r="A292" s="34" t="n">
        <v>291</v>
      </c>
      <c r="B292" s="37" t="s">
        <v>264</v>
      </c>
      <c r="C292" s="45" t="s">
        <v>1177</v>
      </c>
      <c r="D292" s="43" t="s">
        <v>1178</v>
      </c>
      <c r="E292" s="35" t="s">
        <v>268</v>
      </c>
      <c r="F292" s="39" t="s">
        <v>1184</v>
      </c>
      <c r="G292" s="43" t="s">
        <v>1185</v>
      </c>
      <c r="H292" s="44" t="s">
        <v>1186</v>
      </c>
      <c r="I292" s="45" t="s">
        <v>1187</v>
      </c>
      <c r="J292" s="36"/>
      <c r="K292" s="36"/>
      <c r="L292" s="45"/>
      <c r="M292" s="36" t="s">
        <v>521</v>
      </c>
      <c r="N292" s="40" t="n">
        <v>2000</v>
      </c>
      <c r="O292" s="35"/>
      <c r="P292" s="35" t="s">
        <v>265</v>
      </c>
      <c r="Q292" s="35" t="s">
        <v>67</v>
      </c>
      <c r="R292" s="35" t="s">
        <v>68</v>
      </c>
      <c r="S292" s="42" t="n">
        <v>3</v>
      </c>
      <c r="T292" s="35" t="s">
        <v>64</v>
      </c>
      <c r="U292" s="35" t="s">
        <v>204</v>
      </c>
      <c r="V292" s="36" t="s">
        <v>205</v>
      </c>
      <c r="W292" s="36" t="s">
        <v>524</v>
      </c>
      <c r="X292" s="43" t="s">
        <v>300</v>
      </c>
      <c r="Y292" s="41" t="s">
        <v>1188</v>
      </c>
      <c r="Z292" s="47" t="n">
        <v>40086</v>
      </c>
      <c r="AA292" s="35" t="s">
        <v>526</v>
      </c>
    </row>
    <row r="293" customFormat="false" ht="64.5" hidden="false" customHeight="true" outlineLevel="0" collapsed="false">
      <c r="A293" s="34" t="n">
        <v>292</v>
      </c>
      <c r="B293" s="37" t="s">
        <v>264</v>
      </c>
      <c r="C293" s="45" t="s">
        <v>1177</v>
      </c>
      <c r="D293" s="43" t="s">
        <v>1178</v>
      </c>
      <c r="E293" s="35" t="s">
        <v>268</v>
      </c>
      <c r="F293" s="39" t="s">
        <v>1189</v>
      </c>
      <c r="G293" s="43" t="s">
        <v>1190</v>
      </c>
      <c r="H293" s="44" t="s">
        <v>1191</v>
      </c>
      <c r="I293" s="45" t="s">
        <v>1187</v>
      </c>
      <c r="J293" s="36"/>
      <c r="K293" s="36"/>
      <c r="L293" s="45"/>
      <c r="M293" s="36" t="s">
        <v>521</v>
      </c>
      <c r="N293" s="40" t="n">
        <v>2000</v>
      </c>
      <c r="O293" s="35"/>
      <c r="P293" s="35" t="s">
        <v>265</v>
      </c>
      <c r="Q293" s="35" t="s">
        <v>67</v>
      </c>
      <c r="R293" s="35" t="s">
        <v>144</v>
      </c>
      <c r="S293" s="42" t="n">
        <v>3</v>
      </c>
      <c r="T293" s="35" t="s">
        <v>64</v>
      </c>
      <c r="U293" s="35" t="s">
        <v>537</v>
      </c>
      <c r="V293" s="36" t="s">
        <v>205</v>
      </c>
      <c r="W293" s="36" t="s">
        <v>524</v>
      </c>
      <c r="X293" s="44" t="s">
        <v>267</v>
      </c>
      <c r="Y293" s="41" t="s">
        <v>1192</v>
      </c>
      <c r="Z293" s="47" t="n">
        <v>40086</v>
      </c>
      <c r="AA293" s="35" t="s">
        <v>526</v>
      </c>
    </row>
    <row r="294" customFormat="false" ht="64.5" hidden="false" customHeight="true" outlineLevel="0" collapsed="false">
      <c r="A294" s="34" t="n">
        <v>293</v>
      </c>
      <c r="B294" s="37" t="s">
        <v>264</v>
      </c>
      <c r="C294" s="45" t="s">
        <v>1193</v>
      </c>
      <c r="D294" s="43" t="s">
        <v>1194</v>
      </c>
      <c r="E294" s="35" t="s">
        <v>211</v>
      </c>
      <c r="F294" s="39" t="s">
        <v>1195</v>
      </c>
      <c r="G294" s="43" t="s">
        <v>1196</v>
      </c>
      <c r="H294" s="44" t="s">
        <v>1197</v>
      </c>
      <c r="I294" s="45" t="s">
        <v>1198</v>
      </c>
      <c r="J294" s="36"/>
      <c r="K294" s="36"/>
      <c r="L294" s="45"/>
      <c r="M294" s="36" t="s">
        <v>521</v>
      </c>
      <c r="N294" s="40" t="n">
        <v>2000</v>
      </c>
      <c r="O294" s="35"/>
      <c r="P294" s="35" t="s">
        <v>265</v>
      </c>
      <c r="Q294" s="35" t="s">
        <v>67</v>
      </c>
      <c r="R294" s="35" t="s">
        <v>68</v>
      </c>
      <c r="S294" s="42" t="n">
        <v>3</v>
      </c>
      <c r="T294" s="35" t="s">
        <v>780</v>
      </c>
      <c r="U294" s="35" t="s">
        <v>537</v>
      </c>
      <c r="V294" s="36" t="s">
        <v>226</v>
      </c>
      <c r="W294" s="36" t="s">
        <v>524</v>
      </c>
      <c r="X294" s="44" t="s">
        <v>341</v>
      </c>
      <c r="Y294" s="41" t="s">
        <v>1199</v>
      </c>
      <c r="Z294" s="47" t="n">
        <v>42489</v>
      </c>
      <c r="AA294" s="35" t="s">
        <v>526</v>
      </c>
    </row>
    <row r="295" customFormat="false" ht="64.5" hidden="false" customHeight="true" outlineLevel="0" collapsed="false">
      <c r="A295" s="34" t="n">
        <v>294</v>
      </c>
      <c r="B295" s="37" t="s">
        <v>264</v>
      </c>
      <c r="C295" s="45" t="s">
        <v>1193</v>
      </c>
      <c r="D295" s="43" t="s">
        <v>1194</v>
      </c>
      <c r="E295" s="35" t="s">
        <v>268</v>
      </c>
      <c r="F295" s="39" t="s">
        <v>1200</v>
      </c>
      <c r="G295" s="43" t="s">
        <v>1201</v>
      </c>
      <c r="H295" s="44" t="s">
        <v>1197</v>
      </c>
      <c r="I295" s="45" t="s">
        <v>1202</v>
      </c>
      <c r="J295" s="36"/>
      <c r="K295" s="36"/>
      <c r="L295" s="45"/>
      <c r="M295" s="36" t="s">
        <v>521</v>
      </c>
      <c r="N295" s="40" t="n">
        <v>5000</v>
      </c>
      <c r="O295" s="35"/>
      <c r="P295" s="35" t="s">
        <v>265</v>
      </c>
      <c r="Q295" s="35" t="s">
        <v>67</v>
      </c>
      <c r="R295" s="35" t="s">
        <v>144</v>
      </c>
      <c r="S295" s="42" t="n">
        <v>2</v>
      </c>
      <c r="T295" s="35" t="s">
        <v>610</v>
      </c>
      <c r="U295" s="35" t="s">
        <v>537</v>
      </c>
      <c r="V295" s="36" t="s">
        <v>226</v>
      </c>
      <c r="W295" s="36" t="s">
        <v>826</v>
      </c>
      <c r="X295" s="43" t="s">
        <v>853</v>
      </c>
      <c r="Y295" s="41" t="s">
        <v>1203</v>
      </c>
      <c r="Z295" s="47" t="n">
        <v>44406</v>
      </c>
      <c r="AA295" s="35" t="s">
        <v>526</v>
      </c>
    </row>
    <row r="296" customFormat="false" ht="64.5" hidden="false" customHeight="true" outlineLevel="0" collapsed="false">
      <c r="A296" s="34" t="n">
        <v>295</v>
      </c>
      <c r="B296" s="37" t="s">
        <v>264</v>
      </c>
      <c r="C296" s="45" t="s">
        <v>1193</v>
      </c>
      <c r="D296" s="43" t="s">
        <v>1194</v>
      </c>
      <c r="E296" s="35" t="s">
        <v>268</v>
      </c>
      <c r="F296" s="39" t="s">
        <v>1204</v>
      </c>
      <c r="G296" s="43" t="s">
        <v>1205</v>
      </c>
      <c r="H296" s="44" t="s">
        <v>1197</v>
      </c>
      <c r="I296" s="45" t="s">
        <v>1206</v>
      </c>
      <c r="J296" s="36"/>
      <c r="K296" s="36"/>
      <c r="L296" s="45"/>
      <c r="M296" s="36" t="s">
        <v>521</v>
      </c>
      <c r="N296" s="40" t="n">
        <v>2000</v>
      </c>
      <c r="O296" s="35"/>
      <c r="P296" s="35" t="s">
        <v>265</v>
      </c>
      <c r="Q296" s="35" t="s">
        <v>67</v>
      </c>
      <c r="R296" s="35" t="s">
        <v>144</v>
      </c>
      <c r="S296" s="42" t="n">
        <v>2</v>
      </c>
      <c r="T296" s="35" t="s">
        <v>90</v>
      </c>
      <c r="U296" s="35" t="s">
        <v>204</v>
      </c>
      <c r="V296" s="36" t="s">
        <v>226</v>
      </c>
      <c r="W296" s="36" t="s">
        <v>524</v>
      </c>
      <c r="X296" s="44" t="s">
        <v>267</v>
      </c>
      <c r="Y296" s="41" t="s">
        <v>1207</v>
      </c>
      <c r="Z296" s="47" t="n">
        <v>43061</v>
      </c>
      <c r="AA296" s="35" t="s">
        <v>526</v>
      </c>
    </row>
    <row r="297" customFormat="false" ht="64.5" hidden="false" customHeight="true" outlineLevel="0" collapsed="false">
      <c r="A297" s="34" t="n">
        <v>296</v>
      </c>
      <c r="B297" s="37" t="s">
        <v>264</v>
      </c>
      <c r="C297" s="45" t="s">
        <v>1193</v>
      </c>
      <c r="D297" s="43" t="s">
        <v>1194</v>
      </c>
      <c r="E297" s="35" t="s">
        <v>268</v>
      </c>
      <c r="F297" s="39" t="s">
        <v>1208</v>
      </c>
      <c r="G297" s="43" t="s">
        <v>1201</v>
      </c>
      <c r="H297" s="44" t="s">
        <v>1197</v>
      </c>
      <c r="I297" s="45" t="s">
        <v>1198</v>
      </c>
      <c r="J297" s="36"/>
      <c r="K297" s="36"/>
      <c r="L297" s="45"/>
      <c r="M297" s="36" t="s">
        <v>521</v>
      </c>
      <c r="N297" s="40" t="n">
        <v>2000</v>
      </c>
      <c r="O297" s="35"/>
      <c r="P297" s="35" t="s">
        <v>265</v>
      </c>
      <c r="Q297" s="35" t="s">
        <v>67</v>
      </c>
      <c r="R297" s="35" t="s">
        <v>68</v>
      </c>
      <c r="S297" s="42" t="n">
        <v>3</v>
      </c>
      <c r="T297" s="35" t="s">
        <v>610</v>
      </c>
      <c r="U297" s="35" t="s">
        <v>537</v>
      </c>
      <c r="V297" s="36" t="s">
        <v>205</v>
      </c>
      <c r="W297" s="36" t="s">
        <v>524</v>
      </c>
      <c r="X297" s="44" t="s">
        <v>553</v>
      </c>
      <c r="Y297" s="41" t="s">
        <v>1209</v>
      </c>
      <c r="Z297" s="47" t="n">
        <v>43350</v>
      </c>
      <c r="AA297" s="35" t="s">
        <v>526</v>
      </c>
    </row>
    <row r="298" customFormat="false" ht="34.5" hidden="false" customHeight="true" outlineLevel="0" collapsed="false">
      <c r="A298" s="34" t="n">
        <v>297</v>
      </c>
      <c r="B298" s="37" t="s">
        <v>264</v>
      </c>
      <c r="C298" s="45" t="s">
        <v>254</v>
      </c>
      <c r="D298" s="43" t="s">
        <v>255</v>
      </c>
      <c r="E298" s="35" t="s">
        <v>268</v>
      </c>
      <c r="F298" s="39" t="s">
        <v>252</v>
      </c>
      <c r="G298" s="43" t="s">
        <v>1210</v>
      </c>
      <c r="H298" s="44" t="s">
        <v>1211</v>
      </c>
      <c r="I298" s="45" t="s">
        <v>584</v>
      </c>
      <c r="J298" s="36" t="s">
        <v>80</v>
      </c>
      <c r="K298" s="36"/>
      <c r="L298" s="45"/>
      <c r="M298" s="36" t="s">
        <v>521</v>
      </c>
      <c r="N298" s="40" t="n">
        <v>2000</v>
      </c>
      <c r="O298" s="35"/>
      <c r="P298" s="35" t="s">
        <v>265</v>
      </c>
      <c r="Q298" s="35" t="s">
        <v>67</v>
      </c>
      <c r="R298" s="35" t="s">
        <v>144</v>
      </c>
      <c r="S298" s="42" t="n">
        <v>3</v>
      </c>
      <c r="T298" s="35" t="s">
        <v>90</v>
      </c>
      <c r="U298" s="35" t="s">
        <v>204</v>
      </c>
      <c r="V298" s="36" t="s">
        <v>205</v>
      </c>
      <c r="W298" s="36" t="s">
        <v>524</v>
      </c>
      <c r="X298" s="44" t="s">
        <v>210</v>
      </c>
      <c r="Y298" s="41" t="s">
        <v>1212</v>
      </c>
      <c r="Z298" s="47" t="n">
        <v>39902</v>
      </c>
      <c r="AA298" s="35" t="s">
        <v>578</v>
      </c>
    </row>
    <row r="299" customFormat="false" ht="34.5" hidden="false" customHeight="true" outlineLevel="0" collapsed="false">
      <c r="A299" s="34" t="n">
        <v>298</v>
      </c>
      <c r="B299" s="37" t="s">
        <v>264</v>
      </c>
      <c r="C299" s="45" t="s">
        <v>254</v>
      </c>
      <c r="D299" s="43" t="s">
        <v>255</v>
      </c>
      <c r="E299" s="35" t="s">
        <v>268</v>
      </c>
      <c r="F299" s="39" t="s">
        <v>1213</v>
      </c>
      <c r="G299" s="43" t="s">
        <v>1214</v>
      </c>
      <c r="H299" s="44" t="s">
        <v>1215</v>
      </c>
      <c r="I299" s="45" t="s">
        <v>576</v>
      </c>
      <c r="J299" s="36"/>
      <c r="K299" s="36"/>
      <c r="L299" s="45"/>
      <c r="M299" s="36" t="s">
        <v>521</v>
      </c>
      <c r="N299" s="40" t="n">
        <v>2000</v>
      </c>
      <c r="O299" s="35"/>
      <c r="P299" s="35" t="s">
        <v>265</v>
      </c>
      <c r="Q299" s="35" t="s">
        <v>67</v>
      </c>
      <c r="R299" s="35" t="s">
        <v>144</v>
      </c>
      <c r="S299" s="42" t="n">
        <v>3</v>
      </c>
      <c r="T299" s="35" t="s">
        <v>90</v>
      </c>
      <c r="U299" s="35" t="s">
        <v>204</v>
      </c>
      <c r="V299" s="36" t="s">
        <v>205</v>
      </c>
      <c r="W299" s="36" t="s">
        <v>524</v>
      </c>
      <c r="X299" s="44" t="s">
        <v>553</v>
      </c>
      <c r="Y299" s="41" t="s">
        <v>1216</v>
      </c>
      <c r="Z299" s="47" t="n">
        <v>35464</v>
      </c>
      <c r="AA299" s="35" t="s">
        <v>526</v>
      </c>
    </row>
    <row r="300" customFormat="false" ht="34.5" hidden="false" customHeight="true" outlineLevel="0" collapsed="false">
      <c r="A300" s="34" t="n">
        <v>299</v>
      </c>
      <c r="B300" s="37" t="s">
        <v>264</v>
      </c>
      <c r="C300" s="45" t="s">
        <v>254</v>
      </c>
      <c r="D300" s="43" t="s">
        <v>255</v>
      </c>
      <c r="E300" s="35" t="s">
        <v>211</v>
      </c>
      <c r="F300" s="39" t="s">
        <v>1217</v>
      </c>
      <c r="G300" s="43" t="s">
        <v>1214</v>
      </c>
      <c r="H300" s="44" t="s">
        <v>1215</v>
      </c>
      <c r="I300" s="45" t="s">
        <v>576</v>
      </c>
      <c r="J300" s="36"/>
      <c r="K300" s="36"/>
      <c r="L300" s="45"/>
      <c r="M300" s="36" t="s">
        <v>521</v>
      </c>
      <c r="N300" s="40" t="n">
        <v>2000</v>
      </c>
      <c r="O300" s="35"/>
      <c r="P300" s="35" t="s">
        <v>265</v>
      </c>
      <c r="Q300" s="35" t="s">
        <v>67</v>
      </c>
      <c r="R300" s="35" t="s">
        <v>144</v>
      </c>
      <c r="S300" s="42" t="n">
        <v>3</v>
      </c>
      <c r="T300" s="35" t="s">
        <v>90</v>
      </c>
      <c r="U300" s="35" t="s">
        <v>204</v>
      </c>
      <c r="V300" s="36" t="s">
        <v>205</v>
      </c>
      <c r="W300" s="36" t="s">
        <v>524</v>
      </c>
      <c r="X300" s="44" t="s">
        <v>341</v>
      </c>
      <c r="Y300" s="41" t="s">
        <v>1218</v>
      </c>
      <c r="Z300" s="47" t="n">
        <v>44575</v>
      </c>
      <c r="AA300" s="35" t="s">
        <v>526</v>
      </c>
    </row>
    <row r="301" customFormat="false" ht="34.5" hidden="false" customHeight="true" outlineLevel="0" collapsed="false">
      <c r="A301" s="34" t="n">
        <v>300</v>
      </c>
      <c r="B301" s="37" t="s">
        <v>264</v>
      </c>
      <c r="C301" s="45" t="s">
        <v>254</v>
      </c>
      <c r="D301" s="43" t="s">
        <v>255</v>
      </c>
      <c r="E301" s="35" t="s">
        <v>268</v>
      </c>
      <c r="F301" s="39" t="s">
        <v>734</v>
      </c>
      <c r="G301" s="43" t="s">
        <v>1219</v>
      </c>
      <c r="H301" s="44" t="s">
        <v>1211</v>
      </c>
      <c r="I301" s="45" t="s">
        <v>584</v>
      </c>
      <c r="J301" s="36"/>
      <c r="K301" s="36"/>
      <c r="L301" s="45"/>
      <c r="M301" s="36" t="s">
        <v>521</v>
      </c>
      <c r="N301" s="40" t="n">
        <v>2000</v>
      </c>
      <c r="O301" s="35"/>
      <c r="P301" s="35" t="s">
        <v>265</v>
      </c>
      <c r="Q301" s="35" t="s">
        <v>67</v>
      </c>
      <c r="R301" s="35" t="s">
        <v>144</v>
      </c>
      <c r="S301" s="42" t="n">
        <v>3</v>
      </c>
      <c r="T301" s="35" t="s">
        <v>64</v>
      </c>
      <c r="U301" s="35" t="s">
        <v>204</v>
      </c>
      <c r="V301" s="36" t="s">
        <v>205</v>
      </c>
      <c r="W301" s="36" t="s">
        <v>524</v>
      </c>
      <c r="X301" s="44" t="s">
        <v>553</v>
      </c>
      <c r="Y301" s="41" t="s">
        <v>1220</v>
      </c>
      <c r="Z301" s="47" t="n">
        <v>39538</v>
      </c>
      <c r="AA301" s="35" t="s">
        <v>526</v>
      </c>
    </row>
    <row r="302" customFormat="false" ht="34.5" hidden="false" customHeight="true" outlineLevel="0" collapsed="false">
      <c r="A302" s="34" t="n">
        <v>301</v>
      </c>
      <c r="B302" s="37" t="s">
        <v>264</v>
      </c>
      <c r="C302" s="45" t="s">
        <v>254</v>
      </c>
      <c r="D302" s="43" t="s">
        <v>255</v>
      </c>
      <c r="E302" s="35" t="s">
        <v>268</v>
      </c>
      <c r="F302" s="39" t="s">
        <v>1221</v>
      </c>
      <c r="G302" s="43" t="s">
        <v>1219</v>
      </c>
      <c r="H302" s="43" t="s">
        <v>1222</v>
      </c>
      <c r="I302" s="36"/>
      <c r="J302" s="36" t="s">
        <v>1223</v>
      </c>
      <c r="K302" s="36" t="s">
        <v>577</v>
      </c>
      <c r="L302" s="45"/>
      <c r="M302" s="36"/>
      <c r="N302" s="40" t="n">
        <v>2000</v>
      </c>
      <c r="O302" s="35"/>
      <c r="P302" s="35" t="s">
        <v>265</v>
      </c>
      <c r="Q302" s="35" t="s">
        <v>67</v>
      </c>
      <c r="R302" s="35" t="s">
        <v>144</v>
      </c>
      <c r="S302" s="42" t="n">
        <v>3</v>
      </c>
      <c r="T302" s="35" t="s">
        <v>64</v>
      </c>
      <c r="U302" s="35" t="s">
        <v>204</v>
      </c>
      <c r="V302" s="36" t="s">
        <v>205</v>
      </c>
      <c r="W302" s="36"/>
      <c r="X302" s="43" t="s">
        <v>1224</v>
      </c>
      <c r="Y302" s="41" t="s">
        <v>1220</v>
      </c>
      <c r="Z302" s="47"/>
      <c r="AA302" s="41" t="s">
        <v>1225</v>
      </c>
    </row>
    <row r="303" customFormat="false" ht="34.5" hidden="false" customHeight="true" outlineLevel="0" collapsed="false">
      <c r="A303" s="34" t="n">
        <v>302</v>
      </c>
      <c r="B303" s="37" t="s">
        <v>264</v>
      </c>
      <c r="C303" s="45" t="s">
        <v>254</v>
      </c>
      <c r="D303" s="43" t="s">
        <v>255</v>
      </c>
      <c r="E303" s="35" t="s">
        <v>211</v>
      </c>
      <c r="F303" s="39" t="s">
        <v>1226</v>
      </c>
      <c r="G303" s="43" t="s">
        <v>1214</v>
      </c>
      <c r="H303" s="44" t="s">
        <v>1215</v>
      </c>
      <c r="I303" s="45" t="s">
        <v>576</v>
      </c>
      <c r="J303" s="36"/>
      <c r="K303" s="36"/>
      <c r="L303" s="45"/>
      <c r="M303" s="36" t="s">
        <v>521</v>
      </c>
      <c r="N303" s="40" t="n">
        <v>2000</v>
      </c>
      <c r="O303" s="35"/>
      <c r="P303" s="35" t="s">
        <v>265</v>
      </c>
      <c r="Q303" s="35" t="s">
        <v>67</v>
      </c>
      <c r="R303" s="35" t="s">
        <v>144</v>
      </c>
      <c r="S303" s="42" t="n">
        <v>3</v>
      </c>
      <c r="T303" s="35" t="s">
        <v>90</v>
      </c>
      <c r="U303" s="35" t="s">
        <v>204</v>
      </c>
      <c r="V303" s="36" t="s">
        <v>205</v>
      </c>
      <c r="W303" s="36" t="s">
        <v>524</v>
      </c>
      <c r="X303" s="44" t="s">
        <v>221</v>
      </c>
      <c r="Y303" s="41" t="s">
        <v>1227</v>
      </c>
      <c r="Z303" s="47" t="n">
        <v>44760</v>
      </c>
      <c r="AA303" s="35" t="s">
        <v>526</v>
      </c>
    </row>
    <row r="304" customFormat="false" ht="49.5" hidden="false" customHeight="true" outlineLevel="0" collapsed="false">
      <c r="A304" s="34" t="n">
        <v>303</v>
      </c>
      <c r="B304" s="37" t="s">
        <v>264</v>
      </c>
      <c r="C304" s="45" t="s">
        <v>248</v>
      </c>
      <c r="D304" s="43" t="s">
        <v>249</v>
      </c>
      <c r="E304" s="35" t="s">
        <v>268</v>
      </c>
      <c r="F304" s="39" t="s">
        <v>1228</v>
      </c>
      <c r="G304" s="43" t="s">
        <v>1229</v>
      </c>
      <c r="H304" s="44" t="s">
        <v>1230</v>
      </c>
      <c r="I304" s="45" t="s">
        <v>529</v>
      </c>
      <c r="J304" s="36"/>
      <c r="K304" s="36"/>
      <c r="L304" s="45"/>
      <c r="M304" s="36" t="s">
        <v>521</v>
      </c>
      <c r="N304" s="40" t="n">
        <v>2000</v>
      </c>
      <c r="O304" s="35"/>
      <c r="P304" s="35" t="s">
        <v>265</v>
      </c>
      <c r="Q304" s="35" t="s">
        <v>67</v>
      </c>
      <c r="R304" s="35" t="s">
        <v>144</v>
      </c>
      <c r="S304" s="42" t="n">
        <v>3</v>
      </c>
      <c r="T304" s="35" t="s">
        <v>246</v>
      </c>
      <c r="U304" s="35" t="s">
        <v>204</v>
      </c>
      <c r="V304" s="36" t="s">
        <v>284</v>
      </c>
      <c r="W304" s="36" t="s">
        <v>524</v>
      </c>
      <c r="X304" s="44" t="s">
        <v>210</v>
      </c>
      <c r="Y304" s="41" t="s">
        <v>1231</v>
      </c>
      <c r="Z304" s="47" t="n">
        <v>40681</v>
      </c>
      <c r="AA304" s="35" t="s">
        <v>526</v>
      </c>
    </row>
    <row r="305" customFormat="false" ht="49.5" hidden="false" customHeight="true" outlineLevel="0" collapsed="false">
      <c r="A305" s="34" t="n">
        <v>304</v>
      </c>
      <c r="B305" s="37" t="s">
        <v>264</v>
      </c>
      <c r="C305" s="45" t="s">
        <v>248</v>
      </c>
      <c r="D305" s="43" t="s">
        <v>249</v>
      </c>
      <c r="E305" s="35" t="s">
        <v>268</v>
      </c>
      <c r="F305" s="39" t="s">
        <v>741</v>
      </c>
      <c r="G305" s="43" t="s">
        <v>1232</v>
      </c>
      <c r="H305" s="44" t="s">
        <v>1233</v>
      </c>
      <c r="I305" s="45" t="s">
        <v>743</v>
      </c>
      <c r="J305" s="36"/>
      <c r="K305" s="36"/>
      <c r="L305" s="45"/>
      <c r="M305" s="36" t="s">
        <v>521</v>
      </c>
      <c r="N305" s="40" t="n">
        <v>2000</v>
      </c>
      <c r="O305" s="35"/>
      <c r="P305" s="35" t="s">
        <v>265</v>
      </c>
      <c r="Q305" s="35" t="s">
        <v>67</v>
      </c>
      <c r="R305" s="35" t="s">
        <v>144</v>
      </c>
      <c r="S305" s="42" t="n">
        <v>3</v>
      </c>
      <c r="T305" s="35" t="s">
        <v>246</v>
      </c>
      <c r="U305" s="35" t="s">
        <v>204</v>
      </c>
      <c r="V305" s="36" t="s">
        <v>205</v>
      </c>
      <c r="W305" s="36" t="s">
        <v>826</v>
      </c>
      <c r="X305" s="44" t="s">
        <v>547</v>
      </c>
      <c r="Y305" s="41" t="s">
        <v>1234</v>
      </c>
      <c r="Z305" s="47" t="n">
        <v>43775</v>
      </c>
      <c r="AA305" s="35" t="s">
        <v>526</v>
      </c>
    </row>
    <row r="306" customFormat="false" ht="49.5" hidden="false" customHeight="true" outlineLevel="0" collapsed="false">
      <c r="A306" s="34" t="n">
        <v>305</v>
      </c>
      <c r="B306" s="37" t="s">
        <v>264</v>
      </c>
      <c r="C306" s="45" t="s">
        <v>248</v>
      </c>
      <c r="D306" s="43" t="s">
        <v>249</v>
      </c>
      <c r="E306" s="35" t="s">
        <v>268</v>
      </c>
      <c r="F306" s="39" t="s">
        <v>245</v>
      </c>
      <c r="G306" s="43" t="s">
        <v>1232</v>
      </c>
      <c r="H306" s="44" t="s">
        <v>1233</v>
      </c>
      <c r="I306" s="45" t="s">
        <v>743</v>
      </c>
      <c r="J306" s="36" t="s">
        <v>80</v>
      </c>
      <c r="K306" s="36"/>
      <c r="L306" s="45" t="s">
        <v>530</v>
      </c>
      <c r="M306" s="36" t="s">
        <v>521</v>
      </c>
      <c r="N306" s="40" t="n">
        <v>2000</v>
      </c>
      <c r="O306" s="35"/>
      <c r="P306" s="35" t="s">
        <v>265</v>
      </c>
      <c r="Q306" s="35" t="s">
        <v>67</v>
      </c>
      <c r="R306" s="35" t="s">
        <v>144</v>
      </c>
      <c r="S306" s="42" t="n">
        <v>3</v>
      </c>
      <c r="T306" s="35" t="s">
        <v>246</v>
      </c>
      <c r="U306" s="35" t="s">
        <v>204</v>
      </c>
      <c r="V306" s="36" t="s">
        <v>205</v>
      </c>
      <c r="W306" s="36" t="s">
        <v>524</v>
      </c>
      <c r="X306" s="43" t="s">
        <v>272</v>
      </c>
      <c r="Y306" s="41" t="s">
        <v>273</v>
      </c>
      <c r="Z306" s="47" t="n">
        <v>42823</v>
      </c>
      <c r="AA306" s="35" t="s">
        <v>526</v>
      </c>
    </row>
    <row r="307" customFormat="false" ht="49.5" hidden="false" customHeight="true" outlineLevel="0" collapsed="false">
      <c r="A307" s="34" t="n">
        <v>306</v>
      </c>
      <c r="B307" s="37" t="s">
        <v>264</v>
      </c>
      <c r="C307" s="45" t="s">
        <v>248</v>
      </c>
      <c r="D307" s="43" t="s">
        <v>249</v>
      </c>
      <c r="E307" s="35" t="s">
        <v>211</v>
      </c>
      <c r="F307" s="39" t="s">
        <v>245</v>
      </c>
      <c r="G307" s="43" t="s">
        <v>1232</v>
      </c>
      <c r="H307" s="44" t="s">
        <v>1233</v>
      </c>
      <c r="I307" s="45" t="s">
        <v>743</v>
      </c>
      <c r="J307" s="36" t="s">
        <v>80</v>
      </c>
      <c r="K307" s="36"/>
      <c r="L307" s="45" t="s">
        <v>530</v>
      </c>
      <c r="M307" s="36" t="s">
        <v>521</v>
      </c>
      <c r="N307" s="40" t="n">
        <v>2000</v>
      </c>
      <c r="O307" s="35"/>
      <c r="P307" s="35" t="s">
        <v>265</v>
      </c>
      <c r="Q307" s="35" t="s">
        <v>67</v>
      </c>
      <c r="R307" s="35" t="s">
        <v>68</v>
      </c>
      <c r="S307" s="42" t="n">
        <v>3</v>
      </c>
      <c r="T307" s="35" t="s">
        <v>246</v>
      </c>
      <c r="U307" s="35" t="s">
        <v>204</v>
      </c>
      <c r="V307" s="36" t="s">
        <v>205</v>
      </c>
      <c r="W307" s="36" t="s">
        <v>826</v>
      </c>
      <c r="X307" s="43" t="s">
        <v>272</v>
      </c>
      <c r="Y307" s="41" t="s">
        <v>1235</v>
      </c>
      <c r="Z307" s="47" t="n">
        <v>45090</v>
      </c>
      <c r="AA307" s="35" t="s">
        <v>578</v>
      </c>
    </row>
    <row r="308" customFormat="false" ht="49.5" hidden="false" customHeight="true" outlineLevel="0" collapsed="false">
      <c r="A308" s="34" t="n">
        <v>307</v>
      </c>
      <c r="B308" s="37" t="s">
        <v>264</v>
      </c>
      <c r="C308" s="45" t="s">
        <v>248</v>
      </c>
      <c r="D308" s="43" t="s">
        <v>249</v>
      </c>
      <c r="E308" s="35" t="s">
        <v>268</v>
      </c>
      <c r="F308" s="39" t="s">
        <v>1236</v>
      </c>
      <c r="G308" s="43" t="s">
        <v>1237</v>
      </c>
      <c r="H308" s="44" t="s">
        <v>1233</v>
      </c>
      <c r="I308" s="45" t="s">
        <v>743</v>
      </c>
      <c r="J308" s="36"/>
      <c r="K308" s="36"/>
      <c r="L308" s="45"/>
      <c r="M308" s="36" t="s">
        <v>521</v>
      </c>
      <c r="N308" s="40" t="n">
        <v>2000</v>
      </c>
      <c r="O308" s="35"/>
      <c r="P308" s="35" t="s">
        <v>265</v>
      </c>
      <c r="Q308" s="35" t="s">
        <v>67</v>
      </c>
      <c r="R308" s="35" t="s">
        <v>144</v>
      </c>
      <c r="S308" s="42" t="n">
        <v>3</v>
      </c>
      <c r="T308" s="35" t="s">
        <v>784</v>
      </c>
      <c r="U308" s="35" t="s">
        <v>204</v>
      </c>
      <c r="V308" s="36" t="s">
        <v>226</v>
      </c>
      <c r="W308" s="36" t="s">
        <v>524</v>
      </c>
      <c r="X308" s="43" t="s">
        <v>864</v>
      </c>
      <c r="Y308" s="41" t="s">
        <v>1238</v>
      </c>
      <c r="Z308" s="47" t="n">
        <v>43362</v>
      </c>
      <c r="AA308" s="35" t="s">
        <v>526</v>
      </c>
    </row>
    <row r="309" customFormat="false" ht="49.5" hidden="false" customHeight="true" outlineLevel="0" collapsed="false">
      <c r="A309" s="34" t="n">
        <v>308</v>
      </c>
      <c r="B309" s="37" t="s">
        <v>264</v>
      </c>
      <c r="C309" s="45" t="s">
        <v>248</v>
      </c>
      <c r="D309" s="43" t="s">
        <v>249</v>
      </c>
      <c r="E309" s="35" t="s">
        <v>268</v>
      </c>
      <c r="F309" s="39" t="s">
        <v>752</v>
      </c>
      <c r="G309" s="43" t="s">
        <v>1232</v>
      </c>
      <c r="H309" s="44" t="s">
        <v>1233</v>
      </c>
      <c r="I309" s="45" t="s">
        <v>743</v>
      </c>
      <c r="J309" s="36"/>
      <c r="K309" s="36"/>
      <c r="L309" s="45"/>
      <c r="M309" s="36" t="s">
        <v>521</v>
      </c>
      <c r="N309" s="40" t="n">
        <v>2000</v>
      </c>
      <c r="O309" s="35"/>
      <c r="P309" s="35" t="s">
        <v>265</v>
      </c>
      <c r="Q309" s="35" t="s">
        <v>67</v>
      </c>
      <c r="R309" s="35" t="s">
        <v>144</v>
      </c>
      <c r="S309" s="42" t="n">
        <v>3</v>
      </c>
      <c r="T309" s="35" t="s">
        <v>246</v>
      </c>
      <c r="U309" s="35" t="s">
        <v>204</v>
      </c>
      <c r="V309" s="36" t="s">
        <v>205</v>
      </c>
      <c r="W309" s="36" t="s">
        <v>826</v>
      </c>
      <c r="X309" s="44" t="s">
        <v>881</v>
      </c>
      <c r="Y309" s="41" t="s">
        <v>1239</v>
      </c>
      <c r="Z309" s="47" t="n">
        <v>43131</v>
      </c>
      <c r="AA309" s="35" t="s">
        <v>526</v>
      </c>
    </row>
    <row r="310" customFormat="false" ht="49.5" hidden="false" customHeight="true" outlineLevel="0" collapsed="false">
      <c r="A310" s="34" t="n">
        <v>309</v>
      </c>
      <c r="B310" s="37" t="s">
        <v>264</v>
      </c>
      <c r="C310" s="45" t="s">
        <v>248</v>
      </c>
      <c r="D310" s="43" t="s">
        <v>249</v>
      </c>
      <c r="E310" s="35" t="s">
        <v>268</v>
      </c>
      <c r="F310" s="39" t="s">
        <v>755</v>
      </c>
      <c r="G310" s="43" t="s">
        <v>1232</v>
      </c>
      <c r="H310" s="44" t="s">
        <v>1233</v>
      </c>
      <c r="I310" s="45" t="s">
        <v>743</v>
      </c>
      <c r="J310" s="36"/>
      <c r="K310" s="36"/>
      <c r="L310" s="45"/>
      <c r="M310" s="36" t="s">
        <v>521</v>
      </c>
      <c r="N310" s="40" t="n">
        <v>2000</v>
      </c>
      <c r="O310" s="35"/>
      <c r="P310" s="35" t="s">
        <v>265</v>
      </c>
      <c r="Q310" s="35" t="s">
        <v>67</v>
      </c>
      <c r="R310" s="35" t="s">
        <v>144</v>
      </c>
      <c r="S310" s="42" t="n">
        <v>3</v>
      </c>
      <c r="T310" s="35" t="s">
        <v>246</v>
      </c>
      <c r="U310" s="35" t="s">
        <v>204</v>
      </c>
      <c r="V310" s="36" t="s">
        <v>205</v>
      </c>
      <c r="W310" s="36" t="s">
        <v>826</v>
      </c>
      <c r="X310" s="44" t="s">
        <v>867</v>
      </c>
      <c r="Y310" s="41" t="s">
        <v>1240</v>
      </c>
      <c r="Z310" s="47" t="n">
        <v>43875</v>
      </c>
      <c r="AA310" s="35" t="s">
        <v>526</v>
      </c>
    </row>
    <row r="311" customFormat="false" ht="49.5" hidden="false" customHeight="true" outlineLevel="0" collapsed="false">
      <c r="A311" s="34" t="n">
        <v>310</v>
      </c>
      <c r="B311" s="37" t="s">
        <v>264</v>
      </c>
      <c r="C311" s="45" t="s">
        <v>248</v>
      </c>
      <c r="D311" s="43" t="s">
        <v>249</v>
      </c>
      <c r="E311" s="35" t="s">
        <v>211</v>
      </c>
      <c r="F311" s="39" t="s">
        <v>755</v>
      </c>
      <c r="G311" s="43" t="s">
        <v>1232</v>
      </c>
      <c r="H311" s="44" t="s">
        <v>1233</v>
      </c>
      <c r="I311" s="45" t="s">
        <v>743</v>
      </c>
      <c r="J311" s="36"/>
      <c r="K311" s="36"/>
      <c r="L311" s="45"/>
      <c r="M311" s="36" t="s">
        <v>521</v>
      </c>
      <c r="N311" s="40" t="n">
        <v>2000</v>
      </c>
      <c r="O311" s="35"/>
      <c r="P311" s="35" t="s">
        <v>265</v>
      </c>
      <c r="Q311" s="35" t="s">
        <v>67</v>
      </c>
      <c r="R311" s="35" t="s">
        <v>144</v>
      </c>
      <c r="S311" s="42" t="n">
        <v>3</v>
      </c>
      <c r="T311" s="35" t="s">
        <v>246</v>
      </c>
      <c r="U311" s="35" t="s">
        <v>204</v>
      </c>
      <c r="V311" s="36" t="s">
        <v>205</v>
      </c>
      <c r="W311" s="36" t="s">
        <v>524</v>
      </c>
      <c r="X311" s="44" t="s">
        <v>867</v>
      </c>
      <c r="Y311" s="41" t="s">
        <v>1241</v>
      </c>
      <c r="Z311" s="47" t="n">
        <v>45470</v>
      </c>
      <c r="AA311" s="35" t="s">
        <v>526</v>
      </c>
    </row>
    <row r="312" customFormat="false" ht="49.5" hidden="false" customHeight="true" outlineLevel="0" collapsed="false">
      <c r="A312" s="34" t="n">
        <v>311</v>
      </c>
      <c r="B312" s="37" t="s">
        <v>264</v>
      </c>
      <c r="C312" s="45" t="s">
        <v>248</v>
      </c>
      <c r="D312" s="43" t="s">
        <v>249</v>
      </c>
      <c r="E312" s="35" t="s">
        <v>268</v>
      </c>
      <c r="F312" s="39" t="s">
        <v>770</v>
      </c>
      <c r="G312" s="43" t="s">
        <v>1232</v>
      </c>
      <c r="H312" s="44" t="s">
        <v>1233</v>
      </c>
      <c r="I312" s="45" t="s">
        <v>743</v>
      </c>
      <c r="J312" s="36"/>
      <c r="K312" s="36"/>
      <c r="L312" s="45"/>
      <c r="M312" s="36" t="s">
        <v>521</v>
      </c>
      <c r="N312" s="40" t="n">
        <v>2000</v>
      </c>
      <c r="O312" s="35"/>
      <c r="P312" s="35" t="s">
        <v>265</v>
      </c>
      <c r="Q312" s="35" t="s">
        <v>67</v>
      </c>
      <c r="R312" s="35" t="s">
        <v>144</v>
      </c>
      <c r="S312" s="42" t="n">
        <v>3</v>
      </c>
      <c r="T312" s="35" t="s">
        <v>246</v>
      </c>
      <c r="U312" s="35" t="s">
        <v>204</v>
      </c>
      <c r="V312" s="36" t="s">
        <v>205</v>
      </c>
      <c r="W312" s="36" t="s">
        <v>826</v>
      </c>
      <c r="X312" s="44" t="s">
        <v>834</v>
      </c>
      <c r="Y312" s="41" t="s">
        <v>1242</v>
      </c>
      <c r="Z312" s="47" t="n">
        <v>43362</v>
      </c>
      <c r="AA312" s="35" t="s">
        <v>526</v>
      </c>
    </row>
    <row r="313" customFormat="false" ht="49.5" hidden="false" customHeight="true" outlineLevel="0" collapsed="false">
      <c r="A313" s="34" t="n">
        <v>312</v>
      </c>
      <c r="B313" s="37" t="s">
        <v>264</v>
      </c>
      <c r="C313" s="45" t="s">
        <v>248</v>
      </c>
      <c r="D313" s="43" t="s">
        <v>249</v>
      </c>
      <c r="E313" s="35" t="s">
        <v>211</v>
      </c>
      <c r="F313" s="39" t="s">
        <v>770</v>
      </c>
      <c r="G313" s="43" t="s">
        <v>1232</v>
      </c>
      <c r="H313" s="44" t="s">
        <v>1233</v>
      </c>
      <c r="I313" s="45" t="s">
        <v>743</v>
      </c>
      <c r="J313" s="36"/>
      <c r="K313" s="36"/>
      <c r="L313" s="45"/>
      <c r="M313" s="36" t="s">
        <v>521</v>
      </c>
      <c r="N313" s="40" t="n">
        <v>2000</v>
      </c>
      <c r="O313" s="35"/>
      <c r="P313" s="35" t="s">
        <v>265</v>
      </c>
      <c r="Q313" s="35" t="s">
        <v>67</v>
      </c>
      <c r="R313" s="35" t="s">
        <v>144</v>
      </c>
      <c r="S313" s="42" t="n">
        <v>3</v>
      </c>
      <c r="T313" s="35" t="s">
        <v>246</v>
      </c>
      <c r="U313" s="35" t="s">
        <v>204</v>
      </c>
      <c r="V313" s="36" t="s">
        <v>205</v>
      </c>
      <c r="W313" s="36" t="s">
        <v>524</v>
      </c>
      <c r="X313" s="44" t="s">
        <v>834</v>
      </c>
      <c r="Y313" s="41" t="s">
        <v>1243</v>
      </c>
      <c r="Z313" s="47" t="n">
        <v>45561</v>
      </c>
      <c r="AA313" s="35" t="s">
        <v>526</v>
      </c>
    </row>
    <row r="314" customFormat="false" ht="49.5" hidden="false" customHeight="true" outlineLevel="0" collapsed="false">
      <c r="A314" s="34" t="n">
        <v>313</v>
      </c>
      <c r="B314" s="37" t="s">
        <v>264</v>
      </c>
      <c r="C314" s="45" t="s">
        <v>248</v>
      </c>
      <c r="D314" s="43" t="s">
        <v>249</v>
      </c>
      <c r="E314" s="35" t="s">
        <v>268</v>
      </c>
      <c r="F314" s="39" t="s">
        <v>1244</v>
      </c>
      <c r="G314" s="43" t="s">
        <v>1237</v>
      </c>
      <c r="H314" s="44" t="s">
        <v>1233</v>
      </c>
      <c r="I314" s="45" t="s">
        <v>743</v>
      </c>
      <c r="J314" s="36"/>
      <c r="K314" s="36"/>
      <c r="L314" s="45"/>
      <c r="M314" s="36" t="s">
        <v>521</v>
      </c>
      <c r="N314" s="40" t="n">
        <v>2000</v>
      </c>
      <c r="O314" s="35"/>
      <c r="P314" s="35" t="s">
        <v>265</v>
      </c>
      <c r="Q314" s="35" t="s">
        <v>67</v>
      </c>
      <c r="R314" s="35" t="s">
        <v>144</v>
      </c>
      <c r="S314" s="42" t="n">
        <v>3</v>
      </c>
      <c r="T314" s="35" t="s">
        <v>784</v>
      </c>
      <c r="U314" s="35" t="s">
        <v>204</v>
      </c>
      <c r="V314" s="36" t="s">
        <v>226</v>
      </c>
      <c r="W314" s="36" t="s">
        <v>524</v>
      </c>
      <c r="X314" s="43" t="s">
        <v>861</v>
      </c>
      <c r="Y314" s="41" t="s">
        <v>1245</v>
      </c>
      <c r="Z314" s="47" t="n">
        <v>42656</v>
      </c>
      <c r="AA314" s="35" t="s">
        <v>526</v>
      </c>
    </row>
    <row r="315" customFormat="false" ht="49.5" hidden="false" customHeight="true" outlineLevel="0" collapsed="false">
      <c r="A315" s="34" t="n">
        <v>314</v>
      </c>
      <c r="B315" s="37" t="s">
        <v>264</v>
      </c>
      <c r="C315" s="45" t="s">
        <v>248</v>
      </c>
      <c r="D315" s="43" t="s">
        <v>249</v>
      </c>
      <c r="E315" s="35" t="s">
        <v>268</v>
      </c>
      <c r="F315" s="39" t="s">
        <v>773</v>
      </c>
      <c r="G315" s="43" t="s">
        <v>1232</v>
      </c>
      <c r="H315" s="44" t="s">
        <v>1233</v>
      </c>
      <c r="I315" s="45" t="s">
        <v>743</v>
      </c>
      <c r="J315" s="36"/>
      <c r="K315" s="36"/>
      <c r="L315" s="45"/>
      <c r="M315" s="36" t="s">
        <v>521</v>
      </c>
      <c r="N315" s="40" t="n">
        <v>2000</v>
      </c>
      <c r="O315" s="35"/>
      <c r="P315" s="35" t="s">
        <v>265</v>
      </c>
      <c r="Q315" s="35" t="s">
        <v>67</v>
      </c>
      <c r="R315" s="35" t="s">
        <v>144</v>
      </c>
      <c r="S315" s="42" t="n">
        <v>3</v>
      </c>
      <c r="T315" s="35" t="s">
        <v>246</v>
      </c>
      <c r="U315" s="35" t="s">
        <v>204</v>
      </c>
      <c r="V315" s="36" t="s">
        <v>226</v>
      </c>
      <c r="W315" s="36" t="s">
        <v>524</v>
      </c>
      <c r="X315" s="44" t="s">
        <v>210</v>
      </c>
      <c r="Y315" s="41" t="s">
        <v>1246</v>
      </c>
      <c r="Z315" s="47" t="n">
        <v>41990</v>
      </c>
      <c r="AA315" s="35" t="s">
        <v>526</v>
      </c>
    </row>
    <row r="316" customFormat="false" ht="49.5" hidden="false" customHeight="true" outlineLevel="0" collapsed="false">
      <c r="A316" s="34" t="n">
        <v>315</v>
      </c>
      <c r="B316" s="37" t="s">
        <v>264</v>
      </c>
      <c r="C316" s="45" t="s">
        <v>248</v>
      </c>
      <c r="D316" s="43" t="s">
        <v>249</v>
      </c>
      <c r="E316" s="35" t="s">
        <v>268</v>
      </c>
      <c r="F316" s="39" t="s">
        <v>782</v>
      </c>
      <c r="G316" s="43" t="s">
        <v>1247</v>
      </c>
      <c r="H316" s="44" t="s">
        <v>1248</v>
      </c>
      <c r="I316" s="45" t="s">
        <v>739</v>
      </c>
      <c r="J316" s="36"/>
      <c r="K316" s="36"/>
      <c r="L316" s="45"/>
      <c r="M316" s="36" t="s">
        <v>521</v>
      </c>
      <c r="N316" s="40" t="n">
        <v>3000</v>
      </c>
      <c r="O316" s="35"/>
      <c r="P316" s="35" t="s">
        <v>265</v>
      </c>
      <c r="Q316" s="35" t="s">
        <v>67</v>
      </c>
      <c r="R316" s="35" t="s">
        <v>144</v>
      </c>
      <c r="S316" s="42" t="n">
        <v>2</v>
      </c>
      <c r="T316" s="35" t="s">
        <v>784</v>
      </c>
      <c r="U316" s="35" t="s">
        <v>537</v>
      </c>
      <c r="V316" s="36" t="s">
        <v>284</v>
      </c>
      <c r="W316" s="36" t="s">
        <v>524</v>
      </c>
      <c r="X316" s="43" t="s">
        <v>864</v>
      </c>
      <c r="Y316" s="41" t="s">
        <v>1249</v>
      </c>
      <c r="Z316" s="47" t="n">
        <v>43362</v>
      </c>
      <c r="AA316" s="35" t="s">
        <v>526</v>
      </c>
    </row>
    <row r="317" customFormat="false" ht="49.5" hidden="false" customHeight="true" outlineLevel="0" collapsed="false">
      <c r="A317" s="34" t="n">
        <v>316</v>
      </c>
      <c r="B317" s="37" t="s">
        <v>264</v>
      </c>
      <c r="C317" s="45" t="s">
        <v>248</v>
      </c>
      <c r="D317" s="43" t="s">
        <v>249</v>
      </c>
      <c r="E317" s="35" t="s">
        <v>268</v>
      </c>
      <c r="F317" s="39" t="s">
        <v>786</v>
      </c>
      <c r="G317" s="43" t="s">
        <v>1232</v>
      </c>
      <c r="H317" s="44" t="s">
        <v>1233</v>
      </c>
      <c r="I317" s="45" t="s">
        <v>743</v>
      </c>
      <c r="J317" s="36"/>
      <c r="K317" s="36"/>
      <c r="L317" s="45"/>
      <c r="M317" s="36" t="s">
        <v>521</v>
      </c>
      <c r="N317" s="40" t="n">
        <v>2000</v>
      </c>
      <c r="O317" s="35"/>
      <c r="P317" s="35" t="s">
        <v>265</v>
      </c>
      <c r="Q317" s="35" t="s">
        <v>67</v>
      </c>
      <c r="R317" s="35" t="s">
        <v>144</v>
      </c>
      <c r="S317" s="42" t="n">
        <v>3</v>
      </c>
      <c r="T317" s="35" t="s">
        <v>246</v>
      </c>
      <c r="U317" s="35" t="s">
        <v>204</v>
      </c>
      <c r="V317" s="36" t="s">
        <v>226</v>
      </c>
      <c r="W317" s="36" t="s">
        <v>524</v>
      </c>
      <c r="X317" s="43" t="s">
        <v>906</v>
      </c>
      <c r="Y317" s="41" t="s">
        <v>1250</v>
      </c>
      <c r="Z317" s="47" t="n">
        <v>43208</v>
      </c>
      <c r="AA317" s="35" t="s">
        <v>526</v>
      </c>
    </row>
    <row r="318" customFormat="false" ht="49.5" hidden="false" customHeight="true" outlineLevel="0" collapsed="false">
      <c r="A318" s="34" t="n">
        <v>317</v>
      </c>
      <c r="B318" s="37" t="s">
        <v>264</v>
      </c>
      <c r="C318" s="45" t="s">
        <v>248</v>
      </c>
      <c r="D318" s="43" t="s">
        <v>249</v>
      </c>
      <c r="E318" s="35" t="s">
        <v>268</v>
      </c>
      <c r="F318" s="39" t="s">
        <v>788</v>
      </c>
      <c r="G318" s="43" t="s">
        <v>1232</v>
      </c>
      <c r="H318" s="44" t="s">
        <v>1233</v>
      </c>
      <c r="I318" s="45" t="s">
        <v>743</v>
      </c>
      <c r="J318" s="36"/>
      <c r="K318" s="36"/>
      <c r="L318" s="45"/>
      <c r="M318" s="36" t="s">
        <v>521</v>
      </c>
      <c r="N318" s="40" t="n">
        <v>2000</v>
      </c>
      <c r="O318" s="35"/>
      <c r="P318" s="35" t="s">
        <v>265</v>
      </c>
      <c r="Q318" s="35" t="s">
        <v>67</v>
      </c>
      <c r="R318" s="35" t="s">
        <v>144</v>
      </c>
      <c r="S318" s="42" t="n">
        <v>3</v>
      </c>
      <c r="T318" s="35" t="s">
        <v>246</v>
      </c>
      <c r="U318" s="35" t="s">
        <v>204</v>
      </c>
      <c r="V318" s="36" t="s">
        <v>205</v>
      </c>
      <c r="W318" s="36" t="s">
        <v>524</v>
      </c>
      <c r="X318" s="43" t="s">
        <v>369</v>
      </c>
      <c r="Y318" s="41" t="s">
        <v>1251</v>
      </c>
      <c r="Z318" s="47" t="n">
        <v>44148</v>
      </c>
      <c r="AA318" s="35" t="s">
        <v>526</v>
      </c>
    </row>
    <row r="319" customFormat="false" ht="49.5" hidden="false" customHeight="true" outlineLevel="0" collapsed="false">
      <c r="A319" s="34" t="n">
        <v>318</v>
      </c>
      <c r="B319" s="37" t="s">
        <v>264</v>
      </c>
      <c r="C319" s="45" t="s">
        <v>248</v>
      </c>
      <c r="D319" s="43" t="s">
        <v>249</v>
      </c>
      <c r="E319" s="35" t="s">
        <v>268</v>
      </c>
      <c r="F319" s="39" t="s">
        <v>788</v>
      </c>
      <c r="G319" s="43" t="s">
        <v>1232</v>
      </c>
      <c r="H319" s="44" t="s">
        <v>1233</v>
      </c>
      <c r="I319" s="45" t="s">
        <v>743</v>
      </c>
      <c r="J319" s="36"/>
      <c r="K319" s="36"/>
      <c r="L319" s="45"/>
      <c r="M319" s="36" t="s">
        <v>521</v>
      </c>
      <c r="N319" s="40" t="n">
        <v>2000</v>
      </c>
      <c r="O319" s="35"/>
      <c r="P319" s="35" t="s">
        <v>265</v>
      </c>
      <c r="Q319" s="35" t="s">
        <v>67</v>
      </c>
      <c r="R319" s="35" t="s">
        <v>144</v>
      </c>
      <c r="S319" s="42" t="n">
        <v>3</v>
      </c>
      <c r="T319" s="35" t="s">
        <v>246</v>
      </c>
      <c r="U319" s="35" t="s">
        <v>204</v>
      </c>
      <c r="V319" s="36" t="s">
        <v>205</v>
      </c>
      <c r="W319" s="36" t="s">
        <v>826</v>
      </c>
      <c r="X319" s="43" t="s">
        <v>369</v>
      </c>
      <c r="Y319" s="41" t="s">
        <v>1252</v>
      </c>
      <c r="Z319" s="47" t="n">
        <v>39814</v>
      </c>
      <c r="AA319" s="35" t="s">
        <v>526</v>
      </c>
    </row>
    <row r="320" customFormat="false" ht="49.5" hidden="false" customHeight="true" outlineLevel="0" collapsed="false">
      <c r="A320" s="34" t="n">
        <v>319</v>
      </c>
      <c r="B320" s="37" t="s">
        <v>264</v>
      </c>
      <c r="C320" s="45" t="s">
        <v>248</v>
      </c>
      <c r="D320" s="43" t="s">
        <v>249</v>
      </c>
      <c r="E320" s="35" t="s">
        <v>268</v>
      </c>
      <c r="F320" s="39" t="s">
        <v>795</v>
      </c>
      <c r="G320" s="43" t="s">
        <v>1253</v>
      </c>
      <c r="H320" s="44" t="s">
        <v>1248</v>
      </c>
      <c r="I320" s="45" t="s">
        <v>739</v>
      </c>
      <c r="J320" s="36"/>
      <c r="K320" s="36"/>
      <c r="L320" s="45"/>
      <c r="M320" s="36" t="s">
        <v>521</v>
      </c>
      <c r="N320" s="40" t="n">
        <v>3000</v>
      </c>
      <c r="O320" s="35"/>
      <c r="P320" s="35" t="s">
        <v>265</v>
      </c>
      <c r="Q320" s="35" t="s">
        <v>67</v>
      </c>
      <c r="R320" s="35" t="s">
        <v>68</v>
      </c>
      <c r="S320" s="42" t="n">
        <v>2</v>
      </c>
      <c r="T320" s="35" t="s">
        <v>246</v>
      </c>
      <c r="U320" s="35" t="s">
        <v>537</v>
      </c>
      <c r="V320" s="36" t="s">
        <v>284</v>
      </c>
      <c r="W320" s="36" t="s">
        <v>826</v>
      </c>
      <c r="X320" s="44" t="s">
        <v>267</v>
      </c>
      <c r="Y320" s="41" t="s">
        <v>1254</v>
      </c>
      <c r="Z320" s="47" t="n">
        <v>34801</v>
      </c>
      <c r="AA320" s="35" t="s">
        <v>526</v>
      </c>
    </row>
    <row r="321" customFormat="false" ht="49.5" hidden="false" customHeight="true" outlineLevel="0" collapsed="false">
      <c r="A321" s="34" t="n">
        <v>320</v>
      </c>
      <c r="B321" s="37" t="s">
        <v>264</v>
      </c>
      <c r="C321" s="45" t="s">
        <v>248</v>
      </c>
      <c r="D321" s="43" t="s">
        <v>249</v>
      </c>
      <c r="E321" s="35" t="s">
        <v>211</v>
      </c>
      <c r="F321" s="39" t="s">
        <v>798</v>
      </c>
      <c r="G321" s="43" t="s">
        <v>1232</v>
      </c>
      <c r="H321" s="44" t="s">
        <v>1233</v>
      </c>
      <c r="I321" s="45" t="s">
        <v>743</v>
      </c>
      <c r="J321" s="36"/>
      <c r="K321" s="36"/>
      <c r="L321" s="45"/>
      <c r="M321" s="36" t="s">
        <v>521</v>
      </c>
      <c r="N321" s="40" t="n">
        <v>2000</v>
      </c>
      <c r="O321" s="35"/>
      <c r="P321" s="35" t="s">
        <v>265</v>
      </c>
      <c r="Q321" s="35" t="s">
        <v>67</v>
      </c>
      <c r="R321" s="35" t="s">
        <v>144</v>
      </c>
      <c r="S321" s="42" t="n">
        <v>3</v>
      </c>
      <c r="T321" s="35" t="s">
        <v>246</v>
      </c>
      <c r="U321" s="35" t="s">
        <v>204</v>
      </c>
      <c r="V321" s="36" t="s">
        <v>226</v>
      </c>
      <c r="W321" s="36" t="s">
        <v>524</v>
      </c>
      <c r="X321" s="43" t="s">
        <v>853</v>
      </c>
      <c r="Y321" s="41" t="s">
        <v>1255</v>
      </c>
      <c r="Z321" s="47" t="n">
        <v>44575</v>
      </c>
      <c r="AA321" s="35" t="s">
        <v>526</v>
      </c>
    </row>
    <row r="322" customFormat="false" ht="49.5" hidden="false" customHeight="true" outlineLevel="0" collapsed="false">
      <c r="A322" s="34" t="n">
        <v>321</v>
      </c>
      <c r="B322" s="37" t="s">
        <v>264</v>
      </c>
      <c r="C322" s="45" t="s">
        <v>248</v>
      </c>
      <c r="D322" s="43" t="s">
        <v>249</v>
      </c>
      <c r="E322" s="35" t="s">
        <v>211</v>
      </c>
      <c r="F322" s="39" t="s">
        <v>798</v>
      </c>
      <c r="G322" s="43" t="s">
        <v>1232</v>
      </c>
      <c r="H322" s="44" t="s">
        <v>1233</v>
      </c>
      <c r="I322" s="45" t="s">
        <v>743</v>
      </c>
      <c r="J322" s="36"/>
      <c r="K322" s="36"/>
      <c r="L322" s="45"/>
      <c r="M322" s="36" t="s">
        <v>521</v>
      </c>
      <c r="N322" s="40" t="n">
        <v>2000</v>
      </c>
      <c r="O322" s="35"/>
      <c r="P322" s="35" t="s">
        <v>265</v>
      </c>
      <c r="Q322" s="35" t="s">
        <v>67</v>
      </c>
      <c r="R322" s="35" t="s">
        <v>68</v>
      </c>
      <c r="S322" s="42" t="n">
        <v>3</v>
      </c>
      <c r="T322" s="35" t="s">
        <v>246</v>
      </c>
      <c r="U322" s="35" t="s">
        <v>204</v>
      </c>
      <c r="V322" s="36" t="s">
        <v>226</v>
      </c>
      <c r="W322" s="36" t="s">
        <v>826</v>
      </c>
      <c r="X322" s="43" t="s">
        <v>853</v>
      </c>
      <c r="Y322" s="41" t="s">
        <v>1256</v>
      </c>
      <c r="Z322" s="47" t="n">
        <v>43027</v>
      </c>
      <c r="AA322" s="35" t="s">
        <v>526</v>
      </c>
    </row>
    <row r="323" customFormat="false" ht="49.5" hidden="false" customHeight="true" outlineLevel="0" collapsed="false">
      <c r="A323" s="34" t="n">
        <v>322</v>
      </c>
      <c r="B323" s="37" t="s">
        <v>264</v>
      </c>
      <c r="C323" s="45" t="s">
        <v>248</v>
      </c>
      <c r="D323" s="43" t="s">
        <v>249</v>
      </c>
      <c r="E323" s="35" t="s">
        <v>268</v>
      </c>
      <c r="F323" s="39" t="s">
        <v>1257</v>
      </c>
      <c r="G323" s="43" t="s">
        <v>1258</v>
      </c>
      <c r="H323" s="44" t="s">
        <v>1233</v>
      </c>
      <c r="I323" s="45" t="s">
        <v>1259</v>
      </c>
      <c r="J323" s="36" t="s">
        <v>80</v>
      </c>
      <c r="K323" s="36"/>
      <c r="L323" s="45"/>
      <c r="M323" s="36" t="s">
        <v>521</v>
      </c>
      <c r="N323" s="40" t="n">
        <v>2000</v>
      </c>
      <c r="O323" s="35"/>
      <c r="P323" s="35" t="s">
        <v>265</v>
      </c>
      <c r="Q323" s="35" t="s">
        <v>67</v>
      </c>
      <c r="R323" s="35" t="s">
        <v>144</v>
      </c>
      <c r="S323" s="42" t="n">
        <v>3</v>
      </c>
      <c r="T323" s="35" t="s">
        <v>665</v>
      </c>
      <c r="U323" s="35" t="s">
        <v>204</v>
      </c>
      <c r="V323" s="36" t="s">
        <v>226</v>
      </c>
      <c r="W323" s="36" t="s">
        <v>524</v>
      </c>
      <c r="X323" s="43" t="s">
        <v>895</v>
      </c>
      <c r="Y323" s="41" t="s">
        <v>1260</v>
      </c>
      <c r="Z323" s="47" t="n">
        <v>41968</v>
      </c>
      <c r="AA323" s="35" t="s">
        <v>578</v>
      </c>
    </row>
    <row r="324" customFormat="false" ht="49.5" hidden="false" customHeight="true" outlineLevel="0" collapsed="false">
      <c r="A324" s="34" t="n">
        <v>323</v>
      </c>
      <c r="B324" s="37" t="s">
        <v>264</v>
      </c>
      <c r="C324" s="45" t="s">
        <v>248</v>
      </c>
      <c r="D324" s="43" t="s">
        <v>249</v>
      </c>
      <c r="E324" s="35" t="s">
        <v>268</v>
      </c>
      <c r="F324" s="39" t="s">
        <v>803</v>
      </c>
      <c r="G324" s="43" t="s">
        <v>1247</v>
      </c>
      <c r="H324" s="44" t="s">
        <v>1248</v>
      </c>
      <c r="I324" s="45" t="s">
        <v>739</v>
      </c>
      <c r="J324" s="36"/>
      <c r="K324" s="36"/>
      <c r="L324" s="45"/>
      <c r="M324" s="36" t="s">
        <v>521</v>
      </c>
      <c r="N324" s="40" t="n">
        <v>3000</v>
      </c>
      <c r="O324" s="35"/>
      <c r="P324" s="35" t="s">
        <v>265</v>
      </c>
      <c r="Q324" s="35" t="s">
        <v>67</v>
      </c>
      <c r="R324" s="35" t="s">
        <v>144</v>
      </c>
      <c r="S324" s="42" t="n">
        <v>2</v>
      </c>
      <c r="T324" s="35" t="s">
        <v>784</v>
      </c>
      <c r="U324" s="35" t="s">
        <v>537</v>
      </c>
      <c r="V324" s="36" t="s">
        <v>284</v>
      </c>
      <c r="W324" s="36" t="s">
        <v>524</v>
      </c>
      <c r="X324" s="43" t="s">
        <v>861</v>
      </c>
      <c r="Y324" s="41" t="s">
        <v>1261</v>
      </c>
      <c r="Z324" s="47" t="n">
        <v>42584</v>
      </c>
      <c r="AA324" s="35" t="s">
        <v>526</v>
      </c>
    </row>
    <row r="325" customFormat="false" ht="49.5" hidden="false" customHeight="true" outlineLevel="0" collapsed="false">
      <c r="A325" s="34" t="n">
        <v>324</v>
      </c>
      <c r="B325" s="37" t="s">
        <v>264</v>
      </c>
      <c r="C325" s="45" t="s">
        <v>248</v>
      </c>
      <c r="D325" s="43" t="s">
        <v>249</v>
      </c>
      <c r="E325" s="35" t="s">
        <v>268</v>
      </c>
      <c r="F325" s="39" t="s">
        <v>806</v>
      </c>
      <c r="G325" s="43" t="s">
        <v>1232</v>
      </c>
      <c r="H325" s="44" t="s">
        <v>1233</v>
      </c>
      <c r="I325" s="45" t="s">
        <v>743</v>
      </c>
      <c r="J325" s="36"/>
      <c r="K325" s="36"/>
      <c r="L325" s="45"/>
      <c r="M325" s="36" t="s">
        <v>521</v>
      </c>
      <c r="N325" s="40" t="n">
        <v>2000</v>
      </c>
      <c r="O325" s="35"/>
      <c r="P325" s="35" t="s">
        <v>265</v>
      </c>
      <c r="Q325" s="35" t="s">
        <v>67</v>
      </c>
      <c r="R325" s="35" t="s">
        <v>144</v>
      </c>
      <c r="S325" s="42" t="n">
        <v>3</v>
      </c>
      <c r="T325" s="35" t="s">
        <v>246</v>
      </c>
      <c r="U325" s="35" t="s">
        <v>537</v>
      </c>
      <c r="V325" s="36" t="s">
        <v>205</v>
      </c>
      <c r="W325" s="36" t="s">
        <v>524</v>
      </c>
      <c r="X325" s="43" t="s">
        <v>872</v>
      </c>
      <c r="Y325" s="41" t="s">
        <v>1262</v>
      </c>
      <c r="Z325" s="47" t="n">
        <v>43922</v>
      </c>
      <c r="AA325" s="35" t="s">
        <v>526</v>
      </c>
    </row>
    <row r="326" customFormat="false" ht="49.5" hidden="false" customHeight="true" outlineLevel="0" collapsed="false">
      <c r="A326" s="34" t="n">
        <v>325</v>
      </c>
      <c r="B326" s="37" t="s">
        <v>264</v>
      </c>
      <c r="C326" s="45" t="s">
        <v>248</v>
      </c>
      <c r="D326" s="43" t="s">
        <v>249</v>
      </c>
      <c r="E326" s="35" t="s">
        <v>268</v>
      </c>
      <c r="F326" s="39" t="s">
        <v>808</v>
      </c>
      <c r="G326" s="43" t="s">
        <v>1232</v>
      </c>
      <c r="H326" s="44" t="s">
        <v>1233</v>
      </c>
      <c r="I326" s="45" t="s">
        <v>743</v>
      </c>
      <c r="J326" s="36"/>
      <c r="K326" s="36"/>
      <c r="L326" s="45"/>
      <c r="M326" s="36" t="s">
        <v>521</v>
      </c>
      <c r="N326" s="40" t="n">
        <v>2000</v>
      </c>
      <c r="O326" s="35"/>
      <c r="P326" s="35" t="s">
        <v>265</v>
      </c>
      <c r="Q326" s="35" t="s">
        <v>67</v>
      </c>
      <c r="R326" s="35" t="s">
        <v>144</v>
      </c>
      <c r="S326" s="42" t="n">
        <v>3</v>
      </c>
      <c r="T326" s="35" t="s">
        <v>246</v>
      </c>
      <c r="U326" s="35" t="s">
        <v>204</v>
      </c>
      <c r="V326" s="36" t="s">
        <v>205</v>
      </c>
      <c r="W326" s="36" t="s">
        <v>524</v>
      </c>
      <c r="X326" s="44" t="s">
        <v>221</v>
      </c>
      <c r="Y326" s="41" t="s">
        <v>1263</v>
      </c>
      <c r="Z326" s="47" t="n">
        <v>42618</v>
      </c>
      <c r="AA326" s="35" t="s">
        <v>526</v>
      </c>
    </row>
    <row r="327" customFormat="false" ht="49.5" hidden="false" customHeight="true" outlineLevel="0" collapsed="false">
      <c r="A327" s="34" t="n">
        <v>326</v>
      </c>
      <c r="B327" s="37" t="s">
        <v>264</v>
      </c>
      <c r="C327" s="45" t="s">
        <v>248</v>
      </c>
      <c r="D327" s="43" t="s">
        <v>249</v>
      </c>
      <c r="E327" s="35" t="s">
        <v>268</v>
      </c>
      <c r="F327" s="39" t="s">
        <v>808</v>
      </c>
      <c r="G327" s="43" t="s">
        <v>1232</v>
      </c>
      <c r="H327" s="44" t="s">
        <v>1233</v>
      </c>
      <c r="I327" s="45" t="s">
        <v>743</v>
      </c>
      <c r="J327" s="36"/>
      <c r="K327" s="36"/>
      <c r="L327" s="45"/>
      <c r="M327" s="36" t="s">
        <v>521</v>
      </c>
      <c r="N327" s="40" t="n">
        <v>2000</v>
      </c>
      <c r="O327" s="35"/>
      <c r="P327" s="35" t="s">
        <v>265</v>
      </c>
      <c r="Q327" s="35" t="s">
        <v>67</v>
      </c>
      <c r="R327" s="35" t="s">
        <v>144</v>
      </c>
      <c r="S327" s="42" t="n">
        <v>3</v>
      </c>
      <c r="T327" s="35" t="s">
        <v>246</v>
      </c>
      <c r="U327" s="35" t="s">
        <v>204</v>
      </c>
      <c r="V327" s="36" t="s">
        <v>205</v>
      </c>
      <c r="W327" s="36" t="s">
        <v>826</v>
      </c>
      <c r="X327" s="44" t="s">
        <v>221</v>
      </c>
      <c r="Y327" s="41" t="s">
        <v>1264</v>
      </c>
      <c r="Z327" s="47" t="n">
        <v>41269</v>
      </c>
      <c r="AA327" s="35" t="s">
        <v>526</v>
      </c>
    </row>
    <row r="328" customFormat="false" ht="49.5" hidden="false" customHeight="true" outlineLevel="0" collapsed="false">
      <c r="A328" s="34" t="n">
        <v>327</v>
      </c>
      <c r="B328" s="37" t="s">
        <v>264</v>
      </c>
      <c r="C328" s="45" t="s">
        <v>248</v>
      </c>
      <c r="D328" s="43" t="s">
        <v>249</v>
      </c>
      <c r="E328" s="35" t="s">
        <v>211</v>
      </c>
      <c r="F328" s="39" t="s">
        <v>810</v>
      </c>
      <c r="G328" s="43" t="s">
        <v>1232</v>
      </c>
      <c r="H328" s="44" t="s">
        <v>1233</v>
      </c>
      <c r="I328" s="45" t="s">
        <v>743</v>
      </c>
      <c r="J328" s="36"/>
      <c r="K328" s="36"/>
      <c r="L328" s="45"/>
      <c r="M328" s="36" t="s">
        <v>521</v>
      </c>
      <c r="N328" s="40" t="n">
        <v>2000</v>
      </c>
      <c r="O328" s="35"/>
      <c r="P328" s="35" t="s">
        <v>265</v>
      </c>
      <c r="Q328" s="35" t="s">
        <v>67</v>
      </c>
      <c r="R328" s="35" t="s">
        <v>68</v>
      </c>
      <c r="S328" s="42" t="n">
        <v>3</v>
      </c>
      <c r="T328" s="35" t="s">
        <v>246</v>
      </c>
      <c r="U328" s="35" t="s">
        <v>537</v>
      </c>
      <c r="V328" s="36" t="s">
        <v>226</v>
      </c>
      <c r="W328" s="36" t="s">
        <v>524</v>
      </c>
      <c r="X328" s="43" t="s">
        <v>878</v>
      </c>
      <c r="Y328" s="41" t="s">
        <v>1265</v>
      </c>
      <c r="Z328" s="47" t="n">
        <v>44992</v>
      </c>
      <c r="AA328" s="35" t="s">
        <v>526</v>
      </c>
    </row>
    <row r="329" customFormat="false" ht="64.5" hidden="false" customHeight="true" outlineLevel="0" collapsed="false">
      <c r="A329" s="34" t="n">
        <v>328</v>
      </c>
      <c r="B329" s="37" t="s">
        <v>264</v>
      </c>
      <c r="C329" s="45" t="s">
        <v>1266</v>
      </c>
      <c r="D329" s="43" t="s">
        <v>1267</v>
      </c>
      <c r="E329" s="35" t="s">
        <v>211</v>
      </c>
      <c r="F329" s="39" t="s">
        <v>1268</v>
      </c>
      <c r="G329" s="43" t="s">
        <v>1269</v>
      </c>
      <c r="H329" s="44" t="s">
        <v>1270</v>
      </c>
      <c r="I329" s="45" t="s">
        <v>1271</v>
      </c>
      <c r="J329" s="36"/>
      <c r="K329" s="36"/>
      <c r="L329" s="45"/>
      <c r="M329" s="36" t="s">
        <v>521</v>
      </c>
      <c r="N329" s="40" t="n">
        <v>3000</v>
      </c>
      <c r="O329" s="35"/>
      <c r="P329" s="35" t="s">
        <v>265</v>
      </c>
      <c r="Q329" s="35" t="s">
        <v>67</v>
      </c>
      <c r="R329" s="35" t="s">
        <v>91</v>
      </c>
      <c r="S329" s="42" t="n">
        <v>2</v>
      </c>
      <c r="T329" s="35" t="s">
        <v>64</v>
      </c>
      <c r="U329" s="35" t="s">
        <v>537</v>
      </c>
      <c r="V329" s="36" t="s">
        <v>284</v>
      </c>
      <c r="W329" s="36" t="s">
        <v>524</v>
      </c>
      <c r="X329" s="44" t="s">
        <v>221</v>
      </c>
      <c r="Y329" s="41" t="s">
        <v>1272</v>
      </c>
      <c r="Z329" s="47" t="n">
        <v>43770</v>
      </c>
      <c r="AA329" s="35" t="s">
        <v>526</v>
      </c>
    </row>
    <row r="330" customFormat="false" ht="64.5" hidden="false" customHeight="true" outlineLevel="0" collapsed="false">
      <c r="A330" s="34" t="n">
        <v>329</v>
      </c>
      <c r="B330" s="37" t="s">
        <v>264</v>
      </c>
      <c r="C330" s="45" t="s">
        <v>1273</v>
      </c>
      <c r="D330" s="43" t="s">
        <v>1274</v>
      </c>
      <c r="E330" s="35" t="s">
        <v>268</v>
      </c>
      <c r="F330" s="39" t="s">
        <v>1275</v>
      </c>
      <c r="G330" s="43" t="s">
        <v>1276</v>
      </c>
      <c r="H330" s="44" t="s">
        <v>1277</v>
      </c>
      <c r="I330" s="45" t="s">
        <v>1278</v>
      </c>
      <c r="J330" s="36"/>
      <c r="K330" s="36"/>
      <c r="L330" s="45"/>
      <c r="M330" s="36" t="s">
        <v>521</v>
      </c>
      <c r="N330" s="40" t="n">
        <v>2000</v>
      </c>
      <c r="O330" s="35"/>
      <c r="P330" s="35" t="s">
        <v>265</v>
      </c>
      <c r="Q330" s="35" t="s">
        <v>67</v>
      </c>
      <c r="R330" s="35" t="s">
        <v>91</v>
      </c>
      <c r="S330" s="42" t="n">
        <v>2</v>
      </c>
      <c r="T330" s="35" t="s">
        <v>64</v>
      </c>
      <c r="U330" s="35" t="s">
        <v>537</v>
      </c>
      <c r="V330" s="36" t="s">
        <v>284</v>
      </c>
      <c r="W330" s="36" t="s">
        <v>524</v>
      </c>
      <c r="X330" s="43" t="s">
        <v>272</v>
      </c>
      <c r="Y330" s="41" t="s">
        <v>1279</v>
      </c>
      <c r="Z330" s="47" t="n">
        <v>43251</v>
      </c>
      <c r="AA330" s="35" t="s">
        <v>526</v>
      </c>
    </row>
    <row r="331" customFormat="false" ht="64.5" hidden="false" customHeight="true" outlineLevel="0" collapsed="false">
      <c r="A331" s="34" t="n">
        <v>330</v>
      </c>
      <c r="B331" s="37" t="s">
        <v>264</v>
      </c>
      <c r="C331" s="45" t="s">
        <v>1273</v>
      </c>
      <c r="D331" s="43" t="s">
        <v>1274</v>
      </c>
      <c r="E331" s="35" t="s">
        <v>268</v>
      </c>
      <c r="F331" s="39" t="s">
        <v>1280</v>
      </c>
      <c r="G331" s="43" t="s">
        <v>1276</v>
      </c>
      <c r="H331" s="44" t="s">
        <v>1277</v>
      </c>
      <c r="I331" s="45" t="s">
        <v>1278</v>
      </c>
      <c r="J331" s="36"/>
      <c r="K331" s="36"/>
      <c r="L331" s="45"/>
      <c r="M331" s="36" t="s">
        <v>521</v>
      </c>
      <c r="N331" s="40" t="n">
        <v>2000</v>
      </c>
      <c r="O331" s="35"/>
      <c r="P331" s="35" t="s">
        <v>265</v>
      </c>
      <c r="Q331" s="35" t="s">
        <v>67</v>
      </c>
      <c r="R331" s="35" t="s">
        <v>91</v>
      </c>
      <c r="S331" s="42" t="n">
        <v>2</v>
      </c>
      <c r="T331" s="35" t="s">
        <v>64</v>
      </c>
      <c r="U331" s="35" t="s">
        <v>537</v>
      </c>
      <c r="V331" s="36" t="s">
        <v>284</v>
      </c>
      <c r="W331" s="36" t="s">
        <v>524</v>
      </c>
      <c r="X331" s="44" t="s">
        <v>867</v>
      </c>
      <c r="Y331" s="41" t="s">
        <v>1281</v>
      </c>
      <c r="Z331" s="47" t="n">
        <v>44295</v>
      </c>
      <c r="AA331" s="35" t="s">
        <v>526</v>
      </c>
    </row>
    <row r="332" customFormat="false" ht="64.5" hidden="false" customHeight="true" outlineLevel="0" collapsed="false">
      <c r="A332" s="34" t="n">
        <v>331</v>
      </c>
      <c r="B332" s="37" t="s">
        <v>264</v>
      </c>
      <c r="C332" s="45" t="s">
        <v>359</v>
      </c>
      <c r="D332" s="43" t="s">
        <v>360</v>
      </c>
      <c r="E332" s="35" t="s">
        <v>268</v>
      </c>
      <c r="F332" s="39" t="s">
        <v>357</v>
      </c>
      <c r="G332" s="43" t="s">
        <v>1282</v>
      </c>
      <c r="H332" s="44" t="s">
        <v>358</v>
      </c>
      <c r="I332" s="45" t="s">
        <v>1283</v>
      </c>
      <c r="J332" s="36" t="s">
        <v>80</v>
      </c>
      <c r="K332" s="36"/>
      <c r="L332" s="45"/>
      <c r="M332" s="36" t="s">
        <v>521</v>
      </c>
      <c r="N332" s="40" t="n">
        <v>2000</v>
      </c>
      <c r="O332" s="35"/>
      <c r="P332" s="35" t="s">
        <v>265</v>
      </c>
      <c r="Q332" s="35" t="s">
        <v>67</v>
      </c>
      <c r="R332" s="35" t="s">
        <v>68</v>
      </c>
      <c r="S332" s="42" t="n">
        <v>2</v>
      </c>
      <c r="T332" s="35" t="s">
        <v>98</v>
      </c>
      <c r="U332" s="35" t="s">
        <v>204</v>
      </c>
      <c r="V332" s="36" t="s">
        <v>226</v>
      </c>
      <c r="W332" s="36" t="s">
        <v>524</v>
      </c>
      <c r="X332" s="43" t="s">
        <v>272</v>
      </c>
      <c r="Y332" s="41" t="s">
        <v>362</v>
      </c>
      <c r="Z332" s="47" t="n">
        <v>42584</v>
      </c>
      <c r="AA332" s="35" t="s">
        <v>578</v>
      </c>
    </row>
    <row r="333" customFormat="false" ht="64.5" hidden="false" customHeight="true" outlineLevel="0" collapsed="false">
      <c r="A333" s="34" t="n">
        <v>332</v>
      </c>
      <c r="B333" s="37" t="s">
        <v>264</v>
      </c>
      <c r="C333" s="45" t="s">
        <v>359</v>
      </c>
      <c r="D333" s="43" t="s">
        <v>360</v>
      </c>
      <c r="E333" s="35" t="s">
        <v>211</v>
      </c>
      <c r="F333" s="39" t="s">
        <v>1284</v>
      </c>
      <c r="G333" s="43" t="s">
        <v>1285</v>
      </c>
      <c r="H333" s="44" t="s">
        <v>358</v>
      </c>
      <c r="I333" s="45" t="s">
        <v>1286</v>
      </c>
      <c r="J333" s="36"/>
      <c r="K333" s="36"/>
      <c r="L333" s="45"/>
      <c r="M333" s="36" t="s">
        <v>521</v>
      </c>
      <c r="N333" s="40" t="n">
        <v>2000</v>
      </c>
      <c r="O333" s="35"/>
      <c r="P333" s="35" t="s">
        <v>265</v>
      </c>
      <c r="Q333" s="35" t="s">
        <v>67</v>
      </c>
      <c r="R333" s="35" t="s">
        <v>144</v>
      </c>
      <c r="S333" s="42" t="n">
        <v>2</v>
      </c>
      <c r="T333" s="35" t="s">
        <v>64</v>
      </c>
      <c r="U333" s="35" t="s">
        <v>537</v>
      </c>
      <c r="V333" s="36" t="s">
        <v>226</v>
      </c>
      <c r="W333" s="36" t="s">
        <v>524</v>
      </c>
      <c r="X333" s="43" t="s">
        <v>272</v>
      </c>
      <c r="Y333" s="41" t="s">
        <v>1287</v>
      </c>
      <c r="Z333" s="47" t="n">
        <v>43578</v>
      </c>
      <c r="AA333" s="35" t="s">
        <v>526</v>
      </c>
    </row>
    <row r="334" customFormat="false" ht="79.5" hidden="false" customHeight="true" outlineLevel="0" collapsed="false">
      <c r="A334" s="34" t="n">
        <v>333</v>
      </c>
      <c r="B334" s="37" t="s">
        <v>264</v>
      </c>
      <c r="C334" s="45" t="s">
        <v>1288</v>
      </c>
      <c r="D334" s="43" t="s">
        <v>1289</v>
      </c>
      <c r="E334" s="35" t="s">
        <v>268</v>
      </c>
      <c r="F334" s="39" t="s">
        <v>1290</v>
      </c>
      <c r="G334" s="43" t="s">
        <v>1291</v>
      </c>
      <c r="H334" s="44" t="s">
        <v>1292</v>
      </c>
      <c r="I334" s="45" t="s">
        <v>1293</v>
      </c>
      <c r="J334" s="36"/>
      <c r="K334" s="36"/>
      <c r="L334" s="45"/>
      <c r="M334" s="36" t="s">
        <v>521</v>
      </c>
      <c r="N334" s="40" t="n">
        <v>2000</v>
      </c>
      <c r="O334" s="35"/>
      <c r="P334" s="35" t="s">
        <v>265</v>
      </c>
      <c r="Q334" s="35" t="s">
        <v>67</v>
      </c>
      <c r="R334" s="35" t="s">
        <v>68</v>
      </c>
      <c r="S334" s="42" t="n">
        <v>2</v>
      </c>
      <c r="T334" s="35" t="s">
        <v>64</v>
      </c>
      <c r="U334" s="35" t="s">
        <v>537</v>
      </c>
      <c r="V334" s="36" t="s">
        <v>284</v>
      </c>
      <c r="W334" s="36" t="s">
        <v>524</v>
      </c>
      <c r="X334" s="43" t="s">
        <v>861</v>
      </c>
      <c r="Y334" s="41" t="s">
        <v>1294</v>
      </c>
      <c r="Z334" s="47" t="n">
        <v>42584</v>
      </c>
      <c r="AA334" s="35" t="s">
        <v>526</v>
      </c>
    </row>
    <row r="335" customFormat="false" ht="79.5" hidden="false" customHeight="true" outlineLevel="0" collapsed="false">
      <c r="A335" s="34" t="n">
        <v>334</v>
      </c>
      <c r="B335" s="37" t="s">
        <v>264</v>
      </c>
      <c r="C335" s="45" t="s">
        <v>1288</v>
      </c>
      <c r="D335" s="43" t="s">
        <v>1289</v>
      </c>
      <c r="E335" s="35" t="s">
        <v>268</v>
      </c>
      <c r="F335" s="39" t="s">
        <v>1295</v>
      </c>
      <c r="G335" s="43" t="s">
        <v>1291</v>
      </c>
      <c r="H335" s="44" t="s">
        <v>1292</v>
      </c>
      <c r="I335" s="45" t="s">
        <v>1296</v>
      </c>
      <c r="J335" s="36"/>
      <c r="K335" s="36"/>
      <c r="L335" s="45"/>
      <c r="M335" s="36" t="s">
        <v>521</v>
      </c>
      <c r="N335" s="40" t="n">
        <v>2000</v>
      </c>
      <c r="O335" s="35"/>
      <c r="P335" s="35" t="s">
        <v>265</v>
      </c>
      <c r="Q335" s="35" t="s">
        <v>67</v>
      </c>
      <c r="R335" s="35" t="s">
        <v>68</v>
      </c>
      <c r="S335" s="42" t="n">
        <v>2</v>
      </c>
      <c r="T335" s="35" t="s">
        <v>64</v>
      </c>
      <c r="U335" s="35" t="s">
        <v>537</v>
      </c>
      <c r="V335" s="36" t="s">
        <v>226</v>
      </c>
      <c r="W335" s="36" t="s">
        <v>826</v>
      </c>
      <c r="X335" s="44" t="s">
        <v>553</v>
      </c>
      <c r="Y335" s="41" t="s">
        <v>1297</v>
      </c>
      <c r="Z335" s="47" t="n">
        <v>42117</v>
      </c>
      <c r="AA335" s="35" t="s">
        <v>526</v>
      </c>
    </row>
    <row r="336" customFormat="false" ht="79.5" hidden="false" customHeight="true" outlineLevel="0" collapsed="false">
      <c r="A336" s="34" t="n">
        <v>335</v>
      </c>
      <c r="B336" s="37" t="s">
        <v>264</v>
      </c>
      <c r="C336" s="45" t="s">
        <v>1298</v>
      </c>
      <c r="D336" s="43" t="s">
        <v>1299</v>
      </c>
      <c r="E336" s="35" t="s">
        <v>211</v>
      </c>
      <c r="F336" s="39" t="s">
        <v>1300</v>
      </c>
      <c r="G336" s="43" t="s">
        <v>1301</v>
      </c>
      <c r="H336" s="44" t="s">
        <v>1302</v>
      </c>
      <c r="I336" s="45" t="s">
        <v>1303</v>
      </c>
      <c r="J336" s="36"/>
      <c r="K336" s="36"/>
      <c r="L336" s="45"/>
      <c r="M336" s="36" t="s">
        <v>521</v>
      </c>
      <c r="N336" s="40" t="n">
        <v>2000</v>
      </c>
      <c r="O336" s="35"/>
      <c r="P336" s="35" t="s">
        <v>265</v>
      </c>
      <c r="Q336" s="35" t="s">
        <v>67</v>
      </c>
      <c r="R336" s="35" t="s">
        <v>144</v>
      </c>
      <c r="S336" s="42" t="n">
        <v>3</v>
      </c>
      <c r="T336" s="35" t="s">
        <v>64</v>
      </c>
      <c r="U336" s="35" t="s">
        <v>537</v>
      </c>
      <c r="V336" s="36" t="s">
        <v>284</v>
      </c>
      <c r="W336" s="36" t="s">
        <v>524</v>
      </c>
      <c r="X336" s="44" t="s">
        <v>867</v>
      </c>
      <c r="Y336" s="41" t="s">
        <v>1304</v>
      </c>
      <c r="Z336" s="47" t="n">
        <v>45736</v>
      </c>
      <c r="AA336" s="35" t="s">
        <v>526</v>
      </c>
    </row>
    <row r="337" customFormat="false" ht="79.5" hidden="false" customHeight="true" outlineLevel="0" collapsed="false">
      <c r="A337" s="34" t="n">
        <v>336</v>
      </c>
      <c r="B337" s="37" t="s">
        <v>264</v>
      </c>
      <c r="C337" s="45" t="s">
        <v>1298</v>
      </c>
      <c r="D337" s="43" t="s">
        <v>1299</v>
      </c>
      <c r="E337" s="35" t="s">
        <v>211</v>
      </c>
      <c r="F337" s="39" t="s">
        <v>1305</v>
      </c>
      <c r="G337" s="43" t="s">
        <v>1301</v>
      </c>
      <c r="H337" s="44" t="s">
        <v>1306</v>
      </c>
      <c r="I337" s="45" t="s">
        <v>1303</v>
      </c>
      <c r="J337" s="36"/>
      <c r="K337" s="36"/>
      <c r="L337" s="45"/>
      <c r="M337" s="36" t="s">
        <v>521</v>
      </c>
      <c r="N337" s="40" t="n">
        <v>2000</v>
      </c>
      <c r="O337" s="35"/>
      <c r="P337" s="35" t="s">
        <v>265</v>
      </c>
      <c r="Q337" s="35" t="s">
        <v>67</v>
      </c>
      <c r="R337" s="35" t="s">
        <v>144</v>
      </c>
      <c r="S337" s="42" t="n">
        <v>3</v>
      </c>
      <c r="T337" s="35" t="s">
        <v>64</v>
      </c>
      <c r="U337" s="35" t="s">
        <v>537</v>
      </c>
      <c r="V337" s="36" t="s">
        <v>226</v>
      </c>
      <c r="W337" s="36" t="s">
        <v>524</v>
      </c>
      <c r="X337" s="43" t="s">
        <v>872</v>
      </c>
      <c r="Y337" s="41" t="s">
        <v>1307</v>
      </c>
      <c r="Z337" s="47" t="n">
        <v>45579</v>
      </c>
      <c r="AA337" s="35" t="s">
        <v>526</v>
      </c>
    </row>
    <row r="338" customFormat="false" ht="79.5" hidden="false" customHeight="true" outlineLevel="0" collapsed="false">
      <c r="A338" s="34" t="n">
        <v>337</v>
      </c>
      <c r="B338" s="37" t="s">
        <v>264</v>
      </c>
      <c r="C338" s="45" t="s">
        <v>1298</v>
      </c>
      <c r="D338" s="43" t="s">
        <v>1299</v>
      </c>
      <c r="E338" s="35" t="s">
        <v>268</v>
      </c>
      <c r="F338" s="39" t="s">
        <v>1308</v>
      </c>
      <c r="G338" s="43" t="s">
        <v>1301</v>
      </c>
      <c r="H338" s="44" t="s">
        <v>1306</v>
      </c>
      <c r="I338" s="45" t="s">
        <v>1303</v>
      </c>
      <c r="J338" s="36"/>
      <c r="K338" s="36"/>
      <c r="L338" s="45"/>
      <c r="M338" s="36" t="s">
        <v>521</v>
      </c>
      <c r="N338" s="40" t="n">
        <v>2000</v>
      </c>
      <c r="O338" s="35"/>
      <c r="P338" s="35" t="s">
        <v>265</v>
      </c>
      <c r="Q338" s="35" t="s">
        <v>67</v>
      </c>
      <c r="R338" s="35" t="s">
        <v>144</v>
      </c>
      <c r="S338" s="42" t="n">
        <v>3</v>
      </c>
      <c r="T338" s="35" t="s">
        <v>64</v>
      </c>
      <c r="U338" s="35" t="s">
        <v>537</v>
      </c>
      <c r="V338" s="36" t="s">
        <v>284</v>
      </c>
      <c r="W338" s="36" t="s">
        <v>826</v>
      </c>
      <c r="X338" s="43" t="s">
        <v>369</v>
      </c>
      <c r="Y338" s="41" t="s">
        <v>1309</v>
      </c>
      <c r="Z338" s="47" t="n">
        <v>40283</v>
      </c>
      <c r="AA338" s="35" t="s">
        <v>526</v>
      </c>
    </row>
    <row r="339" customFormat="false" ht="79.5" hidden="false" customHeight="true" outlineLevel="0" collapsed="false">
      <c r="A339" s="34" t="n">
        <v>338</v>
      </c>
      <c r="B339" s="37" t="s">
        <v>264</v>
      </c>
      <c r="C339" s="45" t="s">
        <v>1298</v>
      </c>
      <c r="D339" s="43" t="s">
        <v>1299</v>
      </c>
      <c r="E339" s="35" t="s">
        <v>211</v>
      </c>
      <c r="F339" s="39" t="s">
        <v>1308</v>
      </c>
      <c r="G339" s="43" t="s">
        <v>1301</v>
      </c>
      <c r="H339" s="44" t="s">
        <v>1302</v>
      </c>
      <c r="I339" s="45" t="s">
        <v>1303</v>
      </c>
      <c r="J339" s="36"/>
      <c r="K339" s="36"/>
      <c r="L339" s="45"/>
      <c r="M339" s="36" t="s">
        <v>521</v>
      </c>
      <c r="N339" s="40" t="n">
        <v>2000</v>
      </c>
      <c r="O339" s="35"/>
      <c r="P339" s="35" t="s">
        <v>265</v>
      </c>
      <c r="Q339" s="35" t="s">
        <v>67</v>
      </c>
      <c r="R339" s="35" t="s">
        <v>144</v>
      </c>
      <c r="S339" s="42" t="n">
        <v>3</v>
      </c>
      <c r="T339" s="35" t="s">
        <v>64</v>
      </c>
      <c r="U339" s="35" t="s">
        <v>537</v>
      </c>
      <c r="V339" s="36" t="s">
        <v>284</v>
      </c>
      <c r="W339" s="36" t="s">
        <v>524</v>
      </c>
      <c r="X339" s="43" t="s">
        <v>369</v>
      </c>
      <c r="Y339" s="41" t="s">
        <v>1310</v>
      </c>
      <c r="Z339" s="47" t="n">
        <v>45912</v>
      </c>
      <c r="AA339" s="35" t="s">
        <v>526</v>
      </c>
    </row>
    <row r="340" customFormat="false" ht="79.5" hidden="false" customHeight="true" outlineLevel="0" collapsed="false">
      <c r="A340" s="34" t="n">
        <v>339</v>
      </c>
      <c r="B340" s="37" t="s">
        <v>264</v>
      </c>
      <c r="C340" s="45" t="s">
        <v>1298</v>
      </c>
      <c r="D340" s="43" t="s">
        <v>1299</v>
      </c>
      <c r="E340" s="35" t="s">
        <v>211</v>
      </c>
      <c r="F340" s="39" t="s">
        <v>1311</v>
      </c>
      <c r="G340" s="43" t="s">
        <v>1301</v>
      </c>
      <c r="H340" s="44" t="s">
        <v>1302</v>
      </c>
      <c r="I340" s="45" t="s">
        <v>1303</v>
      </c>
      <c r="J340" s="36"/>
      <c r="K340" s="36"/>
      <c r="L340" s="45"/>
      <c r="M340" s="36" t="s">
        <v>521</v>
      </c>
      <c r="N340" s="40" t="n">
        <v>2000</v>
      </c>
      <c r="O340" s="35"/>
      <c r="P340" s="35" t="s">
        <v>265</v>
      </c>
      <c r="Q340" s="35" t="s">
        <v>67</v>
      </c>
      <c r="R340" s="35" t="s">
        <v>144</v>
      </c>
      <c r="S340" s="42" t="n">
        <v>3</v>
      </c>
      <c r="T340" s="35" t="s">
        <v>64</v>
      </c>
      <c r="U340" s="35" t="s">
        <v>537</v>
      </c>
      <c r="V340" s="36" t="s">
        <v>284</v>
      </c>
      <c r="W340" s="36" t="s">
        <v>524</v>
      </c>
      <c r="X340" s="44" t="s">
        <v>847</v>
      </c>
      <c r="Y340" s="41" t="s">
        <v>1312</v>
      </c>
      <c r="Z340" s="47" t="n">
        <v>45899</v>
      </c>
      <c r="AA340" s="35" t="s">
        <v>526</v>
      </c>
    </row>
    <row r="341" customFormat="false" ht="79.5" hidden="false" customHeight="true" outlineLevel="0" collapsed="false">
      <c r="A341" s="34" t="n">
        <v>340</v>
      </c>
      <c r="B341" s="37" t="s">
        <v>264</v>
      </c>
      <c r="C341" s="45" t="s">
        <v>1298</v>
      </c>
      <c r="D341" s="43" t="s">
        <v>1299</v>
      </c>
      <c r="E341" s="35" t="s">
        <v>211</v>
      </c>
      <c r="F341" s="39" t="s">
        <v>1313</v>
      </c>
      <c r="G341" s="43" t="s">
        <v>1301</v>
      </c>
      <c r="H341" s="44" t="s">
        <v>1306</v>
      </c>
      <c r="I341" s="45" t="s">
        <v>1303</v>
      </c>
      <c r="J341" s="36"/>
      <c r="K341" s="36"/>
      <c r="L341" s="45"/>
      <c r="M341" s="36" t="s">
        <v>521</v>
      </c>
      <c r="N341" s="40" t="n">
        <v>2000</v>
      </c>
      <c r="O341" s="35"/>
      <c r="P341" s="35" t="s">
        <v>265</v>
      </c>
      <c r="Q341" s="35" t="s">
        <v>67</v>
      </c>
      <c r="R341" s="35" t="s">
        <v>144</v>
      </c>
      <c r="S341" s="42" t="n">
        <v>3</v>
      </c>
      <c r="T341" s="35" t="s">
        <v>64</v>
      </c>
      <c r="U341" s="35" t="s">
        <v>537</v>
      </c>
      <c r="V341" s="36" t="s">
        <v>284</v>
      </c>
      <c r="W341" s="36" t="s">
        <v>524</v>
      </c>
      <c r="X341" s="44" t="s">
        <v>856</v>
      </c>
      <c r="Y341" s="41" t="s">
        <v>1314</v>
      </c>
      <c r="Z341" s="47" t="n">
        <v>45579</v>
      </c>
      <c r="AA341" s="35" t="s">
        <v>526</v>
      </c>
    </row>
    <row r="342" customFormat="false" ht="79.5" hidden="false" customHeight="true" outlineLevel="0" collapsed="false">
      <c r="A342" s="34" t="n">
        <v>341</v>
      </c>
      <c r="B342" s="37" t="s">
        <v>264</v>
      </c>
      <c r="C342" s="45" t="s">
        <v>1298</v>
      </c>
      <c r="D342" s="43" t="s">
        <v>1299</v>
      </c>
      <c r="E342" s="35" t="s">
        <v>268</v>
      </c>
      <c r="F342" s="39" t="s">
        <v>1315</v>
      </c>
      <c r="G342" s="43" t="s">
        <v>1301</v>
      </c>
      <c r="H342" s="44" t="s">
        <v>1306</v>
      </c>
      <c r="I342" s="45" t="s">
        <v>1303</v>
      </c>
      <c r="J342" s="36"/>
      <c r="K342" s="36"/>
      <c r="L342" s="45"/>
      <c r="M342" s="36" t="s">
        <v>521</v>
      </c>
      <c r="N342" s="40" t="n">
        <v>2000</v>
      </c>
      <c r="O342" s="35"/>
      <c r="P342" s="35" t="s">
        <v>265</v>
      </c>
      <c r="Q342" s="35" t="s">
        <v>67</v>
      </c>
      <c r="R342" s="35" t="s">
        <v>144</v>
      </c>
      <c r="S342" s="42" t="n">
        <v>3</v>
      </c>
      <c r="T342" s="35" t="s">
        <v>64</v>
      </c>
      <c r="U342" s="35" t="s">
        <v>537</v>
      </c>
      <c r="V342" s="36" t="s">
        <v>284</v>
      </c>
      <c r="W342" s="36" t="s">
        <v>826</v>
      </c>
      <c r="X342" s="43" t="s">
        <v>853</v>
      </c>
      <c r="Y342" s="41" t="s">
        <v>1316</v>
      </c>
      <c r="Z342" s="47" t="n">
        <v>44575</v>
      </c>
      <c r="AA342" s="35" t="s">
        <v>526</v>
      </c>
    </row>
    <row r="343" customFormat="false" ht="79.5" hidden="false" customHeight="true" outlineLevel="0" collapsed="false">
      <c r="A343" s="34" t="n">
        <v>342</v>
      </c>
      <c r="B343" s="37" t="s">
        <v>264</v>
      </c>
      <c r="C343" s="45" t="s">
        <v>1298</v>
      </c>
      <c r="D343" s="43" t="s">
        <v>1299</v>
      </c>
      <c r="E343" s="35" t="s">
        <v>211</v>
      </c>
      <c r="F343" s="39" t="s">
        <v>1317</v>
      </c>
      <c r="G343" s="43" t="s">
        <v>1301</v>
      </c>
      <c r="H343" s="44" t="s">
        <v>1302</v>
      </c>
      <c r="I343" s="45" t="s">
        <v>1303</v>
      </c>
      <c r="J343" s="36"/>
      <c r="K343" s="36"/>
      <c r="L343" s="45"/>
      <c r="M343" s="36" t="s">
        <v>521</v>
      </c>
      <c r="N343" s="40" t="n">
        <v>2000</v>
      </c>
      <c r="O343" s="35"/>
      <c r="P343" s="35" t="s">
        <v>265</v>
      </c>
      <c r="Q343" s="35" t="s">
        <v>67</v>
      </c>
      <c r="R343" s="35" t="s">
        <v>144</v>
      </c>
      <c r="S343" s="42" t="n">
        <v>3</v>
      </c>
      <c r="T343" s="35" t="s">
        <v>64</v>
      </c>
      <c r="U343" s="35" t="s">
        <v>537</v>
      </c>
      <c r="V343" s="36" t="s">
        <v>226</v>
      </c>
      <c r="W343" s="36" t="s">
        <v>524</v>
      </c>
      <c r="X343" s="44" t="s">
        <v>341</v>
      </c>
      <c r="Y343" s="41" t="s">
        <v>1318</v>
      </c>
      <c r="Z343" s="47" t="n">
        <v>46232</v>
      </c>
      <c r="AA343" s="35" t="s">
        <v>526</v>
      </c>
    </row>
    <row r="344" customFormat="false" ht="79.5" hidden="false" customHeight="true" outlineLevel="0" collapsed="false">
      <c r="A344" s="34" t="n">
        <v>343</v>
      </c>
      <c r="B344" s="37" t="s">
        <v>264</v>
      </c>
      <c r="C344" s="45" t="s">
        <v>308</v>
      </c>
      <c r="D344" s="43" t="s">
        <v>309</v>
      </c>
      <c r="E344" s="35" t="s">
        <v>268</v>
      </c>
      <c r="F344" s="39" t="s">
        <v>306</v>
      </c>
      <c r="G344" s="43" t="s">
        <v>1319</v>
      </c>
      <c r="H344" s="44" t="s">
        <v>307</v>
      </c>
      <c r="I344" s="45" t="s">
        <v>1320</v>
      </c>
      <c r="J344" s="36" t="s">
        <v>80</v>
      </c>
      <c r="K344" s="36"/>
      <c r="L344" s="45"/>
      <c r="M344" s="36" t="s">
        <v>521</v>
      </c>
      <c r="N344" s="40" t="n">
        <v>2000</v>
      </c>
      <c r="O344" s="35"/>
      <c r="P344" s="35" t="s">
        <v>265</v>
      </c>
      <c r="Q344" s="35" t="s">
        <v>67</v>
      </c>
      <c r="R344" s="35" t="s">
        <v>68</v>
      </c>
      <c r="S344" s="42" t="n">
        <v>2</v>
      </c>
      <c r="T344" s="35" t="s">
        <v>90</v>
      </c>
      <c r="U344" s="35" t="s">
        <v>204</v>
      </c>
      <c r="V344" s="36" t="s">
        <v>205</v>
      </c>
      <c r="W344" s="36" t="s">
        <v>524</v>
      </c>
      <c r="X344" s="44" t="s">
        <v>210</v>
      </c>
      <c r="Y344" s="41" t="s">
        <v>311</v>
      </c>
      <c r="Z344" s="47" t="n">
        <v>42208</v>
      </c>
      <c r="AA344" s="35" t="s">
        <v>578</v>
      </c>
    </row>
    <row r="345" customFormat="false" ht="64.5" hidden="false" customHeight="true" outlineLevel="0" collapsed="false">
      <c r="A345" s="34" t="n">
        <v>344</v>
      </c>
      <c r="B345" s="37" t="s">
        <v>264</v>
      </c>
      <c r="C345" s="45" t="s">
        <v>1321</v>
      </c>
      <c r="D345" s="43" t="s">
        <v>1322</v>
      </c>
      <c r="E345" s="35" t="s">
        <v>268</v>
      </c>
      <c r="F345" s="39" t="s">
        <v>1323</v>
      </c>
      <c r="G345" s="43" t="s">
        <v>1324</v>
      </c>
      <c r="H345" s="44" t="s">
        <v>1325</v>
      </c>
      <c r="I345" s="45" t="s">
        <v>1326</v>
      </c>
      <c r="J345" s="36" t="s">
        <v>80</v>
      </c>
      <c r="K345" s="36"/>
      <c r="L345" s="45"/>
      <c r="M345" s="36" t="s">
        <v>521</v>
      </c>
      <c r="N345" s="40" t="n">
        <v>2000</v>
      </c>
      <c r="O345" s="35"/>
      <c r="P345" s="35" t="s">
        <v>265</v>
      </c>
      <c r="Q345" s="35" t="s">
        <v>67</v>
      </c>
      <c r="R345" s="35" t="s">
        <v>68</v>
      </c>
      <c r="S345" s="42" t="n">
        <v>2</v>
      </c>
      <c r="T345" s="35" t="s">
        <v>64</v>
      </c>
      <c r="U345" s="35" t="s">
        <v>537</v>
      </c>
      <c r="V345" s="36" t="s">
        <v>226</v>
      </c>
      <c r="W345" s="36" t="s">
        <v>524</v>
      </c>
      <c r="X345" s="44" t="s">
        <v>267</v>
      </c>
      <c r="Y345" s="41" t="s">
        <v>1327</v>
      </c>
      <c r="Z345" s="47" t="n">
        <v>44067</v>
      </c>
      <c r="AA345" s="35" t="s">
        <v>578</v>
      </c>
    </row>
    <row r="346" customFormat="false" ht="64.5" hidden="false" customHeight="true" outlineLevel="0" collapsed="false">
      <c r="A346" s="34" t="n">
        <v>345</v>
      </c>
      <c r="B346" s="37" t="s">
        <v>264</v>
      </c>
      <c r="C346" s="45" t="s">
        <v>1321</v>
      </c>
      <c r="D346" s="43" t="s">
        <v>1322</v>
      </c>
      <c r="E346" s="35" t="s">
        <v>268</v>
      </c>
      <c r="F346" s="39" t="s">
        <v>1328</v>
      </c>
      <c r="G346" s="43" t="s">
        <v>1329</v>
      </c>
      <c r="H346" s="44" t="s">
        <v>1330</v>
      </c>
      <c r="I346" s="45" t="s">
        <v>1331</v>
      </c>
      <c r="J346" s="36"/>
      <c r="K346" s="36"/>
      <c r="L346" s="45"/>
      <c r="M346" s="36" t="s">
        <v>521</v>
      </c>
      <c r="N346" s="40" t="n">
        <v>1500</v>
      </c>
      <c r="O346" s="35"/>
      <c r="P346" s="35" t="s">
        <v>265</v>
      </c>
      <c r="Q346" s="35" t="s">
        <v>67</v>
      </c>
      <c r="R346" s="35" t="s">
        <v>68</v>
      </c>
      <c r="S346" s="42" t="n">
        <v>2</v>
      </c>
      <c r="T346" s="35" t="s">
        <v>64</v>
      </c>
      <c r="U346" s="35" t="s">
        <v>537</v>
      </c>
      <c r="V346" s="36" t="s">
        <v>226</v>
      </c>
      <c r="W346" s="36" t="s">
        <v>524</v>
      </c>
      <c r="X346" s="44" t="s">
        <v>553</v>
      </c>
      <c r="Y346" s="41" t="s">
        <v>1332</v>
      </c>
      <c r="Z346" s="47" t="n">
        <v>44067</v>
      </c>
      <c r="AA346" s="35" t="s">
        <v>526</v>
      </c>
    </row>
    <row r="347" customFormat="false" ht="79.5" hidden="false" customHeight="true" outlineLevel="0" collapsed="false">
      <c r="A347" s="34" t="n">
        <v>346</v>
      </c>
      <c r="B347" s="37" t="s">
        <v>264</v>
      </c>
      <c r="C347" s="45" t="s">
        <v>1333</v>
      </c>
      <c r="D347" s="43" t="s">
        <v>1334</v>
      </c>
      <c r="E347" s="35" t="s">
        <v>268</v>
      </c>
      <c r="F347" s="39" t="s">
        <v>1335</v>
      </c>
      <c r="G347" s="43" t="s">
        <v>1336</v>
      </c>
      <c r="H347" s="44" t="s">
        <v>1337</v>
      </c>
      <c r="I347" s="45" t="s">
        <v>1338</v>
      </c>
      <c r="J347" s="36" t="s">
        <v>80</v>
      </c>
      <c r="K347" s="36"/>
      <c r="L347" s="45"/>
      <c r="M347" s="36" t="s">
        <v>521</v>
      </c>
      <c r="N347" s="40" t="n">
        <v>2000</v>
      </c>
      <c r="O347" s="35"/>
      <c r="P347" s="35" t="s">
        <v>265</v>
      </c>
      <c r="Q347" s="35" t="s">
        <v>67</v>
      </c>
      <c r="R347" s="35" t="s">
        <v>144</v>
      </c>
      <c r="S347" s="42" t="n">
        <v>2</v>
      </c>
      <c r="T347" s="35" t="s">
        <v>665</v>
      </c>
      <c r="U347" s="35" t="s">
        <v>537</v>
      </c>
      <c r="V347" s="36" t="s">
        <v>284</v>
      </c>
      <c r="W347" s="36" t="s">
        <v>826</v>
      </c>
      <c r="X347" s="43" t="s">
        <v>1339</v>
      </c>
      <c r="Y347" s="41" t="s">
        <v>1340</v>
      </c>
      <c r="Z347" s="47" t="n">
        <v>42761</v>
      </c>
      <c r="AA347" s="35" t="s">
        <v>526</v>
      </c>
    </row>
    <row r="348" customFormat="false" ht="79.5" hidden="false" customHeight="true" outlineLevel="0" collapsed="false">
      <c r="A348" s="34" t="n">
        <v>347</v>
      </c>
      <c r="B348" s="37" t="s">
        <v>264</v>
      </c>
      <c r="C348" s="45" t="s">
        <v>1333</v>
      </c>
      <c r="D348" s="43" t="s">
        <v>1334</v>
      </c>
      <c r="E348" s="35" t="s">
        <v>268</v>
      </c>
      <c r="F348" s="39" t="s">
        <v>1335</v>
      </c>
      <c r="G348" s="43" t="s">
        <v>1336</v>
      </c>
      <c r="H348" s="44" t="s">
        <v>1337</v>
      </c>
      <c r="I348" s="45" t="s">
        <v>1338</v>
      </c>
      <c r="J348" s="36" t="s">
        <v>80</v>
      </c>
      <c r="K348" s="36"/>
      <c r="L348" s="45"/>
      <c r="M348" s="36" t="s">
        <v>521</v>
      </c>
      <c r="N348" s="40" t="n">
        <v>2000</v>
      </c>
      <c r="O348" s="35"/>
      <c r="P348" s="35" t="s">
        <v>265</v>
      </c>
      <c r="Q348" s="35" t="s">
        <v>67</v>
      </c>
      <c r="R348" s="35" t="s">
        <v>144</v>
      </c>
      <c r="S348" s="42" t="n">
        <v>2</v>
      </c>
      <c r="T348" s="35" t="s">
        <v>665</v>
      </c>
      <c r="U348" s="35" t="s">
        <v>537</v>
      </c>
      <c r="V348" s="36" t="s">
        <v>284</v>
      </c>
      <c r="W348" s="36" t="s">
        <v>826</v>
      </c>
      <c r="X348" s="43" t="s">
        <v>932</v>
      </c>
      <c r="Y348" s="41" t="s">
        <v>1341</v>
      </c>
      <c r="Z348" s="47" t="n">
        <v>43076</v>
      </c>
      <c r="AA348" s="35" t="s">
        <v>526</v>
      </c>
    </row>
    <row r="349" customFormat="false" ht="64.5" hidden="false" customHeight="true" outlineLevel="0" collapsed="false">
      <c r="A349" s="34" t="n">
        <v>348</v>
      </c>
      <c r="B349" s="37" t="s">
        <v>264</v>
      </c>
      <c r="C349" s="45" t="s">
        <v>1342</v>
      </c>
      <c r="D349" s="43" t="s">
        <v>1343</v>
      </c>
      <c r="E349" s="35" t="s">
        <v>268</v>
      </c>
      <c r="F349" s="39" t="s">
        <v>1344</v>
      </c>
      <c r="G349" s="43" t="s">
        <v>1345</v>
      </c>
      <c r="H349" s="44" t="s">
        <v>1346</v>
      </c>
      <c r="I349" s="45" t="s">
        <v>1347</v>
      </c>
      <c r="J349" s="36"/>
      <c r="K349" s="36"/>
      <c r="L349" s="45"/>
      <c r="M349" s="36" t="s">
        <v>521</v>
      </c>
      <c r="N349" s="40" t="n">
        <v>2000</v>
      </c>
      <c r="O349" s="35"/>
      <c r="P349" s="35" t="s">
        <v>265</v>
      </c>
      <c r="Q349" s="35" t="s">
        <v>67</v>
      </c>
      <c r="R349" s="35" t="s">
        <v>144</v>
      </c>
      <c r="S349" s="42" t="n">
        <v>2</v>
      </c>
      <c r="T349" s="35" t="s">
        <v>784</v>
      </c>
      <c r="U349" s="35" t="s">
        <v>537</v>
      </c>
      <c r="V349" s="36" t="s">
        <v>226</v>
      </c>
      <c r="W349" s="36" t="s">
        <v>524</v>
      </c>
      <c r="X349" s="44" t="s">
        <v>267</v>
      </c>
      <c r="Y349" s="41" t="s">
        <v>1348</v>
      </c>
      <c r="Z349" s="47" t="n">
        <v>42584</v>
      </c>
      <c r="AA349" s="35" t="s">
        <v>526</v>
      </c>
    </row>
    <row r="350" customFormat="false" ht="64.5" hidden="false" customHeight="true" outlineLevel="0" collapsed="false">
      <c r="A350" s="34" t="n">
        <v>349</v>
      </c>
      <c r="B350" s="37" t="s">
        <v>264</v>
      </c>
      <c r="C350" s="45" t="s">
        <v>1342</v>
      </c>
      <c r="D350" s="43" t="s">
        <v>1343</v>
      </c>
      <c r="E350" s="35" t="s">
        <v>211</v>
      </c>
      <c r="F350" s="39" t="s">
        <v>1349</v>
      </c>
      <c r="G350" s="43" t="s">
        <v>1350</v>
      </c>
      <c r="H350" s="44" t="s">
        <v>1346</v>
      </c>
      <c r="I350" s="45" t="s">
        <v>1351</v>
      </c>
      <c r="J350" s="36"/>
      <c r="K350" s="36"/>
      <c r="L350" s="45"/>
      <c r="M350" s="36" t="s">
        <v>521</v>
      </c>
      <c r="N350" s="40" t="n">
        <v>2000</v>
      </c>
      <c r="O350" s="35"/>
      <c r="P350" s="35" t="s">
        <v>265</v>
      </c>
      <c r="Q350" s="35" t="s">
        <v>67</v>
      </c>
      <c r="R350" s="35" t="s">
        <v>144</v>
      </c>
      <c r="S350" s="42" t="n">
        <v>2</v>
      </c>
      <c r="T350" s="35" t="s">
        <v>64</v>
      </c>
      <c r="U350" s="35" t="s">
        <v>537</v>
      </c>
      <c r="V350" s="36" t="s">
        <v>284</v>
      </c>
      <c r="W350" s="36" t="s">
        <v>524</v>
      </c>
      <c r="X350" s="43" t="s">
        <v>878</v>
      </c>
      <c r="Y350" s="41" t="s">
        <v>1352</v>
      </c>
      <c r="Z350" s="47" t="n">
        <v>44992</v>
      </c>
      <c r="AA350" s="35" t="s">
        <v>526</v>
      </c>
    </row>
    <row r="351" customFormat="false" ht="64.5" hidden="false" customHeight="true" outlineLevel="0" collapsed="false">
      <c r="A351" s="34" t="n">
        <v>350</v>
      </c>
      <c r="B351" s="37" t="s">
        <v>264</v>
      </c>
      <c r="C351" s="45" t="s">
        <v>1342</v>
      </c>
      <c r="D351" s="43" t="s">
        <v>1343</v>
      </c>
      <c r="E351" s="35" t="s">
        <v>268</v>
      </c>
      <c r="F351" s="39" t="s">
        <v>1353</v>
      </c>
      <c r="G351" s="43" t="s">
        <v>1350</v>
      </c>
      <c r="H351" s="44" t="s">
        <v>1346</v>
      </c>
      <c r="I351" s="45" t="s">
        <v>1351</v>
      </c>
      <c r="J351" s="36"/>
      <c r="K351" s="36"/>
      <c r="L351" s="45"/>
      <c r="M351" s="36" t="s">
        <v>521</v>
      </c>
      <c r="N351" s="40" t="n">
        <v>2000</v>
      </c>
      <c r="O351" s="35"/>
      <c r="P351" s="35" t="s">
        <v>265</v>
      </c>
      <c r="Q351" s="35" t="s">
        <v>67</v>
      </c>
      <c r="R351" s="35" t="s">
        <v>144</v>
      </c>
      <c r="S351" s="42" t="n">
        <v>2</v>
      </c>
      <c r="T351" s="35" t="s">
        <v>64</v>
      </c>
      <c r="U351" s="35" t="s">
        <v>537</v>
      </c>
      <c r="V351" s="36" t="s">
        <v>284</v>
      </c>
      <c r="W351" s="36" t="s">
        <v>524</v>
      </c>
      <c r="X351" s="43" t="s">
        <v>872</v>
      </c>
      <c r="Y351" s="41" t="s">
        <v>1354</v>
      </c>
      <c r="Z351" s="47" t="n">
        <v>43578</v>
      </c>
      <c r="AA351" s="35" t="s">
        <v>526</v>
      </c>
    </row>
    <row r="352" customFormat="false" ht="64.5" hidden="false" customHeight="true" outlineLevel="0" collapsed="false">
      <c r="A352" s="34" t="n">
        <v>351</v>
      </c>
      <c r="B352" s="37" t="s">
        <v>264</v>
      </c>
      <c r="C352" s="45" t="s">
        <v>1342</v>
      </c>
      <c r="D352" s="43" t="s">
        <v>1343</v>
      </c>
      <c r="E352" s="35" t="s">
        <v>268</v>
      </c>
      <c r="F352" s="39" t="s">
        <v>1355</v>
      </c>
      <c r="G352" s="43" t="s">
        <v>1356</v>
      </c>
      <c r="H352" s="44" t="s">
        <v>1346</v>
      </c>
      <c r="I352" s="45" t="s">
        <v>1351</v>
      </c>
      <c r="J352" s="36"/>
      <c r="K352" s="36"/>
      <c r="L352" s="45"/>
      <c r="M352" s="36" t="s">
        <v>521</v>
      </c>
      <c r="N352" s="40" t="n">
        <v>2000</v>
      </c>
      <c r="O352" s="35"/>
      <c r="P352" s="35" t="s">
        <v>265</v>
      </c>
      <c r="Q352" s="35" t="s">
        <v>67</v>
      </c>
      <c r="R352" s="35" t="s">
        <v>68</v>
      </c>
      <c r="S352" s="42" t="n">
        <v>2</v>
      </c>
      <c r="T352" s="35" t="s">
        <v>90</v>
      </c>
      <c r="U352" s="35" t="s">
        <v>204</v>
      </c>
      <c r="V352" s="36" t="s">
        <v>284</v>
      </c>
      <c r="W352" s="36" t="s">
        <v>524</v>
      </c>
      <c r="X352" s="44" t="s">
        <v>210</v>
      </c>
      <c r="Y352" s="41" t="s">
        <v>1357</v>
      </c>
      <c r="Z352" s="47" t="n">
        <v>43159</v>
      </c>
      <c r="AA352" s="35" t="s">
        <v>526</v>
      </c>
    </row>
    <row r="353" customFormat="false" ht="64.5" hidden="false" customHeight="true" outlineLevel="0" collapsed="false">
      <c r="A353" s="34" t="n">
        <v>352</v>
      </c>
      <c r="B353" s="37" t="s">
        <v>264</v>
      </c>
      <c r="C353" s="45" t="s">
        <v>1358</v>
      </c>
      <c r="D353" s="43" t="s">
        <v>1359</v>
      </c>
      <c r="E353" s="35" t="s">
        <v>268</v>
      </c>
      <c r="F353" s="39" t="s">
        <v>1360</v>
      </c>
      <c r="G353" s="43" t="s">
        <v>1361</v>
      </c>
      <c r="H353" s="44" t="s">
        <v>1362</v>
      </c>
      <c r="I353" s="45" t="s">
        <v>1363</v>
      </c>
      <c r="J353" s="36"/>
      <c r="K353" s="36"/>
      <c r="L353" s="45"/>
      <c r="M353" s="36" t="s">
        <v>521</v>
      </c>
      <c r="N353" s="40" t="n">
        <v>2000</v>
      </c>
      <c r="O353" s="35"/>
      <c r="P353" s="35" t="s">
        <v>265</v>
      </c>
      <c r="Q353" s="35" t="s">
        <v>67</v>
      </c>
      <c r="R353" s="35" t="s">
        <v>68</v>
      </c>
      <c r="S353" s="42" t="n">
        <v>3</v>
      </c>
      <c r="T353" s="35" t="s">
        <v>64</v>
      </c>
      <c r="U353" s="35" t="s">
        <v>537</v>
      </c>
      <c r="V353" s="36" t="s">
        <v>284</v>
      </c>
      <c r="W353" s="36" t="s">
        <v>524</v>
      </c>
      <c r="X353" s="44" t="s">
        <v>230</v>
      </c>
      <c r="Y353" s="41" t="s">
        <v>1364</v>
      </c>
      <c r="Z353" s="47" t="n">
        <v>42681</v>
      </c>
      <c r="AA353" s="35" t="s">
        <v>526</v>
      </c>
    </row>
    <row r="354" customFormat="false" ht="79.5" hidden="false" customHeight="true" outlineLevel="0" collapsed="false">
      <c r="A354" s="34" t="n">
        <v>353</v>
      </c>
      <c r="B354" s="37" t="s">
        <v>264</v>
      </c>
      <c r="C354" s="45" t="s">
        <v>1365</v>
      </c>
      <c r="D354" s="43" t="s">
        <v>1366</v>
      </c>
      <c r="E354" s="35" t="s">
        <v>268</v>
      </c>
      <c r="F354" s="39" t="s">
        <v>1367</v>
      </c>
      <c r="G354" s="43" t="s">
        <v>1368</v>
      </c>
      <c r="H354" s="44" t="s">
        <v>1369</v>
      </c>
      <c r="I354" s="45" t="s">
        <v>1370</v>
      </c>
      <c r="J354" s="36"/>
      <c r="K354" s="36"/>
      <c r="L354" s="45"/>
      <c r="M354" s="36" t="s">
        <v>521</v>
      </c>
      <c r="N354" s="40" t="n">
        <v>2000</v>
      </c>
      <c r="O354" s="35"/>
      <c r="P354" s="35" t="s">
        <v>265</v>
      </c>
      <c r="Q354" s="35" t="s">
        <v>67</v>
      </c>
      <c r="R354" s="35" t="s">
        <v>144</v>
      </c>
      <c r="S354" s="42" t="n">
        <v>2</v>
      </c>
      <c r="T354" s="35" t="s">
        <v>784</v>
      </c>
      <c r="U354" s="35" t="s">
        <v>537</v>
      </c>
      <c r="V354" s="36" t="s">
        <v>284</v>
      </c>
      <c r="W354" s="36" t="s">
        <v>524</v>
      </c>
      <c r="X354" s="43" t="s">
        <v>864</v>
      </c>
      <c r="Y354" s="41" t="s">
        <v>1371</v>
      </c>
      <c r="Z354" s="47" t="n">
        <v>43731</v>
      </c>
      <c r="AA354" s="35" t="s">
        <v>526</v>
      </c>
    </row>
    <row r="355" customFormat="false" ht="79.5" hidden="false" customHeight="true" outlineLevel="0" collapsed="false">
      <c r="A355" s="34" t="n">
        <v>354</v>
      </c>
      <c r="B355" s="37" t="s">
        <v>264</v>
      </c>
      <c r="C355" s="45" t="s">
        <v>1365</v>
      </c>
      <c r="D355" s="43" t="s">
        <v>1366</v>
      </c>
      <c r="E355" s="35" t="s">
        <v>268</v>
      </c>
      <c r="F355" s="39" t="s">
        <v>1372</v>
      </c>
      <c r="G355" s="43" t="s">
        <v>1373</v>
      </c>
      <c r="H355" s="44" t="s">
        <v>1369</v>
      </c>
      <c r="I355" s="45" t="s">
        <v>1374</v>
      </c>
      <c r="J355" s="36"/>
      <c r="K355" s="36"/>
      <c r="L355" s="45"/>
      <c r="M355" s="36" t="s">
        <v>521</v>
      </c>
      <c r="N355" s="40" t="n">
        <v>2000</v>
      </c>
      <c r="O355" s="35"/>
      <c r="P355" s="35" t="s">
        <v>265</v>
      </c>
      <c r="Q355" s="35" t="s">
        <v>67</v>
      </c>
      <c r="R355" s="35" t="s">
        <v>68</v>
      </c>
      <c r="S355" s="42" t="n">
        <v>3</v>
      </c>
      <c r="T355" s="35" t="s">
        <v>98</v>
      </c>
      <c r="U355" s="35" t="s">
        <v>204</v>
      </c>
      <c r="V355" s="36" t="s">
        <v>284</v>
      </c>
      <c r="W355" s="36" t="s">
        <v>524</v>
      </c>
      <c r="X355" s="43" t="s">
        <v>272</v>
      </c>
      <c r="Y355" s="41" t="s">
        <v>1375</v>
      </c>
      <c r="Z355" s="47" t="n">
        <v>42857</v>
      </c>
      <c r="AA355" s="35" t="s">
        <v>526</v>
      </c>
    </row>
    <row r="356" customFormat="false" ht="79.5" hidden="false" customHeight="true" outlineLevel="0" collapsed="false">
      <c r="A356" s="34" t="n">
        <v>355</v>
      </c>
      <c r="B356" s="37" t="s">
        <v>264</v>
      </c>
      <c r="C356" s="45" t="s">
        <v>1365</v>
      </c>
      <c r="D356" s="43" t="s">
        <v>1366</v>
      </c>
      <c r="E356" s="35" t="s">
        <v>268</v>
      </c>
      <c r="F356" s="39" t="s">
        <v>1376</v>
      </c>
      <c r="G356" s="43" t="s">
        <v>1368</v>
      </c>
      <c r="H356" s="44" t="s">
        <v>1369</v>
      </c>
      <c r="I356" s="45" t="s">
        <v>1377</v>
      </c>
      <c r="J356" s="36"/>
      <c r="K356" s="36"/>
      <c r="L356" s="45"/>
      <c r="M356" s="36" t="s">
        <v>521</v>
      </c>
      <c r="N356" s="40" t="n">
        <v>2000</v>
      </c>
      <c r="O356" s="35"/>
      <c r="P356" s="35" t="s">
        <v>265</v>
      </c>
      <c r="Q356" s="35" t="s">
        <v>67</v>
      </c>
      <c r="R356" s="35" t="s">
        <v>144</v>
      </c>
      <c r="S356" s="42" t="n">
        <v>2</v>
      </c>
      <c r="T356" s="35" t="s">
        <v>784</v>
      </c>
      <c r="U356" s="35" t="s">
        <v>537</v>
      </c>
      <c r="V356" s="36" t="s">
        <v>284</v>
      </c>
      <c r="W356" s="36" t="s">
        <v>524</v>
      </c>
      <c r="X356" s="44" t="s">
        <v>267</v>
      </c>
      <c r="Y356" s="41" t="s">
        <v>1378</v>
      </c>
      <c r="Z356" s="47" t="n">
        <v>43578</v>
      </c>
      <c r="AA356" s="35" t="s">
        <v>526</v>
      </c>
    </row>
    <row r="357" customFormat="false" ht="79.5" hidden="false" customHeight="true" outlineLevel="0" collapsed="false">
      <c r="A357" s="34" t="n">
        <v>356</v>
      </c>
      <c r="B357" s="37" t="s">
        <v>264</v>
      </c>
      <c r="C357" s="45" t="s">
        <v>1365</v>
      </c>
      <c r="D357" s="43" t="s">
        <v>1366</v>
      </c>
      <c r="E357" s="35" t="s">
        <v>268</v>
      </c>
      <c r="F357" s="39" t="s">
        <v>1379</v>
      </c>
      <c r="G357" s="43" t="s">
        <v>1373</v>
      </c>
      <c r="H357" s="44" t="s">
        <v>1369</v>
      </c>
      <c r="I357" s="45" t="s">
        <v>1374</v>
      </c>
      <c r="J357" s="36"/>
      <c r="K357" s="36"/>
      <c r="L357" s="45"/>
      <c r="M357" s="36" t="s">
        <v>521</v>
      </c>
      <c r="N357" s="40" t="n">
        <v>2000</v>
      </c>
      <c r="O357" s="35"/>
      <c r="P357" s="35" t="s">
        <v>265</v>
      </c>
      <c r="Q357" s="35" t="s">
        <v>67</v>
      </c>
      <c r="R357" s="35" t="s">
        <v>68</v>
      </c>
      <c r="S357" s="42" t="n">
        <v>3</v>
      </c>
      <c r="T357" s="35" t="s">
        <v>98</v>
      </c>
      <c r="U357" s="35" t="s">
        <v>204</v>
      </c>
      <c r="V357" s="36" t="s">
        <v>284</v>
      </c>
      <c r="W357" s="36" t="s">
        <v>524</v>
      </c>
      <c r="X357" s="43" t="s">
        <v>1380</v>
      </c>
      <c r="Y357" s="41" t="s">
        <v>1381</v>
      </c>
      <c r="Z357" s="47" t="n">
        <v>44575</v>
      </c>
      <c r="AA357" s="35" t="s">
        <v>526</v>
      </c>
    </row>
    <row r="358" customFormat="false" ht="79.5" hidden="false" customHeight="true" outlineLevel="0" collapsed="false">
      <c r="A358" s="34" t="n">
        <v>357</v>
      </c>
      <c r="B358" s="37" t="s">
        <v>264</v>
      </c>
      <c r="C358" s="45" t="s">
        <v>1365</v>
      </c>
      <c r="D358" s="43" t="s">
        <v>1366</v>
      </c>
      <c r="E358" s="35" t="s">
        <v>268</v>
      </c>
      <c r="F358" s="39" t="s">
        <v>1382</v>
      </c>
      <c r="G358" s="43" t="s">
        <v>1368</v>
      </c>
      <c r="H358" s="44" t="s">
        <v>1369</v>
      </c>
      <c r="I358" s="45" t="s">
        <v>1370</v>
      </c>
      <c r="J358" s="36"/>
      <c r="K358" s="36"/>
      <c r="L358" s="45"/>
      <c r="M358" s="36" t="s">
        <v>521</v>
      </c>
      <c r="N358" s="40" t="n">
        <v>2000</v>
      </c>
      <c r="O358" s="35"/>
      <c r="P358" s="35" t="s">
        <v>265</v>
      </c>
      <c r="Q358" s="35" t="s">
        <v>67</v>
      </c>
      <c r="R358" s="35" t="s">
        <v>144</v>
      </c>
      <c r="S358" s="42" t="n">
        <v>2</v>
      </c>
      <c r="T358" s="35" t="s">
        <v>784</v>
      </c>
      <c r="U358" s="35" t="s">
        <v>537</v>
      </c>
      <c r="V358" s="36" t="s">
        <v>284</v>
      </c>
      <c r="W358" s="36" t="s">
        <v>524</v>
      </c>
      <c r="X358" s="43" t="s">
        <v>861</v>
      </c>
      <c r="Y358" s="41" t="s">
        <v>1383</v>
      </c>
      <c r="Z358" s="47" t="n">
        <v>43159</v>
      </c>
      <c r="AA358" s="35" t="s">
        <v>526</v>
      </c>
    </row>
    <row r="359" customFormat="false" ht="79.5" hidden="false" customHeight="true" outlineLevel="0" collapsed="false">
      <c r="A359" s="34" t="n">
        <v>358</v>
      </c>
      <c r="B359" s="37" t="s">
        <v>264</v>
      </c>
      <c r="C359" s="45" t="s">
        <v>1384</v>
      </c>
      <c r="D359" s="43" t="s">
        <v>1385</v>
      </c>
      <c r="E359" s="35" t="s">
        <v>268</v>
      </c>
      <c r="F359" s="39" t="s">
        <v>1386</v>
      </c>
      <c r="G359" s="43" t="s">
        <v>1387</v>
      </c>
      <c r="H359" s="44" t="s">
        <v>1388</v>
      </c>
      <c r="I359" s="45" t="s">
        <v>1389</v>
      </c>
      <c r="J359" s="36"/>
      <c r="K359" s="36"/>
      <c r="L359" s="45"/>
      <c r="M359" s="36" t="s">
        <v>521</v>
      </c>
      <c r="N359" s="40" t="n">
        <v>2000</v>
      </c>
      <c r="O359" s="35"/>
      <c r="P359" s="35" t="s">
        <v>265</v>
      </c>
      <c r="Q359" s="35" t="s">
        <v>67</v>
      </c>
      <c r="R359" s="35" t="s">
        <v>144</v>
      </c>
      <c r="S359" s="42" t="n">
        <v>2</v>
      </c>
      <c r="T359" s="35" t="s">
        <v>90</v>
      </c>
      <c r="U359" s="35" t="s">
        <v>204</v>
      </c>
      <c r="V359" s="36" t="s">
        <v>284</v>
      </c>
      <c r="W359" s="36" t="s">
        <v>524</v>
      </c>
      <c r="X359" s="44" t="s">
        <v>267</v>
      </c>
      <c r="Y359" s="41" t="s">
        <v>1390</v>
      </c>
      <c r="Z359" s="47" t="n">
        <v>42972</v>
      </c>
      <c r="AA359" s="35" t="s">
        <v>526</v>
      </c>
    </row>
    <row r="360" customFormat="false" ht="64.5" hidden="false" customHeight="true" outlineLevel="0" collapsed="false">
      <c r="A360" s="34" t="n">
        <v>359</v>
      </c>
      <c r="B360" s="37" t="s">
        <v>264</v>
      </c>
      <c r="C360" s="45" t="s">
        <v>1391</v>
      </c>
      <c r="D360" s="43" t="s">
        <v>1392</v>
      </c>
      <c r="E360" s="35" t="s">
        <v>268</v>
      </c>
      <c r="F360" s="39" t="s">
        <v>1393</v>
      </c>
      <c r="G360" s="43" t="s">
        <v>1394</v>
      </c>
      <c r="H360" s="44" t="s">
        <v>1395</v>
      </c>
      <c r="I360" s="45" t="s">
        <v>1396</v>
      </c>
      <c r="J360" s="36"/>
      <c r="K360" s="36"/>
      <c r="L360" s="45"/>
      <c r="M360" s="36" t="s">
        <v>521</v>
      </c>
      <c r="N360" s="40" t="n">
        <v>2000</v>
      </c>
      <c r="O360" s="35"/>
      <c r="P360" s="35" t="s">
        <v>265</v>
      </c>
      <c r="Q360" s="35" t="s">
        <v>67</v>
      </c>
      <c r="R360" s="35" t="s">
        <v>113</v>
      </c>
      <c r="S360" s="42" t="n">
        <v>2</v>
      </c>
      <c r="T360" s="35" t="s">
        <v>644</v>
      </c>
      <c r="U360" s="35" t="s">
        <v>204</v>
      </c>
      <c r="V360" s="36" t="s">
        <v>226</v>
      </c>
      <c r="W360" s="36" t="s">
        <v>524</v>
      </c>
      <c r="X360" s="43" t="s">
        <v>272</v>
      </c>
      <c r="Y360" s="41" t="s">
        <v>1397</v>
      </c>
      <c r="Z360" s="47" t="n">
        <v>43350</v>
      </c>
      <c r="AA360" s="35" t="s">
        <v>526</v>
      </c>
    </row>
    <row r="361" customFormat="false" ht="64.5" hidden="false" customHeight="true" outlineLevel="0" collapsed="false">
      <c r="A361" s="34" t="n">
        <v>360</v>
      </c>
      <c r="B361" s="37" t="s">
        <v>264</v>
      </c>
      <c r="C361" s="36" t="s">
        <v>1398</v>
      </c>
      <c r="D361" s="44" t="s">
        <v>1399</v>
      </c>
      <c r="E361" s="35" t="s">
        <v>268</v>
      </c>
      <c r="F361" s="39" t="s">
        <v>1400</v>
      </c>
      <c r="G361" s="43" t="s">
        <v>1401</v>
      </c>
      <c r="H361" s="44" t="s">
        <v>1402</v>
      </c>
      <c r="I361" s="45" t="s">
        <v>1403</v>
      </c>
      <c r="J361" s="36"/>
      <c r="K361" s="36"/>
      <c r="L361" s="45"/>
      <c r="M361" s="36" t="s">
        <v>521</v>
      </c>
      <c r="N361" s="40" t="n">
        <v>2000</v>
      </c>
      <c r="O361" s="35"/>
      <c r="P361" s="35" t="s">
        <v>265</v>
      </c>
      <c r="Q361" s="35" t="s">
        <v>67</v>
      </c>
      <c r="R361" s="35" t="s">
        <v>91</v>
      </c>
      <c r="S361" s="42" t="n">
        <v>3</v>
      </c>
      <c r="T361" s="35" t="s">
        <v>665</v>
      </c>
      <c r="U361" s="35" t="s">
        <v>204</v>
      </c>
      <c r="V361" s="36" t="s">
        <v>205</v>
      </c>
      <c r="W361" s="36" t="s">
        <v>524</v>
      </c>
      <c r="X361" s="44" t="s">
        <v>553</v>
      </c>
      <c r="Y361" s="41" t="s">
        <v>1404</v>
      </c>
      <c r="Z361" s="47" t="n">
        <v>40268</v>
      </c>
      <c r="AA361" s="35" t="s">
        <v>526</v>
      </c>
    </row>
    <row r="362" customFormat="false" ht="64.5" hidden="false" customHeight="true" outlineLevel="0" collapsed="false">
      <c r="A362" s="34" t="n">
        <v>361</v>
      </c>
      <c r="B362" s="37" t="s">
        <v>264</v>
      </c>
      <c r="C362" s="36" t="s">
        <v>1405</v>
      </c>
      <c r="D362" s="44" t="s">
        <v>1406</v>
      </c>
      <c r="E362" s="35" t="s">
        <v>268</v>
      </c>
      <c r="F362" s="39" t="s">
        <v>1407</v>
      </c>
      <c r="G362" s="43" t="s">
        <v>1408</v>
      </c>
      <c r="H362" s="44" t="s">
        <v>1409</v>
      </c>
      <c r="I362" s="45" t="s">
        <v>1410</v>
      </c>
      <c r="J362" s="36"/>
      <c r="K362" s="36"/>
      <c r="L362" s="45"/>
      <c r="M362" s="36" t="s">
        <v>561</v>
      </c>
      <c r="N362" s="40" t="n">
        <v>1000</v>
      </c>
      <c r="O362" s="35"/>
      <c r="P362" s="35" t="s">
        <v>265</v>
      </c>
      <c r="Q362" s="35" t="s">
        <v>67</v>
      </c>
      <c r="R362" s="35" t="s">
        <v>68</v>
      </c>
      <c r="S362" s="42" t="n">
        <v>3</v>
      </c>
      <c r="T362" s="35" t="s">
        <v>98</v>
      </c>
      <c r="U362" s="35" t="s">
        <v>204</v>
      </c>
      <c r="V362" s="36" t="s">
        <v>205</v>
      </c>
      <c r="W362" s="36" t="s">
        <v>524</v>
      </c>
      <c r="X362" s="44" t="s">
        <v>834</v>
      </c>
      <c r="Y362" s="41" t="s">
        <v>1411</v>
      </c>
      <c r="Z362" s="47" t="n">
        <v>41947</v>
      </c>
      <c r="AA362" s="35" t="s">
        <v>526</v>
      </c>
    </row>
    <row r="363" customFormat="false" ht="64.5" hidden="false" customHeight="true" outlineLevel="0" collapsed="false">
      <c r="A363" s="34" t="n">
        <v>362</v>
      </c>
      <c r="B363" s="37" t="s">
        <v>291</v>
      </c>
      <c r="C363" s="45" t="s">
        <v>921</v>
      </c>
      <c r="D363" s="43" t="s">
        <v>922</v>
      </c>
      <c r="E363" s="35" t="s">
        <v>211</v>
      </c>
      <c r="F363" s="39" t="s">
        <v>934</v>
      </c>
      <c r="G363" s="43" t="s">
        <v>935</v>
      </c>
      <c r="H363" s="44" t="s">
        <v>930</v>
      </c>
      <c r="I363" s="45" t="s">
        <v>936</v>
      </c>
      <c r="J363" s="36"/>
      <c r="K363" s="36"/>
      <c r="L363" s="45"/>
      <c r="M363" s="36" t="s">
        <v>521</v>
      </c>
      <c r="N363" s="40" t="n">
        <v>1000</v>
      </c>
      <c r="O363" s="35"/>
      <c r="P363" s="35" t="s">
        <v>265</v>
      </c>
      <c r="Q363" s="35" t="s">
        <v>67</v>
      </c>
      <c r="R363" s="35" t="s">
        <v>68</v>
      </c>
      <c r="S363" s="42" t="n">
        <v>3</v>
      </c>
      <c r="T363" s="35" t="s">
        <v>64</v>
      </c>
      <c r="U363" s="35" t="s">
        <v>537</v>
      </c>
      <c r="V363" s="36" t="s">
        <v>226</v>
      </c>
      <c r="W363" s="36" t="s">
        <v>524</v>
      </c>
      <c r="X363" s="43" t="s">
        <v>932</v>
      </c>
      <c r="Y363" s="41" t="s">
        <v>937</v>
      </c>
      <c r="Z363" s="47" t="n">
        <v>39170</v>
      </c>
      <c r="AA363" s="35" t="s">
        <v>526</v>
      </c>
    </row>
    <row r="364" customFormat="false" ht="64.5" hidden="false" customHeight="true" outlineLevel="0" collapsed="false">
      <c r="A364" s="34" t="n">
        <v>363</v>
      </c>
      <c r="B364" s="37" t="s">
        <v>291</v>
      </c>
      <c r="C364" s="45" t="s">
        <v>984</v>
      </c>
      <c r="D364" s="43" t="s">
        <v>985</v>
      </c>
      <c r="E364" s="35" t="s">
        <v>211</v>
      </c>
      <c r="F364" s="39" t="s">
        <v>1412</v>
      </c>
      <c r="G364" s="43" t="s">
        <v>1413</v>
      </c>
      <c r="H364" s="44" t="s">
        <v>1414</v>
      </c>
      <c r="I364" s="45" t="s">
        <v>1415</v>
      </c>
      <c r="J364" s="36"/>
      <c r="K364" s="36"/>
      <c r="L364" s="45"/>
      <c r="M364" s="36" t="s">
        <v>521</v>
      </c>
      <c r="N364" s="40" t="n">
        <v>2000</v>
      </c>
      <c r="O364" s="35"/>
      <c r="P364" s="35" t="s">
        <v>265</v>
      </c>
      <c r="Q364" s="35" t="s">
        <v>67</v>
      </c>
      <c r="R364" s="35" t="s">
        <v>113</v>
      </c>
      <c r="S364" s="42" t="n">
        <v>3</v>
      </c>
      <c r="T364" s="35" t="s">
        <v>64</v>
      </c>
      <c r="U364" s="35" t="s">
        <v>204</v>
      </c>
      <c r="V364" s="36" t="s">
        <v>205</v>
      </c>
      <c r="W364" s="36" t="s">
        <v>524</v>
      </c>
      <c r="X364" s="44" t="s">
        <v>210</v>
      </c>
      <c r="Y364" s="41" t="s">
        <v>1416</v>
      </c>
      <c r="Z364" s="47" t="n">
        <v>45709</v>
      </c>
      <c r="AA364" s="35" t="s">
        <v>526</v>
      </c>
    </row>
    <row r="365" customFormat="false" ht="64.5" hidden="false" customHeight="true" outlineLevel="0" collapsed="false">
      <c r="A365" s="34" t="n">
        <v>364</v>
      </c>
      <c r="B365" s="37" t="s">
        <v>291</v>
      </c>
      <c r="C365" s="45" t="s">
        <v>984</v>
      </c>
      <c r="D365" s="43" t="s">
        <v>985</v>
      </c>
      <c r="E365" s="35" t="s">
        <v>211</v>
      </c>
      <c r="F365" s="39" t="s">
        <v>1417</v>
      </c>
      <c r="G365" s="43" t="s">
        <v>1413</v>
      </c>
      <c r="H365" s="44" t="s">
        <v>1418</v>
      </c>
      <c r="I365" s="45" t="s">
        <v>1415</v>
      </c>
      <c r="J365" s="36"/>
      <c r="K365" s="36"/>
      <c r="L365" s="45"/>
      <c r="M365" s="36" t="s">
        <v>521</v>
      </c>
      <c r="N365" s="40" t="n">
        <v>2000</v>
      </c>
      <c r="O365" s="35"/>
      <c r="P365" s="35" t="s">
        <v>265</v>
      </c>
      <c r="Q365" s="35" t="s">
        <v>67</v>
      </c>
      <c r="R365" s="35" t="s">
        <v>113</v>
      </c>
      <c r="S365" s="42" t="n">
        <v>3</v>
      </c>
      <c r="T365" s="35" t="s">
        <v>64</v>
      </c>
      <c r="U365" s="35" t="s">
        <v>204</v>
      </c>
      <c r="V365" s="36" t="s">
        <v>205</v>
      </c>
      <c r="W365" s="36" t="s">
        <v>524</v>
      </c>
      <c r="X365" s="43" t="s">
        <v>872</v>
      </c>
      <c r="Y365" s="41" t="s">
        <v>1419</v>
      </c>
      <c r="Z365" s="47" t="n">
        <v>43514</v>
      </c>
      <c r="AA365" s="35" t="s">
        <v>526</v>
      </c>
    </row>
    <row r="366" customFormat="false" ht="49.5" hidden="false" customHeight="true" outlineLevel="0" collapsed="false">
      <c r="A366" s="34" t="n">
        <v>365</v>
      </c>
      <c r="B366" s="37" t="s">
        <v>291</v>
      </c>
      <c r="C366" s="45" t="s">
        <v>1420</v>
      </c>
      <c r="D366" s="43" t="s">
        <v>1421</v>
      </c>
      <c r="E366" s="35" t="s">
        <v>211</v>
      </c>
      <c r="F366" s="39" t="s">
        <v>1422</v>
      </c>
      <c r="G366" s="43" t="s">
        <v>1423</v>
      </c>
      <c r="H366" s="44" t="s">
        <v>1424</v>
      </c>
      <c r="I366" s="45" t="s">
        <v>1425</v>
      </c>
      <c r="J366" s="36"/>
      <c r="K366" s="36"/>
      <c r="L366" s="45"/>
      <c r="M366" s="36" t="s">
        <v>521</v>
      </c>
      <c r="N366" s="40" t="n">
        <v>1000</v>
      </c>
      <c r="O366" s="35"/>
      <c r="P366" s="35" t="s">
        <v>265</v>
      </c>
      <c r="Q366" s="35" t="s">
        <v>67</v>
      </c>
      <c r="R366" s="35" t="s">
        <v>68</v>
      </c>
      <c r="S366" s="42" t="n">
        <v>3</v>
      </c>
      <c r="T366" s="35" t="s">
        <v>246</v>
      </c>
      <c r="U366" s="35" t="s">
        <v>537</v>
      </c>
      <c r="V366" s="36" t="s">
        <v>226</v>
      </c>
      <c r="W366" s="36" t="s">
        <v>524</v>
      </c>
      <c r="X366" s="43" t="s">
        <v>861</v>
      </c>
      <c r="Y366" s="41" t="s">
        <v>1426</v>
      </c>
      <c r="Z366" s="47" t="n">
        <v>41219</v>
      </c>
      <c r="AA366" s="35" t="s">
        <v>526</v>
      </c>
    </row>
    <row r="367" customFormat="false" ht="49.5" hidden="false" customHeight="true" outlineLevel="0" collapsed="false">
      <c r="A367" s="34" t="n">
        <v>366</v>
      </c>
      <c r="B367" s="37" t="s">
        <v>291</v>
      </c>
      <c r="C367" s="45" t="s">
        <v>1420</v>
      </c>
      <c r="D367" s="43" t="s">
        <v>1421</v>
      </c>
      <c r="E367" s="35" t="s">
        <v>211</v>
      </c>
      <c r="F367" s="39" t="s">
        <v>1427</v>
      </c>
      <c r="G367" s="43" t="s">
        <v>1423</v>
      </c>
      <c r="H367" s="44" t="s">
        <v>1424</v>
      </c>
      <c r="I367" s="45" t="s">
        <v>1425</v>
      </c>
      <c r="J367" s="36"/>
      <c r="K367" s="36"/>
      <c r="L367" s="45"/>
      <c r="M367" s="36" t="s">
        <v>521</v>
      </c>
      <c r="N367" s="40" t="n">
        <v>1000</v>
      </c>
      <c r="O367" s="35"/>
      <c r="P367" s="35" t="s">
        <v>265</v>
      </c>
      <c r="Q367" s="35" t="s">
        <v>67</v>
      </c>
      <c r="R367" s="35" t="s">
        <v>68</v>
      </c>
      <c r="S367" s="42" t="n">
        <v>3</v>
      </c>
      <c r="T367" s="35" t="s">
        <v>246</v>
      </c>
      <c r="U367" s="35" t="s">
        <v>537</v>
      </c>
      <c r="V367" s="36" t="s">
        <v>226</v>
      </c>
      <c r="W367" s="36" t="s">
        <v>524</v>
      </c>
      <c r="X367" s="43" t="s">
        <v>864</v>
      </c>
      <c r="Y367" s="41" t="s">
        <v>1428</v>
      </c>
      <c r="Z367" s="47" t="n">
        <v>43201</v>
      </c>
      <c r="AA367" s="35" t="s">
        <v>526</v>
      </c>
    </row>
    <row r="368" customFormat="false" ht="49.5" hidden="false" customHeight="true" outlineLevel="0" collapsed="false">
      <c r="A368" s="34" t="n">
        <v>367</v>
      </c>
      <c r="B368" s="37" t="s">
        <v>291</v>
      </c>
      <c r="C368" s="45" t="s">
        <v>1420</v>
      </c>
      <c r="D368" s="43" t="s">
        <v>1421</v>
      </c>
      <c r="E368" s="35" t="s">
        <v>211</v>
      </c>
      <c r="F368" s="39" t="s">
        <v>1429</v>
      </c>
      <c r="G368" s="43" t="s">
        <v>1423</v>
      </c>
      <c r="H368" s="44" t="s">
        <v>1424</v>
      </c>
      <c r="I368" s="45" t="s">
        <v>1425</v>
      </c>
      <c r="J368" s="36"/>
      <c r="K368" s="36"/>
      <c r="L368" s="45"/>
      <c r="M368" s="36" t="s">
        <v>521</v>
      </c>
      <c r="N368" s="40" t="n">
        <v>1000</v>
      </c>
      <c r="O368" s="35"/>
      <c r="P368" s="35" t="s">
        <v>265</v>
      </c>
      <c r="Q368" s="35" t="s">
        <v>67</v>
      </c>
      <c r="R368" s="35" t="s">
        <v>68</v>
      </c>
      <c r="S368" s="42" t="n">
        <v>3</v>
      </c>
      <c r="T368" s="35" t="s">
        <v>246</v>
      </c>
      <c r="U368" s="35" t="s">
        <v>537</v>
      </c>
      <c r="V368" s="36" t="s">
        <v>226</v>
      </c>
      <c r="W368" s="36" t="s">
        <v>524</v>
      </c>
      <c r="X368" s="43" t="s">
        <v>300</v>
      </c>
      <c r="Y368" s="41" t="s">
        <v>1430</v>
      </c>
      <c r="Z368" s="47" t="n">
        <v>39448</v>
      </c>
      <c r="AA368" s="35" t="s">
        <v>526</v>
      </c>
    </row>
    <row r="369" customFormat="false" ht="34.5" hidden="false" customHeight="true" outlineLevel="0" collapsed="false">
      <c r="A369" s="34" t="n">
        <v>368</v>
      </c>
      <c r="B369" s="37" t="s">
        <v>291</v>
      </c>
      <c r="C369" s="45" t="s">
        <v>297</v>
      </c>
      <c r="D369" s="43" t="s">
        <v>298</v>
      </c>
      <c r="E369" s="35" t="s">
        <v>211</v>
      </c>
      <c r="F369" s="39" t="s">
        <v>1431</v>
      </c>
      <c r="G369" s="43" t="s">
        <v>1432</v>
      </c>
      <c r="H369" s="44" t="s">
        <v>296</v>
      </c>
      <c r="I369" s="45" t="s">
        <v>679</v>
      </c>
      <c r="J369" s="36"/>
      <c r="K369" s="36"/>
      <c r="L369" s="45"/>
      <c r="M369" s="36" t="s">
        <v>521</v>
      </c>
      <c r="N369" s="40" t="n">
        <v>1000</v>
      </c>
      <c r="O369" s="35"/>
      <c r="P369" s="35" t="s">
        <v>265</v>
      </c>
      <c r="Q369" s="35" t="s">
        <v>67</v>
      </c>
      <c r="R369" s="35" t="s">
        <v>68</v>
      </c>
      <c r="S369" s="42" t="n">
        <v>2</v>
      </c>
      <c r="T369" s="35" t="s">
        <v>98</v>
      </c>
      <c r="U369" s="35" t="s">
        <v>204</v>
      </c>
      <c r="V369" s="36" t="s">
        <v>226</v>
      </c>
      <c r="W369" s="36" t="s">
        <v>524</v>
      </c>
      <c r="X369" s="44" t="s">
        <v>221</v>
      </c>
      <c r="Y369" s="41" t="s">
        <v>1433</v>
      </c>
      <c r="Z369" s="47" t="n">
        <v>44915</v>
      </c>
      <c r="AA369" s="35" t="s">
        <v>526</v>
      </c>
    </row>
    <row r="370" customFormat="false" ht="34.5" hidden="false" customHeight="true" outlineLevel="0" collapsed="false">
      <c r="A370" s="34" t="n">
        <v>369</v>
      </c>
      <c r="B370" s="37" t="s">
        <v>291</v>
      </c>
      <c r="C370" s="45" t="s">
        <v>297</v>
      </c>
      <c r="D370" s="43" t="s">
        <v>298</v>
      </c>
      <c r="E370" s="35" t="s">
        <v>211</v>
      </c>
      <c r="F370" s="39" t="s">
        <v>1434</v>
      </c>
      <c r="G370" s="43" t="s">
        <v>1435</v>
      </c>
      <c r="H370" s="44" t="s">
        <v>296</v>
      </c>
      <c r="I370" s="45" t="s">
        <v>576</v>
      </c>
      <c r="J370" s="36"/>
      <c r="K370" s="36"/>
      <c r="L370" s="45"/>
      <c r="M370" s="36" t="s">
        <v>521</v>
      </c>
      <c r="N370" s="40" t="n">
        <v>500</v>
      </c>
      <c r="O370" s="35"/>
      <c r="P370" s="35" t="s">
        <v>265</v>
      </c>
      <c r="Q370" s="35" t="s">
        <v>67</v>
      </c>
      <c r="R370" s="35" t="s">
        <v>144</v>
      </c>
      <c r="S370" s="42" t="n">
        <v>3</v>
      </c>
      <c r="T370" s="35" t="s">
        <v>665</v>
      </c>
      <c r="U370" s="35" t="s">
        <v>537</v>
      </c>
      <c r="V370" s="36" t="s">
        <v>284</v>
      </c>
      <c r="W370" s="36" t="s">
        <v>826</v>
      </c>
      <c r="X370" s="44" t="s">
        <v>847</v>
      </c>
      <c r="Y370" s="41" t="s">
        <v>1436</v>
      </c>
      <c r="Z370" s="47" t="n">
        <v>45776</v>
      </c>
      <c r="AA370" s="35" t="s">
        <v>526</v>
      </c>
    </row>
    <row r="371" customFormat="false" ht="34.5" hidden="false" customHeight="true" outlineLevel="0" collapsed="false">
      <c r="A371" s="34" t="n">
        <v>370</v>
      </c>
      <c r="B371" s="37" t="s">
        <v>291</v>
      </c>
      <c r="C371" s="45" t="s">
        <v>297</v>
      </c>
      <c r="D371" s="43" t="s">
        <v>298</v>
      </c>
      <c r="E371" s="35" t="s">
        <v>211</v>
      </c>
      <c r="F371" s="39" t="s">
        <v>1437</v>
      </c>
      <c r="G371" s="43" t="s">
        <v>1432</v>
      </c>
      <c r="H371" s="44" t="s">
        <v>296</v>
      </c>
      <c r="I371" s="45" t="s">
        <v>679</v>
      </c>
      <c r="J371" s="36"/>
      <c r="K371" s="36"/>
      <c r="L371" s="45"/>
      <c r="M371" s="36" t="s">
        <v>521</v>
      </c>
      <c r="N371" s="40" t="n">
        <v>1000</v>
      </c>
      <c r="O371" s="35"/>
      <c r="P371" s="35" t="s">
        <v>265</v>
      </c>
      <c r="Q371" s="35" t="s">
        <v>67</v>
      </c>
      <c r="R371" s="35" t="s">
        <v>68</v>
      </c>
      <c r="S371" s="42" t="n">
        <v>2</v>
      </c>
      <c r="T371" s="35" t="s">
        <v>98</v>
      </c>
      <c r="U371" s="35" t="s">
        <v>204</v>
      </c>
      <c r="V371" s="36" t="s">
        <v>226</v>
      </c>
      <c r="W371" s="36" t="s">
        <v>524</v>
      </c>
      <c r="X371" s="44" t="s">
        <v>834</v>
      </c>
      <c r="Y371" s="41" t="s">
        <v>1438</v>
      </c>
      <c r="Z371" s="47" t="n">
        <v>41684</v>
      </c>
      <c r="AA371" s="35" t="s">
        <v>526</v>
      </c>
    </row>
    <row r="372" customFormat="false" ht="34.5" hidden="false" customHeight="true" outlineLevel="0" collapsed="false">
      <c r="A372" s="34" t="n">
        <v>371</v>
      </c>
      <c r="B372" s="37" t="s">
        <v>291</v>
      </c>
      <c r="C372" s="45" t="s">
        <v>297</v>
      </c>
      <c r="D372" s="43" t="s">
        <v>298</v>
      </c>
      <c r="E372" s="35" t="s">
        <v>211</v>
      </c>
      <c r="F372" s="39" t="s">
        <v>1439</v>
      </c>
      <c r="G372" s="43" t="s">
        <v>1432</v>
      </c>
      <c r="H372" s="44" t="s">
        <v>296</v>
      </c>
      <c r="I372" s="45" t="s">
        <v>679</v>
      </c>
      <c r="J372" s="36"/>
      <c r="K372" s="36"/>
      <c r="L372" s="45"/>
      <c r="M372" s="36" t="s">
        <v>521</v>
      </c>
      <c r="N372" s="40" t="n">
        <v>1000</v>
      </c>
      <c r="O372" s="35"/>
      <c r="P372" s="35" t="s">
        <v>265</v>
      </c>
      <c r="Q372" s="35" t="s">
        <v>67</v>
      </c>
      <c r="R372" s="35" t="s">
        <v>68</v>
      </c>
      <c r="S372" s="42" t="n">
        <v>2</v>
      </c>
      <c r="T372" s="35" t="s">
        <v>98</v>
      </c>
      <c r="U372" s="35" t="s">
        <v>204</v>
      </c>
      <c r="V372" s="36" t="s">
        <v>226</v>
      </c>
      <c r="W372" s="36" t="s">
        <v>826</v>
      </c>
      <c r="X372" s="44" t="s">
        <v>856</v>
      </c>
      <c r="Y372" s="41" t="s">
        <v>1440</v>
      </c>
      <c r="Z372" s="47" t="n">
        <v>42998</v>
      </c>
      <c r="AA372" s="35" t="s">
        <v>526</v>
      </c>
    </row>
    <row r="373" customFormat="false" ht="34.5" hidden="false" customHeight="true" outlineLevel="0" collapsed="false">
      <c r="A373" s="34" t="n">
        <v>372</v>
      </c>
      <c r="B373" s="37" t="s">
        <v>291</v>
      </c>
      <c r="C373" s="45" t="s">
        <v>297</v>
      </c>
      <c r="D373" s="43" t="s">
        <v>298</v>
      </c>
      <c r="E373" s="35" t="s">
        <v>211</v>
      </c>
      <c r="F373" s="39" t="s">
        <v>1439</v>
      </c>
      <c r="G373" s="43" t="s">
        <v>1432</v>
      </c>
      <c r="H373" s="44" t="s">
        <v>296</v>
      </c>
      <c r="I373" s="45" t="s">
        <v>679</v>
      </c>
      <c r="J373" s="36"/>
      <c r="K373" s="36"/>
      <c r="L373" s="45"/>
      <c r="M373" s="36" t="s">
        <v>521</v>
      </c>
      <c r="N373" s="40" t="n">
        <v>1000</v>
      </c>
      <c r="O373" s="35"/>
      <c r="P373" s="35" t="s">
        <v>265</v>
      </c>
      <c r="Q373" s="35" t="s">
        <v>67</v>
      </c>
      <c r="R373" s="35" t="s">
        <v>68</v>
      </c>
      <c r="S373" s="42" t="n">
        <v>2</v>
      </c>
      <c r="T373" s="35" t="s">
        <v>98</v>
      </c>
      <c r="U373" s="35" t="s">
        <v>204</v>
      </c>
      <c r="V373" s="36" t="s">
        <v>226</v>
      </c>
      <c r="W373" s="36" t="s">
        <v>524</v>
      </c>
      <c r="X373" s="44" t="s">
        <v>856</v>
      </c>
      <c r="Y373" s="41" t="s">
        <v>1441</v>
      </c>
      <c r="Z373" s="47" t="n">
        <v>44560</v>
      </c>
      <c r="AA373" s="35" t="s">
        <v>526</v>
      </c>
    </row>
    <row r="374" customFormat="false" ht="34.5" hidden="false" customHeight="true" outlineLevel="0" collapsed="false">
      <c r="A374" s="34" t="n">
        <v>373</v>
      </c>
      <c r="B374" s="37" t="s">
        <v>291</v>
      </c>
      <c r="C374" s="45" t="s">
        <v>297</v>
      </c>
      <c r="D374" s="43" t="s">
        <v>298</v>
      </c>
      <c r="E374" s="35" t="s">
        <v>211</v>
      </c>
      <c r="F374" s="39" t="s">
        <v>295</v>
      </c>
      <c r="G374" s="43" t="s">
        <v>1432</v>
      </c>
      <c r="H374" s="44" t="s">
        <v>296</v>
      </c>
      <c r="I374" s="45" t="s">
        <v>679</v>
      </c>
      <c r="J374" s="36" t="s">
        <v>80</v>
      </c>
      <c r="K374" s="36"/>
      <c r="L374" s="45" t="s">
        <v>667</v>
      </c>
      <c r="M374" s="36" t="s">
        <v>521</v>
      </c>
      <c r="N374" s="40" t="n">
        <v>1000</v>
      </c>
      <c r="O374" s="35"/>
      <c r="P374" s="35" t="s">
        <v>265</v>
      </c>
      <c r="Q374" s="35" t="s">
        <v>67</v>
      </c>
      <c r="R374" s="35" t="s">
        <v>68</v>
      </c>
      <c r="S374" s="42" t="n">
        <v>2</v>
      </c>
      <c r="T374" s="35" t="s">
        <v>98</v>
      </c>
      <c r="U374" s="35" t="s">
        <v>204</v>
      </c>
      <c r="V374" s="36" t="s">
        <v>226</v>
      </c>
      <c r="W374" s="36" t="s">
        <v>524</v>
      </c>
      <c r="X374" s="43" t="s">
        <v>300</v>
      </c>
      <c r="Y374" s="41" t="s">
        <v>301</v>
      </c>
      <c r="Z374" s="47" t="n">
        <v>33695</v>
      </c>
      <c r="AA374" s="35" t="s">
        <v>578</v>
      </c>
    </row>
    <row r="375" customFormat="false" ht="34.5" hidden="false" customHeight="true" outlineLevel="0" collapsed="false">
      <c r="A375" s="34" t="n">
        <v>374</v>
      </c>
      <c r="B375" s="37" t="s">
        <v>291</v>
      </c>
      <c r="C375" s="45" t="s">
        <v>297</v>
      </c>
      <c r="D375" s="43" t="s">
        <v>298</v>
      </c>
      <c r="E375" s="35" t="s">
        <v>211</v>
      </c>
      <c r="F375" s="39" t="s">
        <v>1442</v>
      </c>
      <c r="G375" s="43" t="s">
        <v>1435</v>
      </c>
      <c r="H375" s="44" t="s">
        <v>296</v>
      </c>
      <c r="I375" s="45" t="s">
        <v>576</v>
      </c>
      <c r="J375" s="36"/>
      <c r="K375" s="36"/>
      <c r="L375" s="45"/>
      <c r="M375" s="36" t="s">
        <v>521</v>
      </c>
      <c r="N375" s="40" t="n">
        <v>500</v>
      </c>
      <c r="O375" s="35"/>
      <c r="P375" s="35" t="s">
        <v>265</v>
      </c>
      <c r="Q375" s="35" t="s">
        <v>67</v>
      </c>
      <c r="R375" s="35" t="s">
        <v>144</v>
      </c>
      <c r="S375" s="42" t="n">
        <v>3</v>
      </c>
      <c r="T375" s="35" t="s">
        <v>665</v>
      </c>
      <c r="U375" s="35" t="s">
        <v>537</v>
      </c>
      <c r="V375" s="36" t="s">
        <v>284</v>
      </c>
      <c r="W375" s="36" t="s">
        <v>524</v>
      </c>
      <c r="X375" s="44" t="s">
        <v>856</v>
      </c>
      <c r="Y375" s="41" t="s">
        <v>1443</v>
      </c>
      <c r="Z375" s="47" t="n">
        <v>45210</v>
      </c>
      <c r="AA375" s="35" t="s">
        <v>526</v>
      </c>
    </row>
    <row r="376" customFormat="false" ht="34.5" hidden="false" customHeight="true" outlineLevel="0" collapsed="false">
      <c r="A376" s="34" t="n">
        <v>375</v>
      </c>
      <c r="B376" s="37" t="s">
        <v>291</v>
      </c>
      <c r="C376" s="45" t="s">
        <v>297</v>
      </c>
      <c r="D376" s="43" t="s">
        <v>298</v>
      </c>
      <c r="E376" s="35" t="s">
        <v>211</v>
      </c>
      <c r="F376" s="39" t="s">
        <v>1444</v>
      </c>
      <c r="G376" s="43" t="s">
        <v>1432</v>
      </c>
      <c r="H376" s="44" t="s">
        <v>296</v>
      </c>
      <c r="I376" s="45" t="s">
        <v>679</v>
      </c>
      <c r="J376" s="36"/>
      <c r="K376" s="36"/>
      <c r="L376" s="45"/>
      <c r="M376" s="36" t="s">
        <v>521</v>
      </c>
      <c r="N376" s="40" t="n">
        <v>1000</v>
      </c>
      <c r="O376" s="35"/>
      <c r="P376" s="35" t="s">
        <v>265</v>
      </c>
      <c r="Q376" s="35" t="s">
        <v>67</v>
      </c>
      <c r="R376" s="35" t="s">
        <v>68</v>
      </c>
      <c r="S376" s="42" t="n">
        <v>2</v>
      </c>
      <c r="T376" s="35" t="s">
        <v>98</v>
      </c>
      <c r="U376" s="35" t="s">
        <v>204</v>
      </c>
      <c r="V376" s="36" t="s">
        <v>226</v>
      </c>
      <c r="W376" s="36" t="s">
        <v>524</v>
      </c>
      <c r="X376" s="44" t="s">
        <v>847</v>
      </c>
      <c r="Y376" s="41" t="s">
        <v>1445</v>
      </c>
      <c r="Z376" s="47" t="n">
        <v>44362</v>
      </c>
      <c r="AA376" s="35" t="s">
        <v>526</v>
      </c>
    </row>
    <row r="377" customFormat="false" ht="34.5" hidden="false" customHeight="true" outlineLevel="0" collapsed="false">
      <c r="A377" s="34" t="n">
        <v>376</v>
      </c>
      <c r="B377" s="37" t="s">
        <v>291</v>
      </c>
      <c r="C377" s="45" t="s">
        <v>297</v>
      </c>
      <c r="D377" s="43" t="s">
        <v>298</v>
      </c>
      <c r="E377" s="35" t="s">
        <v>211</v>
      </c>
      <c r="F377" s="39" t="s">
        <v>1446</v>
      </c>
      <c r="G377" s="43" t="s">
        <v>1435</v>
      </c>
      <c r="H377" s="44" t="s">
        <v>296</v>
      </c>
      <c r="I377" s="45" t="s">
        <v>576</v>
      </c>
      <c r="J377" s="36"/>
      <c r="K377" s="36"/>
      <c r="L377" s="45"/>
      <c r="M377" s="36" t="s">
        <v>521</v>
      </c>
      <c r="N377" s="40" t="n">
        <v>500</v>
      </c>
      <c r="O377" s="35"/>
      <c r="P377" s="35" t="s">
        <v>265</v>
      </c>
      <c r="Q377" s="35" t="s">
        <v>67</v>
      </c>
      <c r="R377" s="35" t="s">
        <v>144</v>
      </c>
      <c r="S377" s="42" t="n">
        <v>3</v>
      </c>
      <c r="T377" s="35" t="s">
        <v>665</v>
      </c>
      <c r="U377" s="35" t="s">
        <v>537</v>
      </c>
      <c r="V377" s="36" t="s">
        <v>284</v>
      </c>
      <c r="W377" s="36" t="s">
        <v>524</v>
      </c>
      <c r="X377" s="44" t="s">
        <v>341</v>
      </c>
      <c r="Y377" s="41" t="s">
        <v>1447</v>
      </c>
      <c r="Z377" s="47" t="n">
        <v>45383</v>
      </c>
      <c r="AA377" s="35" t="s">
        <v>526</v>
      </c>
    </row>
    <row r="378" customFormat="false" ht="34.5" hidden="false" customHeight="true" outlineLevel="0" collapsed="false">
      <c r="A378" s="34" t="n">
        <v>377</v>
      </c>
      <c r="B378" s="37" t="s">
        <v>291</v>
      </c>
      <c r="C378" s="45" t="s">
        <v>297</v>
      </c>
      <c r="D378" s="43" t="s">
        <v>298</v>
      </c>
      <c r="E378" s="35" t="s">
        <v>211</v>
      </c>
      <c r="F378" s="39" t="s">
        <v>1448</v>
      </c>
      <c r="G378" s="43" t="s">
        <v>1435</v>
      </c>
      <c r="H378" s="44" t="s">
        <v>296</v>
      </c>
      <c r="I378" s="45" t="s">
        <v>576</v>
      </c>
      <c r="J378" s="36"/>
      <c r="K378" s="36"/>
      <c r="L378" s="45"/>
      <c r="M378" s="36" t="s">
        <v>521</v>
      </c>
      <c r="N378" s="40" t="n">
        <v>500</v>
      </c>
      <c r="O378" s="35"/>
      <c r="P378" s="35" t="s">
        <v>265</v>
      </c>
      <c r="Q378" s="35" t="s">
        <v>67</v>
      </c>
      <c r="R378" s="35" t="s">
        <v>144</v>
      </c>
      <c r="S378" s="42" t="n">
        <v>3</v>
      </c>
      <c r="T378" s="35" t="s">
        <v>665</v>
      </c>
      <c r="U378" s="35" t="s">
        <v>537</v>
      </c>
      <c r="V378" s="36" t="s">
        <v>284</v>
      </c>
      <c r="W378" s="36" t="s">
        <v>524</v>
      </c>
      <c r="X378" s="44" t="s">
        <v>847</v>
      </c>
      <c r="Y378" s="41" t="s">
        <v>1449</v>
      </c>
      <c r="Z378" s="47" t="n">
        <v>45503</v>
      </c>
      <c r="AA378" s="35" t="s">
        <v>526</v>
      </c>
    </row>
    <row r="379" customFormat="false" ht="34.5" hidden="false" customHeight="true" outlineLevel="0" collapsed="false">
      <c r="A379" s="34" t="n">
        <v>378</v>
      </c>
      <c r="B379" s="37" t="s">
        <v>291</v>
      </c>
      <c r="C379" s="45" t="s">
        <v>297</v>
      </c>
      <c r="D379" s="43" t="s">
        <v>298</v>
      </c>
      <c r="E379" s="35" t="s">
        <v>211</v>
      </c>
      <c r="F379" s="39" t="s">
        <v>1450</v>
      </c>
      <c r="G379" s="43" t="s">
        <v>1435</v>
      </c>
      <c r="H379" s="44" t="s">
        <v>296</v>
      </c>
      <c r="I379" s="45" t="s">
        <v>576</v>
      </c>
      <c r="J379" s="36"/>
      <c r="K379" s="36"/>
      <c r="L379" s="45"/>
      <c r="M379" s="36" t="s">
        <v>521</v>
      </c>
      <c r="N379" s="40" t="n">
        <v>500</v>
      </c>
      <c r="O379" s="35"/>
      <c r="P379" s="35" t="s">
        <v>265</v>
      </c>
      <c r="Q379" s="35" t="s">
        <v>67</v>
      </c>
      <c r="R379" s="35" t="s">
        <v>144</v>
      </c>
      <c r="S379" s="42" t="n">
        <v>3</v>
      </c>
      <c r="T379" s="35" t="s">
        <v>665</v>
      </c>
      <c r="U379" s="35" t="s">
        <v>537</v>
      </c>
      <c r="V379" s="36" t="s">
        <v>284</v>
      </c>
      <c r="W379" s="36" t="s">
        <v>524</v>
      </c>
      <c r="X379" s="44" t="s">
        <v>867</v>
      </c>
      <c r="Y379" s="41" t="s">
        <v>1451</v>
      </c>
      <c r="Z379" s="47" t="n">
        <v>45383</v>
      </c>
      <c r="AA379" s="35" t="s">
        <v>526</v>
      </c>
    </row>
    <row r="380" customFormat="false" ht="49.5" hidden="false" customHeight="true" outlineLevel="0" collapsed="false">
      <c r="A380" s="34" t="n">
        <v>379</v>
      </c>
      <c r="B380" s="37" t="s">
        <v>291</v>
      </c>
      <c r="C380" s="45" t="s">
        <v>1452</v>
      </c>
      <c r="D380" s="43" t="s">
        <v>1453</v>
      </c>
      <c r="E380" s="35" t="s">
        <v>211</v>
      </c>
      <c r="F380" s="39" t="s">
        <v>1454</v>
      </c>
      <c r="G380" s="43" t="s">
        <v>1455</v>
      </c>
      <c r="H380" s="44" t="s">
        <v>1456</v>
      </c>
      <c r="I380" s="45" t="s">
        <v>679</v>
      </c>
      <c r="J380" s="36"/>
      <c r="K380" s="36"/>
      <c r="L380" s="45"/>
      <c r="M380" s="36" t="s">
        <v>521</v>
      </c>
      <c r="N380" s="40" t="n">
        <v>2000</v>
      </c>
      <c r="O380" s="35"/>
      <c r="P380" s="35" t="s">
        <v>265</v>
      </c>
      <c r="Q380" s="35" t="s">
        <v>67</v>
      </c>
      <c r="R380" s="35" t="s">
        <v>68</v>
      </c>
      <c r="S380" s="42" t="n">
        <v>2</v>
      </c>
      <c r="T380" s="35" t="s">
        <v>64</v>
      </c>
      <c r="U380" s="35" t="s">
        <v>204</v>
      </c>
      <c r="V380" s="36" t="s">
        <v>284</v>
      </c>
      <c r="W380" s="36" t="s">
        <v>524</v>
      </c>
      <c r="X380" s="43" t="s">
        <v>861</v>
      </c>
      <c r="Y380" s="41" t="s">
        <v>1457</v>
      </c>
      <c r="Z380" s="47" t="n">
        <v>45383</v>
      </c>
      <c r="AA380" s="35" t="s">
        <v>526</v>
      </c>
    </row>
    <row r="381" customFormat="false" ht="49.5" hidden="false" customHeight="true" outlineLevel="0" collapsed="false">
      <c r="A381" s="34" t="n">
        <v>380</v>
      </c>
      <c r="B381" s="37" t="s">
        <v>291</v>
      </c>
      <c r="C381" s="45" t="s">
        <v>622</v>
      </c>
      <c r="D381" s="43" t="s">
        <v>623</v>
      </c>
      <c r="E381" s="35" t="s">
        <v>211</v>
      </c>
      <c r="F381" s="39" t="s">
        <v>1458</v>
      </c>
      <c r="G381" s="43" t="s">
        <v>1459</v>
      </c>
      <c r="H381" s="44" t="s">
        <v>1036</v>
      </c>
      <c r="I381" s="45" t="s">
        <v>529</v>
      </c>
      <c r="J381" s="36"/>
      <c r="K381" s="36"/>
      <c r="L381" s="45"/>
      <c r="M381" s="36" t="s">
        <v>521</v>
      </c>
      <c r="N381" s="40"/>
      <c r="O381" s="41" t="s">
        <v>1460</v>
      </c>
      <c r="P381" s="35" t="s">
        <v>1461</v>
      </c>
      <c r="Q381" s="35" t="s">
        <v>1462</v>
      </c>
      <c r="R381" s="35" t="s">
        <v>1463</v>
      </c>
      <c r="S381" s="42" t="n">
        <v>1</v>
      </c>
      <c r="T381" s="35" t="s">
        <v>127</v>
      </c>
      <c r="U381" s="35" t="s">
        <v>204</v>
      </c>
      <c r="V381" s="36" t="s">
        <v>205</v>
      </c>
      <c r="W381" s="36" t="s">
        <v>524</v>
      </c>
      <c r="X381" s="44" t="s">
        <v>267</v>
      </c>
      <c r="Y381" s="41" t="s">
        <v>1464</v>
      </c>
      <c r="Z381" s="47" t="n">
        <v>45238</v>
      </c>
      <c r="AA381" s="35" t="s">
        <v>526</v>
      </c>
    </row>
    <row r="382" customFormat="false" ht="49.5" hidden="false" customHeight="true" outlineLevel="0" collapsed="false">
      <c r="A382" s="34" t="n">
        <v>381</v>
      </c>
      <c r="B382" s="37" t="s">
        <v>291</v>
      </c>
      <c r="C382" s="45" t="s">
        <v>318</v>
      </c>
      <c r="D382" s="43" t="s">
        <v>319</v>
      </c>
      <c r="E382" s="35" t="s">
        <v>211</v>
      </c>
      <c r="F382" s="39" t="s">
        <v>313</v>
      </c>
      <c r="G382" s="43" t="s">
        <v>1465</v>
      </c>
      <c r="H382" s="44" t="s">
        <v>317</v>
      </c>
      <c r="I382" s="45" t="s">
        <v>576</v>
      </c>
      <c r="J382" s="36" t="s">
        <v>80</v>
      </c>
      <c r="K382" s="36"/>
      <c r="L382" s="45"/>
      <c r="M382" s="36" t="s">
        <v>521</v>
      </c>
      <c r="N382" s="40" t="n">
        <v>2000</v>
      </c>
      <c r="O382" s="35"/>
      <c r="P382" s="35" t="s">
        <v>265</v>
      </c>
      <c r="Q382" s="35" t="s">
        <v>314</v>
      </c>
      <c r="R382" s="41" t="s">
        <v>1466</v>
      </c>
      <c r="S382" s="42" t="n">
        <v>2</v>
      </c>
      <c r="T382" s="35" t="s">
        <v>90</v>
      </c>
      <c r="U382" s="35" t="s">
        <v>204</v>
      </c>
      <c r="V382" s="36" t="s">
        <v>205</v>
      </c>
      <c r="W382" s="36" t="s">
        <v>524</v>
      </c>
      <c r="X382" s="44" t="s">
        <v>210</v>
      </c>
      <c r="Y382" s="41" t="s">
        <v>1467</v>
      </c>
      <c r="Z382" s="47" t="n">
        <v>43907</v>
      </c>
      <c r="AA382" s="35" t="s">
        <v>578</v>
      </c>
    </row>
    <row r="383" customFormat="false" ht="49.5" hidden="false" customHeight="true" outlineLevel="0" collapsed="false">
      <c r="A383" s="34" t="n">
        <v>382</v>
      </c>
      <c r="B383" s="37" t="s">
        <v>291</v>
      </c>
      <c r="C383" s="45" t="s">
        <v>318</v>
      </c>
      <c r="D383" s="43" t="s">
        <v>319</v>
      </c>
      <c r="E383" s="35" t="s">
        <v>211</v>
      </c>
      <c r="F383" s="39" t="s">
        <v>313</v>
      </c>
      <c r="G383" s="43" t="s">
        <v>1465</v>
      </c>
      <c r="H383" s="44" t="s">
        <v>317</v>
      </c>
      <c r="I383" s="45" t="s">
        <v>576</v>
      </c>
      <c r="J383" s="36" t="s">
        <v>80</v>
      </c>
      <c r="K383" s="36"/>
      <c r="L383" s="45"/>
      <c r="M383" s="36" t="s">
        <v>521</v>
      </c>
      <c r="N383" s="40" t="n">
        <v>2000</v>
      </c>
      <c r="O383" s="35"/>
      <c r="P383" s="35" t="s">
        <v>265</v>
      </c>
      <c r="Q383" s="35" t="s">
        <v>314</v>
      </c>
      <c r="R383" s="41" t="s">
        <v>1466</v>
      </c>
      <c r="S383" s="42" t="n">
        <v>2</v>
      </c>
      <c r="T383" s="35" t="s">
        <v>90</v>
      </c>
      <c r="U383" s="35" t="s">
        <v>204</v>
      </c>
      <c r="V383" s="36" t="s">
        <v>205</v>
      </c>
      <c r="W383" s="36" t="s">
        <v>826</v>
      </c>
      <c r="X383" s="44" t="s">
        <v>210</v>
      </c>
      <c r="Y383" s="41" t="s">
        <v>1468</v>
      </c>
      <c r="Z383" s="47" t="n">
        <v>38765</v>
      </c>
      <c r="AA383" s="35" t="s">
        <v>526</v>
      </c>
    </row>
    <row r="384" customFormat="false" ht="49.5" hidden="false" customHeight="true" outlineLevel="0" collapsed="false">
      <c r="A384" s="34" t="n">
        <v>383</v>
      </c>
      <c r="B384" s="37" t="s">
        <v>291</v>
      </c>
      <c r="C384" s="45" t="s">
        <v>318</v>
      </c>
      <c r="D384" s="43" t="s">
        <v>319</v>
      </c>
      <c r="E384" s="35" t="s">
        <v>211</v>
      </c>
      <c r="F384" s="39" t="s">
        <v>313</v>
      </c>
      <c r="G384" s="43" t="s">
        <v>1465</v>
      </c>
      <c r="H384" s="44" t="s">
        <v>317</v>
      </c>
      <c r="I384" s="45" t="s">
        <v>576</v>
      </c>
      <c r="J384" s="36" t="s">
        <v>80</v>
      </c>
      <c r="K384" s="36"/>
      <c r="L384" s="45"/>
      <c r="M384" s="36" t="s">
        <v>521</v>
      </c>
      <c r="N384" s="40" t="n">
        <v>2000</v>
      </c>
      <c r="O384" s="41" t="s">
        <v>1469</v>
      </c>
      <c r="P384" s="35" t="s">
        <v>265</v>
      </c>
      <c r="Q384" s="35" t="s">
        <v>314</v>
      </c>
      <c r="R384" s="41" t="s">
        <v>1466</v>
      </c>
      <c r="S384" s="42" t="n">
        <v>2</v>
      </c>
      <c r="T384" s="35" t="s">
        <v>90</v>
      </c>
      <c r="U384" s="35" t="s">
        <v>204</v>
      </c>
      <c r="V384" s="36" t="s">
        <v>205</v>
      </c>
      <c r="W384" s="36" t="s">
        <v>826</v>
      </c>
      <c r="X384" s="44" t="s">
        <v>321</v>
      </c>
      <c r="Y384" s="41" t="s">
        <v>1470</v>
      </c>
      <c r="Z384" s="47" t="n">
        <v>38625</v>
      </c>
      <c r="AA384" s="35" t="s">
        <v>526</v>
      </c>
    </row>
    <row r="385" customFormat="false" ht="49.5" hidden="false" customHeight="true" outlineLevel="0" collapsed="false">
      <c r="A385" s="34" t="n">
        <v>384</v>
      </c>
      <c r="B385" s="37" t="s">
        <v>291</v>
      </c>
      <c r="C385" s="45" t="s">
        <v>367</v>
      </c>
      <c r="D385" s="43" t="s">
        <v>368</v>
      </c>
      <c r="E385" s="35" t="s">
        <v>211</v>
      </c>
      <c r="F385" s="39" t="s">
        <v>1073</v>
      </c>
      <c r="G385" s="43" t="s">
        <v>1074</v>
      </c>
      <c r="H385" s="44" t="s">
        <v>1064</v>
      </c>
      <c r="I385" s="45" t="s">
        <v>1031</v>
      </c>
      <c r="J385" s="36"/>
      <c r="K385" s="36"/>
      <c r="L385" s="45"/>
      <c r="M385" s="36" t="s">
        <v>521</v>
      </c>
      <c r="N385" s="40" t="n">
        <v>2000</v>
      </c>
      <c r="O385" s="35"/>
      <c r="P385" s="35" t="s">
        <v>265</v>
      </c>
      <c r="Q385" s="35" t="s">
        <v>67</v>
      </c>
      <c r="R385" s="35" t="s">
        <v>144</v>
      </c>
      <c r="S385" s="42" t="n">
        <v>2</v>
      </c>
      <c r="T385" s="35" t="s">
        <v>246</v>
      </c>
      <c r="U385" s="35" t="s">
        <v>204</v>
      </c>
      <c r="V385" s="36" t="s">
        <v>226</v>
      </c>
      <c r="W385" s="36" t="s">
        <v>524</v>
      </c>
      <c r="X385" s="44" t="s">
        <v>267</v>
      </c>
      <c r="Y385" s="41" t="s">
        <v>1075</v>
      </c>
      <c r="Z385" s="47" t="n">
        <v>43235</v>
      </c>
      <c r="AA385" s="35" t="s">
        <v>526</v>
      </c>
    </row>
    <row r="386" customFormat="false" ht="79.5" hidden="false" customHeight="true" outlineLevel="0" collapsed="false">
      <c r="A386" s="34" t="n">
        <v>385</v>
      </c>
      <c r="B386" s="37" t="s">
        <v>291</v>
      </c>
      <c r="C386" s="45" t="s">
        <v>276</v>
      </c>
      <c r="D386" s="43" t="s">
        <v>277</v>
      </c>
      <c r="E386" s="35" t="s">
        <v>211</v>
      </c>
      <c r="F386" s="39" t="s">
        <v>274</v>
      </c>
      <c r="G386" s="43" t="s">
        <v>1090</v>
      </c>
      <c r="H386" s="44" t="s">
        <v>275</v>
      </c>
      <c r="I386" s="45" t="s">
        <v>1091</v>
      </c>
      <c r="J386" s="36" t="s">
        <v>80</v>
      </c>
      <c r="K386" s="36"/>
      <c r="L386" s="45" t="s">
        <v>541</v>
      </c>
      <c r="M386" s="36" t="s">
        <v>521</v>
      </c>
      <c r="N386" s="40" t="n">
        <v>1000</v>
      </c>
      <c r="O386" s="35"/>
      <c r="P386" s="35" t="s">
        <v>265</v>
      </c>
      <c r="Q386" s="35" t="s">
        <v>67</v>
      </c>
      <c r="R386" s="35" t="s">
        <v>144</v>
      </c>
      <c r="S386" s="42" t="n">
        <v>2</v>
      </c>
      <c r="T386" s="35" t="s">
        <v>246</v>
      </c>
      <c r="U386" s="35" t="s">
        <v>204</v>
      </c>
      <c r="V386" s="36" t="s">
        <v>226</v>
      </c>
      <c r="W386" s="36" t="s">
        <v>524</v>
      </c>
      <c r="X386" s="44" t="s">
        <v>267</v>
      </c>
      <c r="Y386" s="41" t="s">
        <v>279</v>
      </c>
      <c r="Z386" s="47" t="n">
        <v>45516</v>
      </c>
      <c r="AA386" s="35" t="s">
        <v>578</v>
      </c>
    </row>
    <row r="387" customFormat="false" ht="34.5" hidden="false" customHeight="true" outlineLevel="0" collapsed="false">
      <c r="A387" s="34" t="n">
        <v>386</v>
      </c>
      <c r="B387" s="37" t="s">
        <v>291</v>
      </c>
      <c r="C387" s="45" t="s">
        <v>1092</v>
      </c>
      <c r="D387" s="43" t="s">
        <v>1093</v>
      </c>
      <c r="E387" s="35" t="s">
        <v>211</v>
      </c>
      <c r="F387" s="39" t="s">
        <v>1094</v>
      </c>
      <c r="G387" s="43" t="s">
        <v>1095</v>
      </c>
      <c r="H387" s="44" t="s">
        <v>1096</v>
      </c>
      <c r="I387" s="45" t="s">
        <v>576</v>
      </c>
      <c r="J387" s="36"/>
      <c r="K387" s="36"/>
      <c r="L387" s="45"/>
      <c r="M387" s="36" t="s">
        <v>521</v>
      </c>
      <c r="N387" s="40" t="n">
        <v>2000</v>
      </c>
      <c r="O387" s="35"/>
      <c r="P387" s="35" t="s">
        <v>265</v>
      </c>
      <c r="Q387" s="35" t="s">
        <v>67</v>
      </c>
      <c r="R387" s="35" t="s">
        <v>68</v>
      </c>
      <c r="S387" s="42" t="n">
        <v>2</v>
      </c>
      <c r="T387" s="35" t="s">
        <v>64</v>
      </c>
      <c r="U387" s="35" t="s">
        <v>537</v>
      </c>
      <c r="V387" s="36" t="s">
        <v>205</v>
      </c>
      <c r="W387" s="36" t="s">
        <v>524</v>
      </c>
      <c r="X387" s="44" t="s">
        <v>267</v>
      </c>
      <c r="Y387" s="41" t="s">
        <v>1097</v>
      </c>
      <c r="Z387" s="47" t="n">
        <v>44067</v>
      </c>
      <c r="AA387" s="35" t="s">
        <v>526</v>
      </c>
    </row>
    <row r="388" customFormat="false" ht="34.5" hidden="false" customHeight="true" outlineLevel="0" collapsed="false">
      <c r="A388" s="34" t="n">
        <v>387</v>
      </c>
      <c r="B388" s="37" t="s">
        <v>291</v>
      </c>
      <c r="C388" s="45" t="s">
        <v>238</v>
      </c>
      <c r="D388" s="43" t="s">
        <v>239</v>
      </c>
      <c r="E388" s="35" t="s">
        <v>211</v>
      </c>
      <c r="F388" s="39" t="s">
        <v>234</v>
      </c>
      <c r="G388" s="43" t="s">
        <v>1122</v>
      </c>
      <c r="H388" s="44" t="s">
        <v>1123</v>
      </c>
      <c r="I388" s="45" t="s">
        <v>688</v>
      </c>
      <c r="J388" s="36" t="s">
        <v>80</v>
      </c>
      <c r="K388" s="36"/>
      <c r="L388" s="45" t="s">
        <v>527</v>
      </c>
      <c r="M388" s="36" t="s">
        <v>521</v>
      </c>
      <c r="N388" s="40" t="n">
        <v>2000</v>
      </c>
      <c r="O388" s="35"/>
      <c r="P388" s="35" t="s">
        <v>265</v>
      </c>
      <c r="Q388" s="35" t="s">
        <v>67</v>
      </c>
      <c r="R388" s="35" t="s">
        <v>68</v>
      </c>
      <c r="S388" s="42" t="n">
        <v>3</v>
      </c>
      <c r="T388" s="35" t="s">
        <v>98</v>
      </c>
      <c r="U388" s="35" t="s">
        <v>204</v>
      </c>
      <c r="V388" s="36" t="s">
        <v>205</v>
      </c>
      <c r="W388" s="36" t="s">
        <v>524</v>
      </c>
      <c r="X388" s="44" t="s">
        <v>267</v>
      </c>
      <c r="Y388" s="41" t="s">
        <v>269</v>
      </c>
      <c r="Z388" s="47" t="n">
        <v>36187</v>
      </c>
      <c r="AA388" s="35" t="s">
        <v>578</v>
      </c>
    </row>
    <row r="389" customFormat="false" ht="34.5" hidden="false" customHeight="true" outlineLevel="0" collapsed="false">
      <c r="A389" s="34" t="n">
        <v>388</v>
      </c>
      <c r="B389" s="37" t="s">
        <v>291</v>
      </c>
      <c r="C389" s="45" t="s">
        <v>238</v>
      </c>
      <c r="D389" s="43" t="s">
        <v>239</v>
      </c>
      <c r="E389" s="35" t="s">
        <v>211</v>
      </c>
      <c r="F389" s="39" t="s">
        <v>728</v>
      </c>
      <c r="G389" s="43" t="s">
        <v>1122</v>
      </c>
      <c r="H389" s="44" t="s">
        <v>1123</v>
      </c>
      <c r="I389" s="45" t="s">
        <v>688</v>
      </c>
      <c r="J389" s="36" t="s">
        <v>80</v>
      </c>
      <c r="K389" s="36"/>
      <c r="L389" s="45"/>
      <c r="M389" s="36" t="s">
        <v>521</v>
      </c>
      <c r="N389" s="40" t="n">
        <v>2000</v>
      </c>
      <c r="O389" s="35"/>
      <c r="P389" s="35" t="s">
        <v>265</v>
      </c>
      <c r="Q389" s="35" t="s">
        <v>67</v>
      </c>
      <c r="R389" s="35" t="s">
        <v>68</v>
      </c>
      <c r="S389" s="42" t="n">
        <v>3</v>
      </c>
      <c r="T389" s="35" t="s">
        <v>98</v>
      </c>
      <c r="U389" s="35" t="s">
        <v>204</v>
      </c>
      <c r="V389" s="36" t="s">
        <v>205</v>
      </c>
      <c r="W389" s="36" t="s">
        <v>524</v>
      </c>
      <c r="X389" s="44" t="s">
        <v>875</v>
      </c>
      <c r="Y389" s="41" t="s">
        <v>1471</v>
      </c>
      <c r="Z389" s="47" t="n">
        <v>41512</v>
      </c>
      <c r="AA389" s="35" t="s">
        <v>578</v>
      </c>
    </row>
    <row r="390" customFormat="false" ht="34.5" hidden="false" customHeight="true" outlineLevel="0" collapsed="false">
      <c r="A390" s="34" t="n">
        <v>389</v>
      </c>
      <c r="B390" s="37" t="s">
        <v>291</v>
      </c>
      <c r="C390" s="45" t="s">
        <v>238</v>
      </c>
      <c r="D390" s="43" t="s">
        <v>239</v>
      </c>
      <c r="E390" s="35" t="s">
        <v>211</v>
      </c>
      <c r="F390" s="39" t="s">
        <v>337</v>
      </c>
      <c r="G390" s="43" t="s">
        <v>1472</v>
      </c>
      <c r="H390" s="44" t="s">
        <v>339</v>
      </c>
      <c r="I390" s="45" t="s">
        <v>576</v>
      </c>
      <c r="J390" s="36"/>
      <c r="K390" s="36"/>
      <c r="L390" s="45"/>
      <c r="M390" s="36" t="s">
        <v>521</v>
      </c>
      <c r="N390" s="40" t="n">
        <v>2000</v>
      </c>
      <c r="O390" s="35"/>
      <c r="P390" s="35" t="s">
        <v>265</v>
      </c>
      <c r="Q390" s="35" t="s">
        <v>67</v>
      </c>
      <c r="R390" s="35" t="s">
        <v>68</v>
      </c>
      <c r="S390" s="42" t="n">
        <v>3</v>
      </c>
      <c r="T390" s="35" t="s">
        <v>90</v>
      </c>
      <c r="U390" s="35" t="s">
        <v>204</v>
      </c>
      <c r="V390" s="36" t="s">
        <v>205</v>
      </c>
      <c r="W390" s="36" t="s">
        <v>524</v>
      </c>
      <c r="X390" s="44" t="s">
        <v>341</v>
      </c>
      <c r="Y390" s="41" t="s">
        <v>342</v>
      </c>
      <c r="Z390" s="47" t="n">
        <v>41540</v>
      </c>
      <c r="AA390" s="35" t="s">
        <v>526</v>
      </c>
    </row>
    <row r="391" customFormat="false" ht="34.5" hidden="false" customHeight="true" outlineLevel="0" collapsed="false">
      <c r="A391" s="34" t="n">
        <v>390</v>
      </c>
      <c r="B391" s="37" t="s">
        <v>291</v>
      </c>
      <c r="C391" s="45" t="s">
        <v>238</v>
      </c>
      <c r="D391" s="43" t="s">
        <v>239</v>
      </c>
      <c r="E391" s="35" t="s">
        <v>211</v>
      </c>
      <c r="F391" s="39" t="s">
        <v>1473</v>
      </c>
      <c r="G391" s="43" t="s">
        <v>1472</v>
      </c>
      <c r="H391" s="44" t="s">
        <v>339</v>
      </c>
      <c r="I391" s="45" t="s">
        <v>576</v>
      </c>
      <c r="J391" s="36"/>
      <c r="K391" s="36"/>
      <c r="L391" s="45"/>
      <c r="M391" s="36" t="s">
        <v>521</v>
      </c>
      <c r="N391" s="40" t="n">
        <v>2000</v>
      </c>
      <c r="O391" s="35"/>
      <c r="P391" s="35" t="s">
        <v>265</v>
      </c>
      <c r="Q391" s="35" t="s">
        <v>67</v>
      </c>
      <c r="R391" s="35" t="s">
        <v>68</v>
      </c>
      <c r="S391" s="42" t="n">
        <v>3</v>
      </c>
      <c r="T391" s="35" t="s">
        <v>90</v>
      </c>
      <c r="U391" s="35" t="s">
        <v>204</v>
      </c>
      <c r="V391" s="36" t="s">
        <v>205</v>
      </c>
      <c r="W391" s="36" t="s">
        <v>524</v>
      </c>
      <c r="X391" s="43" t="s">
        <v>369</v>
      </c>
      <c r="Y391" s="41" t="s">
        <v>1474</v>
      </c>
      <c r="Z391" s="47" t="n">
        <v>39814</v>
      </c>
      <c r="AA391" s="35" t="s">
        <v>526</v>
      </c>
    </row>
    <row r="392" customFormat="false" ht="34.5" hidden="false" customHeight="true" outlineLevel="0" collapsed="false">
      <c r="A392" s="34" t="n">
        <v>391</v>
      </c>
      <c r="B392" s="37" t="s">
        <v>291</v>
      </c>
      <c r="C392" s="45" t="s">
        <v>238</v>
      </c>
      <c r="D392" s="43" t="s">
        <v>239</v>
      </c>
      <c r="E392" s="35" t="s">
        <v>211</v>
      </c>
      <c r="F392" s="39" t="s">
        <v>729</v>
      </c>
      <c r="G392" s="43" t="s">
        <v>1122</v>
      </c>
      <c r="H392" s="44" t="s">
        <v>1123</v>
      </c>
      <c r="I392" s="45" t="s">
        <v>688</v>
      </c>
      <c r="J392" s="36"/>
      <c r="K392" s="36"/>
      <c r="L392" s="45"/>
      <c r="M392" s="36" t="s">
        <v>521</v>
      </c>
      <c r="N392" s="40" t="n">
        <v>2000</v>
      </c>
      <c r="O392" s="35"/>
      <c r="P392" s="35" t="s">
        <v>265</v>
      </c>
      <c r="Q392" s="35" t="s">
        <v>67</v>
      </c>
      <c r="R392" s="35" t="s">
        <v>68</v>
      </c>
      <c r="S392" s="42" t="n">
        <v>3</v>
      </c>
      <c r="T392" s="35" t="s">
        <v>98</v>
      </c>
      <c r="U392" s="35" t="s">
        <v>204</v>
      </c>
      <c r="V392" s="36" t="s">
        <v>205</v>
      </c>
      <c r="W392" s="36" t="s">
        <v>524</v>
      </c>
      <c r="X392" s="44" t="s">
        <v>221</v>
      </c>
      <c r="Y392" s="41" t="s">
        <v>1475</v>
      </c>
      <c r="Z392" s="47" t="n">
        <v>36187</v>
      </c>
      <c r="AA392" s="35" t="s">
        <v>526</v>
      </c>
    </row>
    <row r="393" customFormat="false" ht="34.5" hidden="false" customHeight="true" outlineLevel="0" collapsed="false">
      <c r="A393" s="34" t="n">
        <v>392</v>
      </c>
      <c r="B393" s="37" t="s">
        <v>291</v>
      </c>
      <c r="C393" s="45" t="s">
        <v>238</v>
      </c>
      <c r="D393" s="43" t="s">
        <v>239</v>
      </c>
      <c r="E393" s="35" t="s">
        <v>211</v>
      </c>
      <c r="F393" s="39" t="s">
        <v>1476</v>
      </c>
      <c r="G393" s="43" t="s">
        <v>1477</v>
      </c>
      <c r="H393" s="44" t="s">
        <v>328</v>
      </c>
      <c r="I393" s="45" t="s">
        <v>688</v>
      </c>
      <c r="J393" s="36"/>
      <c r="K393" s="36"/>
      <c r="L393" s="45"/>
      <c r="M393" s="36" t="s">
        <v>521</v>
      </c>
      <c r="N393" s="40" t="n">
        <v>2000</v>
      </c>
      <c r="O393" s="35"/>
      <c r="P393" s="35" t="s">
        <v>265</v>
      </c>
      <c r="Q393" s="35" t="s">
        <v>67</v>
      </c>
      <c r="R393" s="35" t="s">
        <v>91</v>
      </c>
      <c r="S393" s="42" t="n">
        <v>3</v>
      </c>
      <c r="T393" s="35" t="s">
        <v>64</v>
      </c>
      <c r="U393" s="35" t="s">
        <v>537</v>
      </c>
      <c r="V393" s="36" t="s">
        <v>205</v>
      </c>
      <c r="W393" s="36" t="s">
        <v>524</v>
      </c>
      <c r="X393" s="43" t="s">
        <v>906</v>
      </c>
      <c r="Y393" s="41" t="s">
        <v>1478</v>
      </c>
      <c r="Z393" s="47" t="n">
        <v>44188</v>
      </c>
      <c r="AA393" s="35" t="s">
        <v>526</v>
      </c>
    </row>
    <row r="394" customFormat="false" ht="34.5" hidden="false" customHeight="true" outlineLevel="0" collapsed="false">
      <c r="A394" s="34" t="n">
        <v>393</v>
      </c>
      <c r="B394" s="37" t="s">
        <v>291</v>
      </c>
      <c r="C394" s="45" t="s">
        <v>238</v>
      </c>
      <c r="D394" s="43" t="s">
        <v>239</v>
      </c>
      <c r="E394" s="35" t="s">
        <v>211</v>
      </c>
      <c r="F394" s="39" t="s">
        <v>1479</v>
      </c>
      <c r="G394" s="43" t="s">
        <v>1480</v>
      </c>
      <c r="H394" s="44" t="s">
        <v>1126</v>
      </c>
      <c r="I394" s="45" t="s">
        <v>576</v>
      </c>
      <c r="J394" s="36" t="s">
        <v>80</v>
      </c>
      <c r="K394" s="36"/>
      <c r="L394" s="45"/>
      <c r="M394" s="36" t="s">
        <v>521</v>
      </c>
      <c r="N394" s="40" t="n">
        <v>1000</v>
      </c>
      <c r="O394" s="41" t="s">
        <v>1469</v>
      </c>
      <c r="P394" s="35" t="s">
        <v>265</v>
      </c>
      <c r="Q394" s="35" t="s">
        <v>314</v>
      </c>
      <c r="R394" s="41" t="s">
        <v>1481</v>
      </c>
      <c r="S394" s="42" t="n">
        <v>2</v>
      </c>
      <c r="T394" s="35" t="s">
        <v>98</v>
      </c>
      <c r="U394" s="35" t="s">
        <v>204</v>
      </c>
      <c r="V394" s="36" t="s">
        <v>205</v>
      </c>
      <c r="W394" s="36" t="s">
        <v>524</v>
      </c>
      <c r="X394" s="44" t="s">
        <v>210</v>
      </c>
      <c r="Y394" s="41" t="s">
        <v>1482</v>
      </c>
      <c r="Z394" s="47" t="n">
        <v>37636</v>
      </c>
      <c r="AA394" s="35" t="s">
        <v>578</v>
      </c>
    </row>
    <row r="395" customFormat="false" ht="34.5" hidden="false" customHeight="true" outlineLevel="0" collapsed="false">
      <c r="A395" s="34" t="n">
        <v>394</v>
      </c>
      <c r="B395" s="37" t="s">
        <v>291</v>
      </c>
      <c r="C395" s="45" t="s">
        <v>238</v>
      </c>
      <c r="D395" s="43" t="s">
        <v>239</v>
      </c>
      <c r="E395" s="35" t="s">
        <v>211</v>
      </c>
      <c r="F395" s="39" t="s">
        <v>730</v>
      </c>
      <c r="G395" s="43" t="s">
        <v>1122</v>
      </c>
      <c r="H395" s="44" t="s">
        <v>1123</v>
      </c>
      <c r="I395" s="45" t="s">
        <v>688</v>
      </c>
      <c r="J395" s="36"/>
      <c r="K395" s="36"/>
      <c r="L395" s="45"/>
      <c r="M395" s="36" t="s">
        <v>521</v>
      </c>
      <c r="N395" s="40" t="n">
        <v>2000</v>
      </c>
      <c r="O395" s="35"/>
      <c r="P395" s="35" t="s">
        <v>265</v>
      </c>
      <c r="Q395" s="35" t="s">
        <v>67</v>
      </c>
      <c r="R395" s="35" t="s">
        <v>68</v>
      </c>
      <c r="S395" s="42" t="n">
        <v>3</v>
      </c>
      <c r="T395" s="35" t="s">
        <v>98</v>
      </c>
      <c r="U395" s="35" t="s">
        <v>204</v>
      </c>
      <c r="V395" s="36" t="s">
        <v>205</v>
      </c>
      <c r="W395" s="36" t="s">
        <v>524</v>
      </c>
      <c r="X395" s="43" t="s">
        <v>861</v>
      </c>
      <c r="Y395" s="41" t="s">
        <v>1483</v>
      </c>
      <c r="Z395" s="47" t="n">
        <v>41100</v>
      </c>
      <c r="AA395" s="35" t="s">
        <v>526</v>
      </c>
    </row>
    <row r="396" customFormat="false" ht="34.5" hidden="false" customHeight="true" outlineLevel="0" collapsed="false">
      <c r="A396" s="34" t="n">
        <v>395</v>
      </c>
      <c r="B396" s="37" t="s">
        <v>291</v>
      </c>
      <c r="C396" s="45" t="s">
        <v>238</v>
      </c>
      <c r="D396" s="43" t="s">
        <v>239</v>
      </c>
      <c r="E396" s="35" t="s">
        <v>211</v>
      </c>
      <c r="F396" s="39" t="s">
        <v>731</v>
      </c>
      <c r="G396" s="43" t="s">
        <v>1122</v>
      </c>
      <c r="H396" s="44" t="s">
        <v>1123</v>
      </c>
      <c r="I396" s="45" t="s">
        <v>688</v>
      </c>
      <c r="J396" s="36"/>
      <c r="K396" s="36"/>
      <c r="L396" s="45"/>
      <c r="M396" s="36" t="s">
        <v>521</v>
      </c>
      <c r="N396" s="40" t="n">
        <v>2000</v>
      </c>
      <c r="O396" s="35"/>
      <c r="P396" s="35" t="s">
        <v>265</v>
      </c>
      <c r="Q396" s="35" t="s">
        <v>67</v>
      </c>
      <c r="R396" s="35" t="s">
        <v>68</v>
      </c>
      <c r="S396" s="42" t="n">
        <v>3</v>
      </c>
      <c r="T396" s="35" t="s">
        <v>98</v>
      </c>
      <c r="U396" s="35" t="s">
        <v>204</v>
      </c>
      <c r="V396" s="36" t="s">
        <v>205</v>
      </c>
      <c r="W396" s="36" t="s">
        <v>524</v>
      </c>
      <c r="X396" s="44" t="s">
        <v>834</v>
      </c>
      <c r="Y396" s="41" t="s">
        <v>1484</v>
      </c>
      <c r="Z396" s="47" t="n">
        <v>45363</v>
      </c>
      <c r="AA396" s="35" t="s">
        <v>526</v>
      </c>
    </row>
    <row r="397" customFormat="false" ht="34.5" hidden="false" customHeight="true" outlineLevel="0" collapsed="false">
      <c r="A397" s="34" t="n">
        <v>396</v>
      </c>
      <c r="B397" s="37" t="s">
        <v>291</v>
      </c>
      <c r="C397" s="45" t="s">
        <v>238</v>
      </c>
      <c r="D397" s="43" t="s">
        <v>239</v>
      </c>
      <c r="E397" s="35" t="s">
        <v>211</v>
      </c>
      <c r="F397" s="39" t="s">
        <v>732</v>
      </c>
      <c r="G397" s="43" t="s">
        <v>1122</v>
      </c>
      <c r="H397" s="44" t="s">
        <v>1123</v>
      </c>
      <c r="I397" s="45" t="s">
        <v>688</v>
      </c>
      <c r="J397" s="36"/>
      <c r="K397" s="36"/>
      <c r="L397" s="45"/>
      <c r="M397" s="36" t="s">
        <v>521</v>
      </c>
      <c r="N397" s="40" t="n">
        <v>2000</v>
      </c>
      <c r="O397" s="35"/>
      <c r="P397" s="35" t="s">
        <v>265</v>
      </c>
      <c r="Q397" s="35" t="s">
        <v>67</v>
      </c>
      <c r="R397" s="35" t="s">
        <v>68</v>
      </c>
      <c r="S397" s="42" t="n">
        <v>3</v>
      </c>
      <c r="T397" s="35" t="s">
        <v>98</v>
      </c>
      <c r="U397" s="35" t="s">
        <v>204</v>
      </c>
      <c r="V397" s="36" t="s">
        <v>205</v>
      </c>
      <c r="W397" s="36" t="s">
        <v>826</v>
      </c>
      <c r="X397" s="44" t="s">
        <v>847</v>
      </c>
      <c r="Y397" s="41" t="s">
        <v>1485</v>
      </c>
      <c r="Z397" s="47" t="n">
        <v>45629</v>
      </c>
      <c r="AA397" s="35" t="s">
        <v>526</v>
      </c>
    </row>
    <row r="398" customFormat="false" ht="34.5" hidden="false" customHeight="true" outlineLevel="0" collapsed="false">
      <c r="A398" s="34" t="n">
        <v>397</v>
      </c>
      <c r="B398" s="37" t="s">
        <v>291</v>
      </c>
      <c r="C398" s="45" t="s">
        <v>238</v>
      </c>
      <c r="D398" s="43" t="s">
        <v>239</v>
      </c>
      <c r="E398" s="35" t="s">
        <v>211</v>
      </c>
      <c r="F398" s="39" t="s">
        <v>732</v>
      </c>
      <c r="G398" s="43" t="s">
        <v>1122</v>
      </c>
      <c r="H398" s="44" t="s">
        <v>1123</v>
      </c>
      <c r="I398" s="45" t="s">
        <v>688</v>
      </c>
      <c r="J398" s="36"/>
      <c r="K398" s="36"/>
      <c r="L398" s="45"/>
      <c r="M398" s="36" t="s">
        <v>521</v>
      </c>
      <c r="N398" s="40" t="n">
        <v>2000</v>
      </c>
      <c r="O398" s="35"/>
      <c r="P398" s="35" t="s">
        <v>265</v>
      </c>
      <c r="Q398" s="35" t="s">
        <v>67</v>
      </c>
      <c r="R398" s="35" t="s">
        <v>68</v>
      </c>
      <c r="S398" s="42" t="n">
        <v>3</v>
      </c>
      <c r="T398" s="35" t="s">
        <v>98</v>
      </c>
      <c r="U398" s="35" t="s">
        <v>204</v>
      </c>
      <c r="V398" s="36" t="s">
        <v>205</v>
      </c>
      <c r="W398" s="36" t="s">
        <v>524</v>
      </c>
      <c r="X398" s="44" t="s">
        <v>856</v>
      </c>
      <c r="Y398" s="41" t="s">
        <v>1486</v>
      </c>
      <c r="Z398" s="47" t="n">
        <v>44774</v>
      </c>
      <c r="AA398" s="35" t="s">
        <v>526</v>
      </c>
    </row>
    <row r="399" customFormat="false" ht="34.5" hidden="false" customHeight="true" outlineLevel="0" collapsed="false">
      <c r="A399" s="34" t="n">
        <v>398</v>
      </c>
      <c r="B399" s="37" t="s">
        <v>291</v>
      </c>
      <c r="C399" s="45" t="s">
        <v>238</v>
      </c>
      <c r="D399" s="43" t="s">
        <v>239</v>
      </c>
      <c r="E399" s="35" t="s">
        <v>211</v>
      </c>
      <c r="F399" s="39" t="s">
        <v>732</v>
      </c>
      <c r="G399" s="43" t="s">
        <v>1122</v>
      </c>
      <c r="H399" s="44" t="s">
        <v>1123</v>
      </c>
      <c r="I399" s="45" t="s">
        <v>688</v>
      </c>
      <c r="J399" s="36"/>
      <c r="K399" s="36"/>
      <c r="L399" s="45"/>
      <c r="M399" s="36" t="s">
        <v>521</v>
      </c>
      <c r="N399" s="40" t="n">
        <v>2000</v>
      </c>
      <c r="O399" s="35"/>
      <c r="P399" s="35" t="s">
        <v>265</v>
      </c>
      <c r="Q399" s="35" t="s">
        <v>67</v>
      </c>
      <c r="R399" s="35" t="s">
        <v>68</v>
      </c>
      <c r="S399" s="42" t="n">
        <v>3</v>
      </c>
      <c r="T399" s="35" t="s">
        <v>98</v>
      </c>
      <c r="U399" s="35" t="s">
        <v>204</v>
      </c>
      <c r="V399" s="36" t="s">
        <v>205</v>
      </c>
      <c r="W399" s="36" t="s">
        <v>524</v>
      </c>
      <c r="X399" s="44" t="s">
        <v>847</v>
      </c>
      <c r="Y399" s="41" t="s">
        <v>1487</v>
      </c>
      <c r="Z399" s="47" t="n">
        <v>45246</v>
      </c>
      <c r="AA399" s="35" t="s">
        <v>526</v>
      </c>
    </row>
    <row r="400" customFormat="false" ht="34.5" hidden="false" customHeight="true" outlineLevel="0" collapsed="false">
      <c r="A400" s="34" t="n">
        <v>399</v>
      </c>
      <c r="B400" s="37" t="s">
        <v>291</v>
      </c>
      <c r="C400" s="45" t="s">
        <v>238</v>
      </c>
      <c r="D400" s="43" t="s">
        <v>239</v>
      </c>
      <c r="E400" s="35" t="s">
        <v>211</v>
      </c>
      <c r="F400" s="39" t="s">
        <v>1488</v>
      </c>
      <c r="G400" s="43" t="s">
        <v>1477</v>
      </c>
      <c r="H400" s="44" t="s">
        <v>328</v>
      </c>
      <c r="I400" s="45" t="s">
        <v>688</v>
      </c>
      <c r="J400" s="36"/>
      <c r="K400" s="36"/>
      <c r="L400" s="45"/>
      <c r="M400" s="36" t="s">
        <v>521</v>
      </c>
      <c r="N400" s="40" t="n">
        <v>2000</v>
      </c>
      <c r="O400" s="35"/>
      <c r="P400" s="35" t="s">
        <v>265</v>
      </c>
      <c r="Q400" s="35" t="s">
        <v>67</v>
      </c>
      <c r="R400" s="35" t="s">
        <v>91</v>
      </c>
      <c r="S400" s="42" t="n">
        <v>3</v>
      </c>
      <c r="T400" s="35" t="s">
        <v>64</v>
      </c>
      <c r="U400" s="35" t="s">
        <v>537</v>
      </c>
      <c r="V400" s="36" t="s">
        <v>205</v>
      </c>
      <c r="W400" s="36" t="s">
        <v>524</v>
      </c>
      <c r="X400" s="43" t="s">
        <v>272</v>
      </c>
      <c r="Y400" s="41" t="s">
        <v>1489</v>
      </c>
      <c r="Z400" s="47" t="n">
        <v>41435</v>
      </c>
      <c r="AA400" s="35" t="s">
        <v>526</v>
      </c>
    </row>
    <row r="401" customFormat="false" ht="34.5" hidden="false" customHeight="true" outlineLevel="0" collapsed="false">
      <c r="A401" s="34" t="n">
        <v>400</v>
      </c>
      <c r="B401" s="37" t="s">
        <v>291</v>
      </c>
      <c r="C401" s="45" t="s">
        <v>238</v>
      </c>
      <c r="D401" s="43" t="s">
        <v>239</v>
      </c>
      <c r="E401" s="35" t="s">
        <v>211</v>
      </c>
      <c r="F401" s="39" t="s">
        <v>325</v>
      </c>
      <c r="G401" s="43" t="s">
        <v>1477</v>
      </c>
      <c r="H401" s="44" t="s">
        <v>328</v>
      </c>
      <c r="I401" s="45" t="s">
        <v>688</v>
      </c>
      <c r="J401" s="36"/>
      <c r="K401" s="36"/>
      <c r="L401" s="45"/>
      <c r="M401" s="36" t="s">
        <v>521</v>
      </c>
      <c r="N401" s="40" t="n">
        <v>2000</v>
      </c>
      <c r="O401" s="35"/>
      <c r="P401" s="35" t="s">
        <v>265</v>
      </c>
      <c r="Q401" s="35" t="s">
        <v>67</v>
      </c>
      <c r="R401" s="35" t="s">
        <v>91</v>
      </c>
      <c r="S401" s="42" t="n">
        <v>3</v>
      </c>
      <c r="T401" s="35" t="s">
        <v>64</v>
      </c>
      <c r="U401" s="35" t="s">
        <v>537</v>
      </c>
      <c r="V401" s="36" t="s">
        <v>205</v>
      </c>
      <c r="W401" s="36" t="s">
        <v>524</v>
      </c>
      <c r="X401" s="43" t="s">
        <v>330</v>
      </c>
      <c r="Y401" s="41" t="s">
        <v>1490</v>
      </c>
      <c r="Z401" s="47" t="n">
        <v>39814</v>
      </c>
      <c r="AA401" s="35" t="s">
        <v>526</v>
      </c>
    </row>
    <row r="402" customFormat="false" ht="34.5" hidden="false" customHeight="true" outlineLevel="0" collapsed="false">
      <c r="A402" s="34" t="n">
        <v>401</v>
      </c>
      <c r="B402" s="37" t="s">
        <v>291</v>
      </c>
      <c r="C402" s="45" t="s">
        <v>238</v>
      </c>
      <c r="D402" s="43" t="s">
        <v>239</v>
      </c>
      <c r="E402" s="35" t="s">
        <v>211</v>
      </c>
      <c r="F402" s="39" t="s">
        <v>1491</v>
      </c>
      <c r="G402" s="43" t="s">
        <v>1492</v>
      </c>
      <c r="H402" s="44" t="s">
        <v>1493</v>
      </c>
      <c r="I402" s="45" t="s">
        <v>739</v>
      </c>
      <c r="J402" s="36"/>
      <c r="K402" s="36"/>
      <c r="L402" s="45"/>
      <c r="M402" s="36" t="s">
        <v>521</v>
      </c>
      <c r="N402" s="40"/>
      <c r="O402" s="41" t="s">
        <v>1494</v>
      </c>
      <c r="P402" s="35" t="s">
        <v>265</v>
      </c>
      <c r="Q402" s="35" t="s">
        <v>1495</v>
      </c>
      <c r="R402" s="41" t="s">
        <v>1466</v>
      </c>
      <c r="S402" s="42" t="n">
        <v>2</v>
      </c>
      <c r="T402" s="35" t="s">
        <v>127</v>
      </c>
      <c r="U402" s="35" t="s">
        <v>204</v>
      </c>
      <c r="V402" s="36" t="s">
        <v>205</v>
      </c>
      <c r="W402" s="36" t="s">
        <v>524</v>
      </c>
      <c r="X402" s="44" t="s">
        <v>210</v>
      </c>
      <c r="Y402" s="41" t="s">
        <v>1496</v>
      </c>
      <c r="Z402" s="47" t="n">
        <v>39205</v>
      </c>
      <c r="AA402" s="35" t="s">
        <v>526</v>
      </c>
    </row>
    <row r="403" customFormat="false" ht="34.5" hidden="false" customHeight="true" outlineLevel="0" collapsed="false">
      <c r="A403" s="34" t="n">
        <v>402</v>
      </c>
      <c r="B403" s="37" t="s">
        <v>291</v>
      </c>
      <c r="C403" s="45" t="s">
        <v>238</v>
      </c>
      <c r="D403" s="43" t="s">
        <v>239</v>
      </c>
      <c r="E403" s="35" t="s">
        <v>211</v>
      </c>
      <c r="F403" s="39" t="s">
        <v>1497</v>
      </c>
      <c r="G403" s="43" t="s">
        <v>1477</v>
      </c>
      <c r="H403" s="44" t="s">
        <v>328</v>
      </c>
      <c r="I403" s="45" t="s">
        <v>688</v>
      </c>
      <c r="J403" s="36"/>
      <c r="K403" s="36"/>
      <c r="L403" s="45"/>
      <c r="M403" s="36" t="s">
        <v>521</v>
      </c>
      <c r="N403" s="40" t="n">
        <v>2000</v>
      </c>
      <c r="O403" s="35"/>
      <c r="P403" s="35" t="s">
        <v>265</v>
      </c>
      <c r="Q403" s="35" t="s">
        <v>67</v>
      </c>
      <c r="R403" s="35" t="s">
        <v>91</v>
      </c>
      <c r="S403" s="42" t="n">
        <v>3</v>
      </c>
      <c r="T403" s="35" t="s">
        <v>64</v>
      </c>
      <c r="U403" s="35" t="s">
        <v>537</v>
      </c>
      <c r="V403" s="36" t="s">
        <v>205</v>
      </c>
      <c r="W403" s="36" t="s">
        <v>524</v>
      </c>
      <c r="X403" s="43" t="s">
        <v>1380</v>
      </c>
      <c r="Y403" s="41" t="s">
        <v>1498</v>
      </c>
      <c r="Z403" s="47" t="n">
        <v>44195</v>
      </c>
      <c r="AA403" s="35" t="s">
        <v>526</v>
      </c>
    </row>
    <row r="404" customFormat="false" ht="34.5" hidden="false" customHeight="true" outlineLevel="0" collapsed="false">
      <c r="A404" s="34" t="n">
        <v>403</v>
      </c>
      <c r="B404" s="37" t="s">
        <v>291</v>
      </c>
      <c r="C404" s="45" t="s">
        <v>238</v>
      </c>
      <c r="D404" s="43" t="s">
        <v>239</v>
      </c>
      <c r="E404" s="35" t="s">
        <v>211</v>
      </c>
      <c r="F404" s="39" t="s">
        <v>1499</v>
      </c>
      <c r="G404" s="43" t="s">
        <v>1477</v>
      </c>
      <c r="H404" s="44" t="s">
        <v>328</v>
      </c>
      <c r="I404" s="45" t="s">
        <v>688</v>
      </c>
      <c r="J404" s="36"/>
      <c r="K404" s="36"/>
      <c r="L404" s="45"/>
      <c r="M404" s="36" t="s">
        <v>521</v>
      </c>
      <c r="N404" s="40" t="n">
        <v>2000</v>
      </c>
      <c r="O404" s="35"/>
      <c r="P404" s="35" t="s">
        <v>265</v>
      </c>
      <c r="Q404" s="35" t="s">
        <v>67</v>
      </c>
      <c r="R404" s="35" t="s">
        <v>91</v>
      </c>
      <c r="S404" s="42" t="n">
        <v>3</v>
      </c>
      <c r="T404" s="35" t="s">
        <v>64</v>
      </c>
      <c r="U404" s="35" t="s">
        <v>537</v>
      </c>
      <c r="V404" s="36" t="s">
        <v>205</v>
      </c>
      <c r="W404" s="36" t="s">
        <v>524</v>
      </c>
      <c r="X404" s="44" t="s">
        <v>221</v>
      </c>
      <c r="Y404" s="41" t="s">
        <v>1500</v>
      </c>
      <c r="Z404" s="47" t="n">
        <v>41247</v>
      </c>
      <c r="AA404" s="35" t="s">
        <v>526</v>
      </c>
    </row>
    <row r="405" customFormat="false" ht="34.5" hidden="false" customHeight="true" outlineLevel="0" collapsed="false">
      <c r="A405" s="34" t="n">
        <v>404</v>
      </c>
      <c r="B405" s="37" t="s">
        <v>291</v>
      </c>
      <c r="C405" s="45" t="s">
        <v>238</v>
      </c>
      <c r="D405" s="43" t="s">
        <v>239</v>
      </c>
      <c r="E405" s="35" t="s">
        <v>211</v>
      </c>
      <c r="F405" s="39" t="s">
        <v>1501</v>
      </c>
      <c r="G405" s="43" t="s">
        <v>1502</v>
      </c>
      <c r="H405" s="44" t="s">
        <v>1126</v>
      </c>
      <c r="I405" s="45" t="s">
        <v>679</v>
      </c>
      <c r="J405" s="36"/>
      <c r="K405" s="36"/>
      <c r="L405" s="45"/>
      <c r="M405" s="36" t="s">
        <v>521</v>
      </c>
      <c r="N405" s="40" t="n">
        <v>6000</v>
      </c>
      <c r="O405" s="41" t="s">
        <v>1503</v>
      </c>
      <c r="P405" s="35" t="s">
        <v>265</v>
      </c>
      <c r="Q405" s="35" t="s">
        <v>314</v>
      </c>
      <c r="R405" s="35" t="s">
        <v>113</v>
      </c>
      <c r="S405" s="42" t="n">
        <v>2</v>
      </c>
      <c r="T405" s="35" t="s">
        <v>90</v>
      </c>
      <c r="U405" s="35" t="s">
        <v>204</v>
      </c>
      <c r="V405" s="36" t="s">
        <v>205</v>
      </c>
      <c r="W405" s="36" t="s">
        <v>826</v>
      </c>
      <c r="X405" s="44" t="s">
        <v>230</v>
      </c>
      <c r="Y405" s="41" t="s">
        <v>1504</v>
      </c>
      <c r="Z405" s="47" t="n">
        <v>37636</v>
      </c>
      <c r="AA405" s="35" t="s">
        <v>526</v>
      </c>
    </row>
    <row r="406" customFormat="false" ht="34.5" hidden="false" customHeight="true" outlineLevel="0" collapsed="false">
      <c r="A406" s="34" t="n">
        <v>405</v>
      </c>
      <c r="B406" s="37" t="s">
        <v>291</v>
      </c>
      <c r="C406" s="45" t="s">
        <v>238</v>
      </c>
      <c r="D406" s="43" t="s">
        <v>239</v>
      </c>
      <c r="E406" s="35" t="s">
        <v>211</v>
      </c>
      <c r="F406" s="39" t="s">
        <v>1505</v>
      </c>
      <c r="G406" s="43" t="s">
        <v>1477</v>
      </c>
      <c r="H406" s="44" t="s">
        <v>328</v>
      </c>
      <c r="I406" s="45" t="s">
        <v>688</v>
      </c>
      <c r="J406" s="36"/>
      <c r="K406" s="36"/>
      <c r="L406" s="45"/>
      <c r="M406" s="36" t="s">
        <v>521</v>
      </c>
      <c r="N406" s="40" t="n">
        <v>2000</v>
      </c>
      <c r="O406" s="35"/>
      <c r="P406" s="35" t="s">
        <v>265</v>
      </c>
      <c r="Q406" s="35" t="s">
        <v>67</v>
      </c>
      <c r="R406" s="35" t="s">
        <v>91</v>
      </c>
      <c r="S406" s="42" t="n">
        <v>3</v>
      </c>
      <c r="T406" s="35" t="s">
        <v>64</v>
      </c>
      <c r="U406" s="35" t="s">
        <v>537</v>
      </c>
      <c r="V406" s="36" t="s">
        <v>205</v>
      </c>
      <c r="W406" s="36" t="s">
        <v>524</v>
      </c>
      <c r="X406" s="43" t="s">
        <v>895</v>
      </c>
      <c r="Y406" s="41" t="s">
        <v>1506</v>
      </c>
      <c r="Z406" s="47" t="n">
        <v>44915</v>
      </c>
      <c r="AA406" s="35" t="s">
        <v>526</v>
      </c>
    </row>
    <row r="407" customFormat="false" ht="64.5" hidden="false" customHeight="true" outlineLevel="0" collapsed="false">
      <c r="A407" s="34" t="n">
        <v>406</v>
      </c>
      <c r="B407" s="37" t="s">
        <v>291</v>
      </c>
      <c r="C407" s="45" t="s">
        <v>1507</v>
      </c>
      <c r="D407" s="43" t="s">
        <v>1508</v>
      </c>
      <c r="E407" s="35" t="s">
        <v>211</v>
      </c>
      <c r="F407" s="39" t="s">
        <v>1509</v>
      </c>
      <c r="G407" s="43" t="s">
        <v>1510</v>
      </c>
      <c r="H407" s="44" t="s">
        <v>1511</v>
      </c>
      <c r="I407" s="45" t="s">
        <v>1512</v>
      </c>
      <c r="J407" s="36"/>
      <c r="K407" s="36"/>
      <c r="L407" s="45"/>
      <c r="M407" s="36" t="s">
        <v>521</v>
      </c>
      <c r="N407" s="40" t="n">
        <v>6000</v>
      </c>
      <c r="O407" s="35"/>
      <c r="P407" s="35" t="s">
        <v>265</v>
      </c>
      <c r="Q407" s="35" t="s">
        <v>67</v>
      </c>
      <c r="R407" s="35" t="s">
        <v>68</v>
      </c>
      <c r="S407" s="42" t="n">
        <v>2</v>
      </c>
      <c r="T407" s="35" t="s">
        <v>90</v>
      </c>
      <c r="U407" s="35" t="s">
        <v>204</v>
      </c>
      <c r="V407" s="36" t="s">
        <v>226</v>
      </c>
      <c r="W407" s="36" t="s">
        <v>524</v>
      </c>
      <c r="X407" s="43" t="s">
        <v>369</v>
      </c>
      <c r="Y407" s="41" t="s">
        <v>1513</v>
      </c>
      <c r="Z407" s="47" t="n">
        <v>44879</v>
      </c>
      <c r="AA407" s="35" t="s">
        <v>526</v>
      </c>
    </row>
    <row r="408" customFormat="false" ht="34.5" hidden="false" customHeight="true" outlineLevel="0" collapsed="false">
      <c r="A408" s="34" t="n">
        <v>407</v>
      </c>
      <c r="B408" s="37" t="s">
        <v>291</v>
      </c>
      <c r="C408" s="45" t="s">
        <v>254</v>
      </c>
      <c r="D408" s="43" t="s">
        <v>255</v>
      </c>
      <c r="E408" s="35" t="s">
        <v>268</v>
      </c>
      <c r="F408" s="39" t="s">
        <v>1221</v>
      </c>
      <c r="G408" s="43" t="s">
        <v>1219</v>
      </c>
      <c r="H408" s="43" t="s">
        <v>1222</v>
      </c>
      <c r="I408" s="36"/>
      <c r="J408" s="36" t="s">
        <v>1223</v>
      </c>
      <c r="K408" s="36" t="s">
        <v>577</v>
      </c>
      <c r="L408" s="45"/>
      <c r="M408" s="36"/>
      <c r="N408" s="40" t="n">
        <v>2000</v>
      </c>
      <c r="O408" s="35"/>
      <c r="P408" s="35" t="s">
        <v>265</v>
      </c>
      <c r="Q408" s="35" t="s">
        <v>67</v>
      </c>
      <c r="R408" s="35" t="s">
        <v>144</v>
      </c>
      <c r="S408" s="42" t="n">
        <v>3</v>
      </c>
      <c r="T408" s="35" t="s">
        <v>64</v>
      </c>
      <c r="U408" s="35" t="s">
        <v>204</v>
      </c>
      <c r="V408" s="36" t="s">
        <v>205</v>
      </c>
      <c r="W408" s="36"/>
      <c r="X408" s="43" t="s">
        <v>1224</v>
      </c>
      <c r="Y408" s="41" t="s">
        <v>1220</v>
      </c>
      <c r="Z408" s="47"/>
      <c r="AA408" s="41" t="s">
        <v>1225</v>
      </c>
    </row>
    <row r="409" customFormat="false" ht="49.5" hidden="false" customHeight="true" outlineLevel="0" collapsed="false">
      <c r="A409" s="34" t="n">
        <v>408</v>
      </c>
      <c r="B409" s="37" t="s">
        <v>291</v>
      </c>
      <c r="C409" s="45" t="s">
        <v>248</v>
      </c>
      <c r="D409" s="43" t="s">
        <v>249</v>
      </c>
      <c r="E409" s="35" t="s">
        <v>211</v>
      </c>
      <c r="F409" s="39" t="s">
        <v>741</v>
      </c>
      <c r="G409" s="43" t="s">
        <v>1232</v>
      </c>
      <c r="H409" s="44" t="s">
        <v>1233</v>
      </c>
      <c r="I409" s="45" t="s">
        <v>743</v>
      </c>
      <c r="J409" s="36"/>
      <c r="K409" s="36"/>
      <c r="L409" s="45"/>
      <c r="M409" s="36" t="s">
        <v>521</v>
      </c>
      <c r="N409" s="40" t="n">
        <v>1000</v>
      </c>
      <c r="O409" s="35"/>
      <c r="P409" s="35" t="s">
        <v>265</v>
      </c>
      <c r="Q409" s="35" t="s">
        <v>67</v>
      </c>
      <c r="R409" s="35" t="s">
        <v>68</v>
      </c>
      <c r="S409" s="42" t="n">
        <v>3</v>
      </c>
      <c r="T409" s="35" t="s">
        <v>246</v>
      </c>
      <c r="U409" s="35" t="s">
        <v>204</v>
      </c>
      <c r="V409" s="36" t="s">
        <v>205</v>
      </c>
      <c r="W409" s="36" t="s">
        <v>826</v>
      </c>
      <c r="X409" s="44" t="s">
        <v>547</v>
      </c>
      <c r="Y409" s="41" t="s">
        <v>1234</v>
      </c>
      <c r="Z409" s="47" t="n">
        <v>43775</v>
      </c>
      <c r="AA409" s="35" t="s">
        <v>526</v>
      </c>
    </row>
    <row r="410" customFormat="false" ht="49.5" hidden="false" customHeight="true" outlineLevel="0" collapsed="false">
      <c r="A410" s="34" t="n">
        <v>409</v>
      </c>
      <c r="B410" s="37" t="s">
        <v>291</v>
      </c>
      <c r="C410" s="45" t="s">
        <v>248</v>
      </c>
      <c r="D410" s="43" t="s">
        <v>249</v>
      </c>
      <c r="E410" s="35" t="s">
        <v>211</v>
      </c>
      <c r="F410" s="39" t="s">
        <v>744</v>
      </c>
      <c r="G410" s="43" t="s">
        <v>1232</v>
      </c>
      <c r="H410" s="44" t="s">
        <v>1233</v>
      </c>
      <c r="I410" s="45" t="s">
        <v>743</v>
      </c>
      <c r="J410" s="36"/>
      <c r="K410" s="36"/>
      <c r="L410" s="45"/>
      <c r="M410" s="36" t="s">
        <v>521</v>
      </c>
      <c r="N410" s="40" t="n">
        <v>1000</v>
      </c>
      <c r="O410" s="35"/>
      <c r="P410" s="35" t="s">
        <v>265</v>
      </c>
      <c r="Q410" s="35" t="s">
        <v>67</v>
      </c>
      <c r="R410" s="35" t="s">
        <v>68</v>
      </c>
      <c r="S410" s="42" t="n">
        <v>3</v>
      </c>
      <c r="T410" s="35" t="s">
        <v>246</v>
      </c>
      <c r="U410" s="35" t="s">
        <v>204</v>
      </c>
      <c r="V410" s="36" t="s">
        <v>205</v>
      </c>
      <c r="W410" s="36" t="s">
        <v>826</v>
      </c>
      <c r="X410" s="43" t="s">
        <v>1514</v>
      </c>
      <c r="Y410" s="41" t="s">
        <v>1515</v>
      </c>
      <c r="Z410" s="47" t="n">
        <v>45408</v>
      </c>
      <c r="AA410" s="35" t="s">
        <v>526</v>
      </c>
    </row>
    <row r="411" customFormat="false" ht="49.5" hidden="false" customHeight="true" outlineLevel="0" collapsed="false">
      <c r="A411" s="34" t="n">
        <v>410</v>
      </c>
      <c r="B411" s="37" t="s">
        <v>291</v>
      </c>
      <c r="C411" s="45" t="s">
        <v>248</v>
      </c>
      <c r="D411" s="43" t="s">
        <v>249</v>
      </c>
      <c r="E411" s="35" t="s">
        <v>211</v>
      </c>
      <c r="F411" s="39" t="s">
        <v>745</v>
      </c>
      <c r="G411" s="43" t="s">
        <v>1232</v>
      </c>
      <c r="H411" s="44" t="s">
        <v>1233</v>
      </c>
      <c r="I411" s="45" t="s">
        <v>743</v>
      </c>
      <c r="J411" s="36"/>
      <c r="K411" s="36"/>
      <c r="L411" s="45"/>
      <c r="M411" s="36" t="s">
        <v>521</v>
      </c>
      <c r="N411" s="40" t="n">
        <v>1000</v>
      </c>
      <c r="O411" s="35"/>
      <c r="P411" s="35" t="s">
        <v>265</v>
      </c>
      <c r="Q411" s="35" t="s">
        <v>67</v>
      </c>
      <c r="R411" s="35" t="s">
        <v>68</v>
      </c>
      <c r="S411" s="42" t="n">
        <v>3</v>
      </c>
      <c r="T411" s="35" t="s">
        <v>246</v>
      </c>
      <c r="U411" s="35" t="s">
        <v>204</v>
      </c>
      <c r="V411" s="36" t="s">
        <v>205</v>
      </c>
      <c r="W411" s="36" t="s">
        <v>524</v>
      </c>
      <c r="X411" s="43" t="s">
        <v>861</v>
      </c>
      <c r="Y411" s="41" t="s">
        <v>1516</v>
      </c>
      <c r="Z411" s="47" t="n">
        <v>45899</v>
      </c>
      <c r="AA411" s="35" t="s">
        <v>526</v>
      </c>
    </row>
    <row r="412" customFormat="false" ht="49.5" hidden="false" customHeight="true" outlineLevel="0" collapsed="false">
      <c r="A412" s="34" t="n">
        <v>411</v>
      </c>
      <c r="B412" s="37" t="s">
        <v>291</v>
      </c>
      <c r="C412" s="45" t="s">
        <v>248</v>
      </c>
      <c r="D412" s="43" t="s">
        <v>249</v>
      </c>
      <c r="E412" s="35" t="s">
        <v>211</v>
      </c>
      <c r="F412" s="39" t="s">
        <v>745</v>
      </c>
      <c r="G412" s="43" t="s">
        <v>1232</v>
      </c>
      <c r="H412" s="44" t="s">
        <v>1233</v>
      </c>
      <c r="I412" s="45" t="s">
        <v>743</v>
      </c>
      <c r="J412" s="36"/>
      <c r="K412" s="36"/>
      <c r="L412" s="45"/>
      <c r="M412" s="36" t="s">
        <v>521</v>
      </c>
      <c r="N412" s="40" t="n">
        <v>1000</v>
      </c>
      <c r="O412" s="35"/>
      <c r="P412" s="35" t="s">
        <v>265</v>
      </c>
      <c r="Q412" s="35" t="s">
        <v>67</v>
      </c>
      <c r="R412" s="35" t="s">
        <v>68</v>
      </c>
      <c r="S412" s="42" t="n">
        <v>3</v>
      </c>
      <c r="T412" s="35" t="s">
        <v>246</v>
      </c>
      <c r="U412" s="35" t="s">
        <v>204</v>
      </c>
      <c r="V412" s="36" t="s">
        <v>205</v>
      </c>
      <c r="W412" s="36" t="s">
        <v>826</v>
      </c>
      <c r="X412" s="43" t="s">
        <v>861</v>
      </c>
      <c r="Y412" s="41" t="s">
        <v>1517</v>
      </c>
      <c r="Z412" s="47" t="n">
        <v>45561</v>
      </c>
      <c r="AA412" s="35" t="s">
        <v>526</v>
      </c>
    </row>
    <row r="413" customFormat="false" ht="49.5" hidden="false" customHeight="true" outlineLevel="0" collapsed="false">
      <c r="A413" s="34" t="n">
        <v>412</v>
      </c>
      <c r="B413" s="37" t="s">
        <v>291</v>
      </c>
      <c r="C413" s="45" t="s">
        <v>248</v>
      </c>
      <c r="D413" s="43" t="s">
        <v>249</v>
      </c>
      <c r="E413" s="35" t="s">
        <v>211</v>
      </c>
      <c r="F413" s="39" t="s">
        <v>746</v>
      </c>
      <c r="G413" s="43" t="s">
        <v>1232</v>
      </c>
      <c r="H413" s="44" t="s">
        <v>1233</v>
      </c>
      <c r="I413" s="45" t="s">
        <v>743</v>
      </c>
      <c r="J413" s="36"/>
      <c r="K413" s="36"/>
      <c r="L413" s="45"/>
      <c r="M413" s="36" t="s">
        <v>521</v>
      </c>
      <c r="N413" s="40" t="n">
        <v>1000</v>
      </c>
      <c r="O413" s="35"/>
      <c r="P413" s="35" t="s">
        <v>265</v>
      </c>
      <c r="Q413" s="35" t="s">
        <v>67</v>
      </c>
      <c r="R413" s="35" t="s">
        <v>68</v>
      </c>
      <c r="S413" s="42" t="n">
        <v>3</v>
      </c>
      <c r="T413" s="35" t="s">
        <v>246</v>
      </c>
      <c r="U413" s="35" t="s">
        <v>204</v>
      </c>
      <c r="V413" s="36" t="s">
        <v>205</v>
      </c>
      <c r="W413" s="36" t="s">
        <v>524</v>
      </c>
      <c r="X413" s="44" t="s">
        <v>856</v>
      </c>
      <c r="Y413" s="41" t="s">
        <v>1518</v>
      </c>
      <c r="Z413" s="47" t="n">
        <v>44972</v>
      </c>
      <c r="AA413" s="35" t="s">
        <v>526</v>
      </c>
    </row>
    <row r="414" customFormat="false" ht="49.5" hidden="false" customHeight="true" outlineLevel="0" collapsed="false">
      <c r="A414" s="34" t="n">
        <v>413</v>
      </c>
      <c r="B414" s="37" t="s">
        <v>291</v>
      </c>
      <c r="C414" s="45" t="s">
        <v>248</v>
      </c>
      <c r="D414" s="43" t="s">
        <v>249</v>
      </c>
      <c r="E414" s="35" t="s">
        <v>211</v>
      </c>
      <c r="F414" s="39" t="s">
        <v>245</v>
      </c>
      <c r="G414" s="43" t="s">
        <v>1232</v>
      </c>
      <c r="H414" s="44" t="s">
        <v>1233</v>
      </c>
      <c r="I414" s="45" t="s">
        <v>743</v>
      </c>
      <c r="J414" s="36" t="s">
        <v>80</v>
      </c>
      <c r="K414" s="36"/>
      <c r="L414" s="45" t="s">
        <v>530</v>
      </c>
      <c r="M414" s="36" t="s">
        <v>521</v>
      </c>
      <c r="N414" s="40" t="n">
        <v>1000</v>
      </c>
      <c r="O414" s="35"/>
      <c r="P414" s="35" t="s">
        <v>265</v>
      </c>
      <c r="Q414" s="35" t="s">
        <v>67</v>
      </c>
      <c r="R414" s="35" t="s">
        <v>68</v>
      </c>
      <c r="S414" s="42" t="n">
        <v>3</v>
      </c>
      <c r="T414" s="35" t="s">
        <v>246</v>
      </c>
      <c r="U414" s="35" t="s">
        <v>204</v>
      </c>
      <c r="V414" s="36" t="s">
        <v>205</v>
      </c>
      <c r="W414" s="36" t="s">
        <v>524</v>
      </c>
      <c r="X414" s="43" t="s">
        <v>272</v>
      </c>
      <c r="Y414" s="41" t="s">
        <v>273</v>
      </c>
      <c r="Z414" s="47" t="n">
        <v>42823</v>
      </c>
      <c r="AA414" s="35" t="s">
        <v>526</v>
      </c>
    </row>
    <row r="415" customFormat="false" ht="49.5" hidden="false" customHeight="true" outlineLevel="0" collapsed="false">
      <c r="A415" s="34" t="n">
        <v>414</v>
      </c>
      <c r="B415" s="37" t="s">
        <v>291</v>
      </c>
      <c r="C415" s="45" t="s">
        <v>248</v>
      </c>
      <c r="D415" s="43" t="s">
        <v>249</v>
      </c>
      <c r="E415" s="35" t="s">
        <v>211</v>
      </c>
      <c r="F415" s="39" t="s">
        <v>245</v>
      </c>
      <c r="G415" s="43" t="s">
        <v>1232</v>
      </c>
      <c r="H415" s="44" t="s">
        <v>1233</v>
      </c>
      <c r="I415" s="45" t="s">
        <v>743</v>
      </c>
      <c r="J415" s="36" t="s">
        <v>80</v>
      </c>
      <c r="K415" s="36"/>
      <c r="L415" s="45" t="s">
        <v>530</v>
      </c>
      <c r="M415" s="36" t="s">
        <v>521</v>
      </c>
      <c r="N415" s="40" t="n">
        <v>1000</v>
      </c>
      <c r="O415" s="35"/>
      <c r="P415" s="35" t="s">
        <v>265</v>
      </c>
      <c r="Q415" s="35" t="s">
        <v>67</v>
      </c>
      <c r="R415" s="35" t="s">
        <v>68</v>
      </c>
      <c r="S415" s="42" t="n">
        <v>3</v>
      </c>
      <c r="T415" s="35" t="s">
        <v>246</v>
      </c>
      <c r="U415" s="35" t="s">
        <v>204</v>
      </c>
      <c r="V415" s="36" t="s">
        <v>205</v>
      </c>
      <c r="W415" s="36" t="s">
        <v>826</v>
      </c>
      <c r="X415" s="43" t="s">
        <v>272</v>
      </c>
      <c r="Y415" s="41" t="s">
        <v>1235</v>
      </c>
      <c r="Z415" s="47" t="n">
        <v>45090</v>
      </c>
      <c r="AA415" s="35" t="s">
        <v>578</v>
      </c>
    </row>
    <row r="416" customFormat="false" ht="49.5" hidden="false" customHeight="true" outlineLevel="0" collapsed="false">
      <c r="A416" s="34" t="n">
        <v>415</v>
      </c>
      <c r="B416" s="37" t="s">
        <v>291</v>
      </c>
      <c r="C416" s="45" t="s">
        <v>248</v>
      </c>
      <c r="D416" s="43" t="s">
        <v>249</v>
      </c>
      <c r="E416" s="35" t="s">
        <v>211</v>
      </c>
      <c r="F416" s="39" t="s">
        <v>752</v>
      </c>
      <c r="G416" s="43" t="s">
        <v>1232</v>
      </c>
      <c r="H416" s="44" t="s">
        <v>1233</v>
      </c>
      <c r="I416" s="45" t="s">
        <v>743</v>
      </c>
      <c r="J416" s="36"/>
      <c r="K416" s="36"/>
      <c r="L416" s="45"/>
      <c r="M416" s="36" t="s">
        <v>521</v>
      </c>
      <c r="N416" s="40" t="n">
        <v>1000</v>
      </c>
      <c r="O416" s="35"/>
      <c r="P416" s="35" t="s">
        <v>265</v>
      </c>
      <c r="Q416" s="35" t="s">
        <v>67</v>
      </c>
      <c r="R416" s="35" t="s">
        <v>68</v>
      </c>
      <c r="S416" s="42" t="n">
        <v>3</v>
      </c>
      <c r="T416" s="35" t="s">
        <v>246</v>
      </c>
      <c r="U416" s="35" t="s">
        <v>204</v>
      </c>
      <c r="V416" s="36" t="s">
        <v>205</v>
      </c>
      <c r="W416" s="36" t="s">
        <v>826</v>
      </c>
      <c r="X416" s="44" t="s">
        <v>881</v>
      </c>
      <c r="Y416" s="41" t="s">
        <v>1239</v>
      </c>
      <c r="Z416" s="47" t="n">
        <v>43131</v>
      </c>
      <c r="AA416" s="35" t="s">
        <v>526</v>
      </c>
    </row>
    <row r="417" customFormat="false" ht="49.5" hidden="false" customHeight="true" outlineLevel="0" collapsed="false">
      <c r="A417" s="34" t="n">
        <v>416</v>
      </c>
      <c r="B417" s="37" t="s">
        <v>291</v>
      </c>
      <c r="C417" s="45" t="s">
        <v>248</v>
      </c>
      <c r="D417" s="43" t="s">
        <v>249</v>
      </c>
      <c r="E417" s="35" t="s">
        <v>211</v>
      </c>
      <c r="F417" s="39" t="s">
        <v>753</v>
      </c>
      <c r="G417" s="43" t="s">
        <v>1232</v>
      </c>
      <c r="H417" s="44" t="s">
        <v>1233</v>
      </c>
      <c r="I417" s="45" t="s">
        <v>743</v>
      </c>
      <c r="J417" s="36"/>
      <c r="K417" s="36"/>
      <c r="L417" s="45"/>
      <c r="M417" s="36" t="s">
        <v>521</v>
      </c>
      <c r="N417" s="40" t="n">
        <v>1000</v>
      </c>
      <c r="O417" s="35"/>
      <c r="P417" s="35" t="s">
        <v>265</v>
      </c>
      <c r="Q417" s="35" t="s">
        <v>67</v>
      </c>
      <c r="R417" s="35" t="s">
        <v>68</v>
      </c>
      <c r="S417" s="42" t="n">
        <v>3</v>
      </c>
      <c r="T417" s="35" t="s">
        <v>246</v>
      </c>
      <c r="U417" s="35" t="s">
        <v>204</v>
      </c>
      <c r="V417" s="36" t="s">
        <v>205</v>
      </c>
      <c r="W417" s="36" t="s">
        <v>524</v>
      </c>
      <c r="X417" s="44" t="s">
        <v>847</v>
      </c>
      <c r="Y417" s="41" t="s">
        <v>1519</v>
      </c>
      <c r="Z417" s="47" t="n">
        <v>42998</v>
      </c>
      <c r="AA417" s="35" t="s">
        <v>526</v>
      </c>
    </row>
    <row r="418" customFormat="false" ht="49.5" hidden="false" customHeight="true" outlineLevel="0" collapsed="false">
      <c r="A418" s="34" t="n">
        <v>417</v>
      </c>
      <c r="B418" s="37" t="s">
        <v>291</v>
      </c>
      <c r="C418" s="45" t="s">
        <v>248</v>
      </c>
      <c r="D418" s="43" t="s">
        <v>249</v>
      </c>
      <c r="E418" s="35" t="s">
        <v>211</v>
      </c>
      <c r="F418" s="39" t="s">
        <v>753</v>
      </c>
      <c r="G418" s="43" t="s">
        <v>1232</v>
      </c>
      <c r="H418" s="44" t="s">
        <v>1233</v>
      </c>
      <c r="I418" s="45" t="s">
        <v>743</v>
      </c>
      <c r="J418" s="36"/>
      <c r="K418" s="36"/>
      <c r="L418" s="45"/>
      <c r="M418" s="36" t="s">
        <v>521</v>
      </c>
      <c r="N418" s="40" t="n">
        <v>1000</v>
      </c>
      <c r="O418" s="35"/>
      <c r="P418" s="35" t="s">
        <v>265</v>
      </c>
      <c r="Q418" s="35" t="s">
        <v>67</v>
      </c>
      <c r="R418" s="35" t="s">
        <v>68</v>
      </c>
      <c r="S418" s="42" t="n">
        <v>3</v>
      </c>
      <c r="T418" s="35" t="s">
        <v>246</v>
      </c>
      <c r="U418" s="35" t="s">
        <v>204</v>
      </c>
      <c r="V418" s="36" t="s">
        <v>205</v>
      </c>
      <c r="W418" s="36" t="s">
        <v>826</v>
      </c>
      <c r="X418" s="44" t="s">
        <v>847</v>
      </c>
      <c r="Y418" s="41" t="s">
        <v>1520</v>
      </c>
      <c r="Z418" s="47" t="n">
        <v>42930</v>
      </c>
      <c r="AA418" s="35" t="s">
        <v>526</v>
      </c>
    </row>
    <row r="419" customFormat="false" ht="49.5" hidden="false" customHeight="true" outlineLevel="0" collapsed="false">
      <c r="A419" s="34" t="n">
        <v>418</v>
      </c>
      <c r="B419" s="37" t="s">
        <v>291</v>
      </c>
      <c r="C419" s="45" t="s">
        <v>248</v>
      </c>
      <c r="D419" s="43" t="s">
        <v>249</v>
      </c>
      <c r="E419" s="35" t="s">
        <v>211</v>
      </c>
      <c r="F419" s="39" t="s">
        <v>754</v>
      </c>
      <c r="G419" s="43" t="s">
        <v>1232</v>
      </c>
      <c r="H419" s="44" t="s">
        <v>1233</v>
      </c>
      <c r="I419" s="45" t="s">
        <v>743</v>
      </c>
      <c r="J419" s="36"/>
      <c r="K419" s="36"/>
      <c r="L419" s="45"/>
      <c r="M419" s="36" t="s">
        <v>521</v>
      </c>
      <c r="N419" s="40" t="n">
        <v>1000</v>
      </c>
      <c r="O419" s="35"/>
      <c r="P419" s="35" t="s">
        <v>265</v>
      </c>
      <c r="Q419" s="35" t="s">
        <v>67</v>
      </c>
      <c r="R419" s="35" t="s">
        <v>68</v>
      </c>
      <c r="S419" s="42" t="n">
        <v>3</v>
      </c>
      <c r="T419" s="35" t="s">
        <v>246</v>
      </c>
      <c r="U419" s="35" t="s">
        <v>204</v>
      </c>
      <c r="V419" s="36" t="s">
        <v>205</v>
      </c>
      <c r="W419" s="36" t="s">
        <v>826</v>
      </c>
      <c r="X419" s="43" t="s">
        <v>827</v>
      </c>
      <c r="Y419" s="41" t="s">
        <v>1521</v>
      </c>
      <c r="Z419" s="47" t="n">
        <v>41326</v>
      </c>
      <c r="AA419" s="35" t="s">
        <v>526</v>
      </c>
    </row>
    <row r="420" customFormat="false" ht="49.5" hidden="false" customHeight="true" outlineLevel="0" collapsed="false">
      <c r="A420" s="34" t="n">
        <v>419</v>
      </c>
      <c r="B420" s="37" t="s">
        <v>291</v>
      </c>
      <c r="C420" s="45" t="s">
        <v>248</v>
      </c>
      <c r="D420" s="43" t="s">
        <v>249</v>
      </c>
      <c r="E420" s="35" t="s">
        <v>211</v>
      </c>
      <c r="F420" s="39" t="s">
        <v>755</v>
      </c>
      <c r="G420" s="43" t="s">
        <v>1232</v>
      </c>
      <c r="H420" s="44" t="s">
        <v>1233</v>
      </c>
      <c r="I420" s="45" t="s">
        <v>743</v>
      </c>
      <c r="J420" s="36"/>
      <c r="K420" s="36"/>
      <c r="L420" s="45"/>
      <c r="M420" s="36" t="s">
        <v>521</v>
      </c>
      <c r="N420" s="40" t="n">
        <v>1000</v>
      </c>
      <c r="O420" s="35"/>
      <c r="P420" s="35" t="s">
        <v>265</v>
      </c>
      <c r="Q420" s="35" t="s">
        <v>67</v>
      </c>
      <c r="R420" s="35" t="s">
        <v>68</v>
      </c>
      <c r="S420" s="42" t="n">
        <v>3</v>
      </c>
      <c r="T420" s="35" t="s">
        <v>246</v>
      </c>
      <c r="U420" s="35" t="s">
        <v>204</v>
      </c>
      <c r="V420" s="36" t="s">
        <v>205</v>
      </c>
      <c r="W420" s="36" t="s">
        <v>524</v>
      </c>
      <c r="X420" s="44" t="s">
        <v>867</v>
      </c>
      <c r="Y420" s="41" t="s">
        <v>1241</v>
      </c>
      <c r="Z420" s="47" t="n">
        <v>45470</v>
      </c>
      <c r="AA420" s="35" t="s">
        <v>526</v>
      </c>
    </row>
    <row r="421" customFormat="false" ht="49.5" hidden="false" customHeight="true" outlineLevel="0" collapsed="false">
      <c r="A421" s="34" t="n">
        <v>420</v>
      </c>
      <c r="B421" s="37" t="s">
        <v>291</v>
      </c>
      <c r="C421" s="45" t="s">
        <v>248</v>
      </c>
      <c r="D421" s="43" t="s">
        <v>249</v>
      </c>
      <c r="E421" s="35" t="s">
        <v>211</v>
      </c>
      <c r="F421" s="39" t="s">
        <v>755</v>
      </c>
      <c r="G421" s="43" t="s">
        <v>1232</v>
      </c>
      <c r="H421" s="44" t="s">
        <v>1233</v>
      </c>
      <c r="I421" s="45" t="s">
        <v>743</v>
      </c>
      <c r="J421" s="36"/>
      <c r="K421" s="36"/>
      <c r="L421" s="45"/>
      <c r="M421" s="36" t="s">
        <v>521</v>
      </c>
      <c r="N421" s="40" t="n">
        <v>1000</v>
      </c>
      <c r="O421" s="35"/>
      <c r="P421" s="35" t="s">
        <v>265</v>
      </c>
      <c r="Q421" s="35" t="s">
        <v>67</v>
      </c>
      <c r="R421" s="35" t="s">
        <v>68</v>
      </c>
      <c r="S421" s="42" t="n">
        <v>3</v>
      </c>
      <c r="T421" s="35" t="s">
        <v>246</v>
      </c>
      <c r="U421" s="35" t="s">
        <v>204</v>
      </c>
      <c r="V421" s="36" t="s">
        <v>205</v>
      </c>
      <c r="W421" s="36" t="s">
        <v>826</v>
      </c>
      <c r="X421" s="44" t="s">
        <v>867</v>
      </c>
      <c r="Y421" s="41" t="s">
        <v>1240</v>
      </c>
      <c r="Z421" s="47" t="n">
        <v>43875</v>
      </c>
      <c r="AA421" s="35" t="s">
        <v>526</v>
      </c>
    </row>
    <row r="422" customFormat="false" ht="49.5" hidden="false" customHeight="true" outlineLevel="0" collapsed="false">
      <c r="A422" s="34" t="n">
        <v>421</v>
      </c>
      <c r="B422" s="37" t="s">
        <v>291</v>
      </c>
      <c r="C422" s="45" t="s">
        <v>248</v>
      </c>
      <c r="D422" s="43" t="s">
        <v>249</v>
      </c>
      <c r="E422" s="35" t="s">
        <v>211</v>
      </c>
      <c r="F422" s="39" t="s">
        <v>756</v>
      </c>
      <c r="G422" s="43" t="s">
        <v>1232</v>
      </c>
      <c r="H422" s="44" t="s">
        <v>1233</v>
      </c>
      <c r="I422" s="45" t="s">
        <v>743</v>
      </c>
      <c r="J422" s="36"/>
      <c r="K422" s="36"/>
      <c r="L422" s="45"/>
      <c r="M422" s="36" t="s">
        <v>521</v>
      </c>
      <c r="N422" s="40" t="n">
        <v>1000</v>
      </c>
      <c r="O422" s="35"/>
      <c r="P422" s="35" t="s">
        <v>265</v>
      </c>
      <c r="Q422" s="35" t="s">
        <v>67</v>
      </c>
      <c r="R422" s="35" t="s">
        <v>68</v>
      </c>
      <c r="S422" s="42" t="n">
        <v>3</v>
      </c>
      <c r="T422" s="35" t="s">
        <v>246</v>
      </c>
      <c r="U422" s="35" t="s">
        <v>204</v>
      </c>
      <c r="V422" s="36" t="s">
        <v>205</v>
      </c>
      <c r="W422" s="36" t="s">
        <v>524</v>
      </c>
      <c r="X422" s="43" t="s">
        <v>1522</v>
      </c>
      <c r="Y422" s="41" t="s">
        <v>1523</v>
      </c>
      <c r="Z422" s="47" t="n">
        <v>43563</v>
      </c>
      <c r="AA422" s="35" t="s">
        <v>526</v>
      </c>
    </row>
    <row r="423" customFormat="false" ht="49.5" hidden="false" customHeight="true" outlineLevel="0" collapsed="false">
      <c r="A423" s="34" t="n">
        <v>422</v>
      </c>
      <c r="B423" s="37" t="s">
        <v>291</v>
      </c>
      <c r="C423" s="45" t="s">
        <v>248</v>
      </c>
      <c r="D423" s="43" t="s">
        <v>249</v>
      </c>
      <c r="E423" s="35" t="s">
        <v>211</v>
      </c>
      <c r="F423" s="39" t="s">
        <v>761</v>
      </c>
      <c r="G423" s="43" t="s">
        <v>1232</v>
      </c>
      <c r="H423" s="44" t="s">
        <v>1233</v>
      </c>
      <c r="I423" s="45" t="s">
        <v>743</v>
      </c>
      <c r="J423" s="36"/>
      <c r="K423" s="36"/>
      <c r="L423" s="45"/>
      <c r="M423" s="36" t="s">
        <v>521</v>
      </c>
      <c r="N423" s="40" t="n">
        <v>1000</v>
      </c>
      <c r="O423" s="35"/>
      <c r="P423" s="35" t="s">
        <v>265</v>
      </c>
      <c r="Q423" s="35" t="s">
        <v>67</v>
      </c>
      <c r="R423" s="35" t="s">
        <v>68</v>
      </c>
      <c r="S423" s="42" t="n">
        <v>3</v>
      </c>
      <c r="T423" s="35" t="s">
        <v>246</v>
      </c>
      <c r="U423" s="35" t="s">
        <v>204</v>
      </c>
      <c r="V423" s="36" t="s">
        <v>205</v>
      </c>
      <c r="W423" s="36" t="s">
        <v>524</v>
      </c>
      <c r="X423" s="43" t="s">
        <v>900</v>
      </c>
      <c r="Y423" s="41" t="s">
        <v>1524</v>
      </c>
      <c r="Z423" s="47" t="n">
        <v>44858</v>
      </c>
      <c r="AA423" s="35" t="s">
        <v>526</v>
      </c>
    </row>
    <row r="424" customFormat="false" ht="49.5" hidden="false" customHeight="true" outlineLevel="0" collapsed="false">
      <c r="A424" s="34" t="n">
        <v>423</v>
      </c>
      <c r="B424" s="37" t="s">
        <v>291</v>
      </c>
      <c r="C424" s="45" t="s">
        <v>248</v>
      </c>
      <c r="D424" s="43" t="s">
        <v>249</v>
      </c>
      <c r="E424" s="35" t="s">
        <v>211</v>
      </c>
      <c r="F424" s="39" t="s">
        <v>761</v>
      </c>
      <c r="G424" s="43" t="s">
        <v>1232</v>
      </c>
      <c r="H424" s="44" t="s">
        <v>1233</v>
      </c>
      <c r="I424" s="45" t="s">
        <v>743</v>
      </c>
      <c r="J424" s="36"/>
      <c r="K424" s="36"/>
      <c r="L424" s="45"/>
      <c r="M424" s="36" t="s">
        <v>521</v>
      </c>
      <c r="N424" s="40" t="n">
        <v>1000</v>
      </c>
      <c r="O424" s="35"/>
      <c r="P424" s="35" t="s">
        <v>265</v>
      </c>
      <c r="Q424" s="35" t="s">
        <v>67</v>
      </c>
      <c r="R424" s="35" t="s">
        <v>68</v>
      </c>
      <c r="S424" s="42" t="n">
        <v>3</v>
      </c>
      <c r="T424" s="35" t="s">
        <v>246</v>
      </c>
      <c r="U424" s="35" t="s">
        <v>204</v>
      </c>
      <c r="V424" s="36" t="s">
        <v>205</v>
      </c>
      <c r="W424" s="36" t="s">
        <v>826</v>
      </c>
      <c r="X424" s="43" t="s">
        <v>900</v>
      </c>
      <c r="Y424" s="41" t="s">
        <v>1525</v>
      </c>
      <c r="Z424" s="47" t="n">
        <v>44284</v>
      </c>
      <c r="AA424" s="35" t="s">
        <v>526</v>
      </c>
    </row>
    <row r="425" customFormat="false" ht="49.5" hidden="false" customHeight="true" outlineLevel="0" collapsed="false">
      <c r="A425" s="34" t="n">
        <v>424</v>
      </c>
      <c r="B425" s="37" t="s">
        <v>291</v>
      </c>
      <c r="C425" s="45" t="s">
        <v>248</v>
      </c>
      <c r="D425" s="43" t="s">
        <v>249</v>
      </c>
      <c r="E425" s="35" t="s">
        <v>211</v>
      </c>
      <c r="F425" s="39" t="s">
        <v>762</v>
      </c>
      <c r="G425" s="43" t="s">
        <v>1232</v>
      </c>
      <c r="H425" s="44" t="s">
        <v>1233</v>
      </c>
      <c r="I425" s="45" t="s">
        <v>743</v>
      </c>
      <c r="J425" s="36"/>
      <c r="K425" s="36"/>
      <c r="L425" s="45"/>
      <c r="M425" s="36" t="s">
        <v>521</v>
      </c>
      <c r="N425" s="40" t="n">
        <v>1000</v>
      </c>
      <c r="O425" s="35"/>
      <c r="P425" s="35" t="s">
        <v>265</v>
      </c>
      <c r="Q425" s="35" t="s">
        <v>67</v>
      </c>
      <c r="R425" s="35" t="s">
        <v>68</v>
      </c>
      <c r="S425" s="42" t="n">
        <v>3</v>
      </c>
      <c r="T425" s="35" t="s">
        <v>246</v>
      </c>
      <c r="U425" s="35" t="s">
        <v>204</v>
      </c>
      <c r="V425" s="36" t="s">
        <v>205</v>
      </c>
      <c r="W425" s="36" t="s">
        <v>826</v>
      </c>
      <c r="X425" s="43" t="s">
        <v>912</v>
      </c>
      <c r="Y425" s="41" t="s">
        <v>1526</v>
      </c>
      <c r="Z425" s="47" t="n">
        <v>44189</v>
      </c>
      <c r="AA425" s="35" t="s">
        <v>526</v>
      </c>
    </row>
    <row r="426" customFormat="false" ht="49.5" hidden="false" customHeight="true" outlineLevel="0" collapsed="false">
      <c r="A426" s="34" t="n">
        <v>425</v>
      </c>
      <c r="B426" s="37" t="s">
        <v>291</v>
      </c>
      <c r="C426" s="45" t="s">
        <v>248</v>
      </c>
      <c r="D426" s="43" t="s">
        <v>249</v>
      </c>
      <c r="E426" s="35" t="s">
        <v>211</v>
      </c>
      <c r="F426" s="39" t="s">
        <v>764</v>
      </c>
      <c r="G426" s="43" t="s">
        <v>1232</v>
      </c>
      <c r="H426" s="44" t="s">
        <v>1233</v>
      </c>
      <c r="I426" s="45" t="s">
        <v>743</v>
      </c>
      <c r="J426" s="36"/>
      <c r="K426" s="36"/>
      <c r="L426" s="45"/>
      <c r="M426" s="36" t="s">
        <v>521</v>
      </c>
      <c r="N426" s="40" t="n">
        <v>2000</v>
      </c>
      <c r="O426" s="35"/>
      <c r="P426" s="35" t="s">
        <v>265</v>
      </c>
      <c r="Q426" s="35" t="s">
        <v>67</v>
      </c>
      <c r="R426" s="35" t="s">
        <v>68</v>
      </c>
      <c r="S426" s="42" t="n">
        <v>3</v>
      </c>
      <c r="T426" s="35" t="s">
        <v>246</v>
      </c>
      <c r="U426" s="35" t="s">
        <v>204</v>
      </c>
      <c r="V426" s="36" t="s">
        <v>205</v>
      </c>
      <c r="W426" s="36" t="s">
        <v>524</v>
      </c>
      <c r="X426" s="44" t="s">
        <v>903</v>
      </c>
      <c r="Y426" s="41" t="s">
        <v>1527</v>
      </c>
      <c r="Z426" s="47" t="n">
        <v>45776</v>
      </c>
      <c r="AA426" s="35" t="s">
        <v>526</v>
      </c>
    </row>
    <row r="427" customFormat="false" ht="49.5" hidden="false" customHeight="true" outlineLevel="0" collapsed="false">
      <c r="A427" s="34" t="n">
        <v>426</v>
      </c>
      <c r="B427" s="37" t="s">
        <v>291</v>
      </c>
      <c r="C427" s="45" t="s">
        <v>248</v>
      </c>
      <c r="D427" s="43" t="s">
        <v>249</v>
      </c>
      <c r="E427" s="35" t="s">
        <v>211</v>
      </c>
      <c r="F427" s="39" t="s">
        <v>768</v>
      </c>
      <c r="G427" s="43" t="s">
        <v>1232</v>
      </c>
      <c r="H427" s="44" t="s">
        <v>1233</v>
      </c>
      <c r="I427" s="45" t="s">
        <v>743</v>
      </c>
      <c r="J427" s="36"/>
      <c r="K427" s="36"/>
      <c r="L427" s="45"/>
      <c r="M427" s="36" t="s">
        <v>521</v>
      </c>
      <c r="N427" s="40" t="n">
        <v>1000</v>
      </c>
      <c r="O427" s="35"/>
      <c r="P427" s="35" t="s">
        <v>265</v>
      </c>
      <c r="Q427" s="35" t="s">
        <v>67</v>
      </c>
      <c r="R427" s="35" t="s">
        <v>68</v>
      </c>
      <c r="S427" s="42" t="n">
        <v>3</v>
      </c>
      <c r="T427" s="35" t="s">
        <v>246</v>
      </c>
      <c r="U427" s="35" t="s">
        <v>204</v>
      </c>
      <c r="V427" s="36" t="s">
        <v>205</v>
      </c>
      <c r="W427" s="36" t="s">
        <v>826</v>
      </c>
      <c r="X427" s="43" t="s">
        <v>840</v>
      </c>
      <c r="Y427" s="41" t="s">
        <v>1528</v>
      </c>
      <c r="Z427" s="47" t="n">
        <v>45210</v>
      </c>
      <c r="AA427" s="35" t="s">
        <v>526</v>
      </c>
    </row>
    <row r="428" customFormat="false" ht="49.5" hidden="false" customHeight="true" outlineLevel="0" collapsed="false">
      <c r="A428" s="34" t="n">
        <v>427</v>
      </c>
      <c r="B428" s="37" t="s">
        <v>291</v>
      </c>
      <c r="C428" s="45" t="s">
        <v>248</v>
      </c>
      <c r="D428" s="43" t="s">
        <v>249</v>
      </c>
      <c r="E428" s="35" t="s">
        <v>211</v>
      </c>
      <c r="F428" s="39" t="s">
        <v>770</v>
      </c>
      <c r="G428" s="43" t="s">
        <v>1232</v>
      </c>
      <c r="H428" s="44" t="s">
        <v>1233</v>
      </c>
      <c r="I428" s="45" t="s">
        <v>743</v>
      </c>
      <c r="J428" s="36"/>
      <c r="K428" s="36"/>
      <c r="L428" s="45"/>
      <c r="M428" s="36" t="s">
        <v>521</v>
      </c>
      <c r="N428" s="40" t="n">
        <v>1000</v>
      </c>
      <c r="O428" s="35"/>
      <c r="P428" s="35" t="s">
        <v>265</v>
      </c>
      <c r="Q428" s="35" t="s">
        <v>67</v>
      </c>
      <c r="R428" s="35" t="s">
        <v>68</v>
      </c>
      <c r="S428" s="42" t="n">
        <v>3</v>
      </c>
      <c r="T428" s="35" t="s">
        <v>246</v>
      </c>
      <c r="U428" s="35" t="s">
        <v>204</v>
      </c>
      <c r="V428" s="36" t="s">
        <v>205</v>
      </c>
      <c r="W428" s="36" t="s">
        <v>524</v>
      </c>
      <c r="X428" s="44" t="s">
        <v>834</v>
      </c>
      <c r="Y428" s="41" t="s">
        <v>1243</v>
      </c>
      <c r="Z428" s="47" t="n">
        <v>45561</v>
      </c>
      <c r="AA428" s="35" t="s">
        <v>526</v>
      </c>
    </row>
    <row r="429" customFormat="false" ht="49.5" hidden="false" customHeight="true" outlineLevel="0" collapsed="false">
      <c r="A429" s="34" t="n">
        <v>428</v>
      </c>
      <c r="B429" s="37" t="s">
        <v>291</v>
      </c>
      <c r="C429" s="45" t="s">
        <v>248</v>
      </c>
      <c r="D429" s="43" t="s">
        <v>249</v>
      </c>
      <c r="E429" s="35" t="s">
        <v>211</v>
      </c>
      <c r="F429" s="39" t="s">
        <v>770</v>
      </c>
      <c r="G429" s="43" t="s">
        <v>1232</v>
      </c>
      <c r="H429" s="44" t="s">
        <v>1233</v>
      </c>
      <c r="I429" s="45" t="s">
        <v>743</v>
      </c>
      <c r="J429" s="36"/>
      <c r="K429" s="36"/>
      <c r="L429" s="45"/>
      <c r="M429" s="36" t="s">
        <v>521</v>
      </c>
      <c r="N429" s="40" t="n">
        <v>1000</v>
      </c>
      <c r="O429" s="35"/>
      <c r="P429" s="35" t="s">
        <v>265</v>
      </c>
      <c r="Q429" s="35" t="s">
        <v>67</v>
      </c>
      <c r="R429" s="35" t="s">
        <v>68</v>
      </c>
      <c r="S429" s="42" t="n">
        <v>3</v>
      </c>
      <c r="T429" s="35" t="s">
        <v>246</v>
      </c>
      <c r="U429" s="35" t="s">
        <v>204</v>
      </c>
      <c r="V429" s="36" t="s">
        <v>205</v>
      </c>
      <c r="W429" s="36" t="s">
        <v>826</v>
      </c>
      <c r="X429" s="44" t="s">
        <v>834</v>
      </c>
      <c r="Y429" s="41" t="s">
        <v>1242</v>
      </c>
      <c r="Z429" s="47" t="n">
        <v>43362</v>
      </c>
      <c r="AA429" s="35" t="s">
        <v>526</v>
      </c>
    </row>
    <row r="430" customFormat="false" ht="49.5" hidden="false" customHeight="true" outlineLevel="0" collapsed="false">
      <c r="A430" s="34" t="n">
        <v>429</v>
      </c>
      <c r="B430" s="37" t="s">
        <v>291</v>
      </c>
      <c r="C430" s="45" t="s">
        <v>248</v>
      </c>
      <c r="D430" s="43" t="s">
        <v>249</v>
      </c>
      <c r="E430" s="35" t="s">
        <v>211</v>
      </c>
      <c r="F430" s="39" t="s">
        <v>772</v>
      </c>
      <c r="G430" s="43" t="s">
        <v>1232</v>
      </c>
      <c r="H430" s="44" t="s">
        <v>1233</v>
      </c>
      <c r="I430" s="45" t="s">
        <v>743</v>
      </c>
      <c r="J430" s="36"/>
      <c r="K430" s="36"/>
      <c r="L430" s="45"/>
      <c r="M430" s="36" t="s">
        <v>521</v>
      </c>
      <c r="N430" s="40" t="n">
        <v>1000</v>
      </c>
      <c r="O430" s="35"/>
      <c r="P430" s="35" t="s">
        <v>265</v>
      </c>
      <c r="Q430" s="35" t="s">
        <v>67</v>
      </c>
      <c r="R430" s="35" t="s">
        <v>68</v>
      </c>
      <c r="S430" s="42" t="n">
        <v>3</v>
      </c>
      <c r="T430" s="35" t="s">
        <v>246</v>
      </c>
      <c r="U430" s="35" t="s">
        <v>204</v>
      </c>
      <c r="V430" s="36" t="s">
        <v>205</v>
      </c>
      <c r="W430" s="36" t="s">
        <v>826</v>
      </c>
      <c r="X430" s="44" t="s">
        <v>856</v>
      </c>
      <c r="Y430" s="41" t="s">
        <v>1529</v>
      </c>
      <c r="Z430" s="47" t="n">
        <v>41326</v>
      </c>
      <c r="AA430" s="35" t="s">
        <v>526</v>
      </c>
    </row>
    <row r="431" customFormat="false" ht="49.5" hidden="false" customHeight="true" outlineLevel="0" collapsed="false">
      <c r="A431" s="34" t="n">
        <v>430</v>
      </c>
      <c r="B431" s="37" t="s">
        <v>291</v>
      </c>
      <c r="C431" s="45" t="s">
        <v>248</v>
      </c>
      <c r="D431" s="43" t="s">
        <v>249</v>
      </c>
      <c r="E431" s="35" t="s">
        <v>211</v>
      </c>
      <c r="F431" s="39" t="s">
        <v>773</v>
      </c>
      <c r="G431" s="43" t="s">
        <v>1232</v>
      </c>
      <c r="H431" s="44" t="s">
        <v>1233</v>
      </c>
      <c r="I431" s="45" t="s">
        <v>743</v>
      </c>
      <c r="J431" s="36"/>
      <c r="K431" s="36"/>
      <c r="L431" s="45"/>
      <c r="M431" s="36" t="s">
        <v>521</v>
      </c>
      <c r="N431" s="40" t="n">
        <v>1000</v>
      </c>
      <c r="O431" s="35"/>
      <c r="P431" s="35" t="s">
        <v>265</v>
      </c>
      <c r="Q431" s="35" t="s">
        <v>67</v>
      </c>
      <c r="R431" s="35" t="s">
        <v>68</v>
      </c>
      <c r="S431" s="42" t="n">
        <v>3</v>
      </c>
      <c r="T431" s="35" t="s">
        <v>246</v>
      </c>
      <c r="U431" s="35" t="s">
        <v>204</v>
      </c>
      <c r="V431" s="36" t="s">
        <v>226</v>
      </c>
      <c r="W431" s="36" t="s">
        <v>524</v>
      </c>
      <c r="X431" s="44" t="s">
        <v>210</v>
      </c>
      <c r="Y431" s="41" t="s">
        <v>1246</v>
      </c>
      <c r="Z431" s="47" t="n">
        <v>41990</v>
      </c>
      <c r="AA431" s="35" t="s">
        <v>526</v>
      </c>
    </row>
    <row r="432" customFormat="false" ht="49.5" hidden="false" customHeight="true" outlineLevel="0" collapsed="false">
      <c r="A432" s="34" t="n">
        <v>431</v>
      </c>
      <c r="B432" s="37" t="s">
        <v>291</v>
      </c>
      <c r="C432" s="45" t="s">
        <v>248</v>
      </c>
      <c r="D432" s="43" t="s">
        <v>249</v>
      </c>
      <c r="E432" s="35" t="s">
        <v>211</v>
      </c>
      <c r="F432" s="39" t="s">
        <v>785</v>
      </c>
      <c r="G432" s="43" t="s">
        <v>1232</v>
      </c>
      <c r="H432" s="44" t="s">
        <v>1233</v>
      </c>
      <c r="I432" s="45" t="s">
        <v>743</v>
      </c>
      <c r="J432" s="36"/>
      <c r="K432" s="36"/>
      <c r="L432" s="45"/>
      <c r="M432" s="36" t="s">
        <v>521</v>
      </c>
      <c r="N432" s="40" t="n">
        <v>1000</v>
      </c>
      <c r="O432" s="35"/>
      <c r="P432" s="35" t="s">
        <v>265</v>
      </c>
      <c r="Q432" s="35" t="s">
        <v>67</v>
      </c>
      <c r="R432" s="35" t="s">
        <v>68</v>
      </c>
      <c r="S432" s="42" t="n">
        <v>3</v>
      </c>
      <c r="T432" s="35" t="s">
        <v>246</v>
      </c>
      <c r="U432" s="35" t="s">
        <v>204</v>
      </c>
      <c r="V432" s="36" t="s">
        <v>205</v>
      </c>
      <c r="W432" s="36" t="s">
        <v>524</v>
      </c>
      <c r="X432" s="44" t="s">
        <v>1530</v>
      </c>
      <c r="Y432" s="41" t="s">
        <v>1531</v>
      </c>
      <c r="Z432" s="47" t="n">
        <v>46048</v>
      </c>
      <c r="AA432" s="35" t="s">
        <v>526</v>
      </c>
    </row>
    <row r="433" customFormat="false" ht="49.5" hidden="false" customHeight="true" outlineLevel="0" collapsed="false">
      <c r="A433" s="34" t="n">
        <v>432</v>
      </c>
      <c r="B433" s="37" t="s">
        <v>291</v>
      </c>
      <c r="C433" s="45" t="s">
        <v>248</v>
      </c>
      <c r="D433" s="43" t="s">
        <v>249</v>
      </c>
      <c r="E433" s="35" t="s">
        <v>211</v>
      </c>
      <c r="F433" s="39" t="s">
        <v>785</v>
      </c>
      <c r="G433" s="43" t="s">
        <v>1232</v>
      </c>
      <c r="H433" s="44" t="s">
        <v>1233</v>
      </c>
      <c r="I433" s="45" t="s">
        <v>743</v>
      </c>
      <c r="J433" s="36"/>
      <c r="K433" s="36"/>
      <c r="L433" s="45"/>
      <c r="M433" s="36" t="s">
        <v>521</v>
      </c>
      <c r="N433" s="40" t="n">
        <v>1000</v>
      </c>
      <c r="O433" s="35"/>
      <c r="P433" s="35" t="s">
        <v>265</v>
      </c>
      <c r="Q433" s="35" t="s">
        <v>67</v>
      </c>
      <c r="R433" s="35" t="s">
        <v>68</v>
      </c>
      <c r="S433" s="42" t="n">
        <v>3</v>
      </c>
      <c r="T433" s="35" t="s">
        <v>246</v>
      </c>
      <c r="U433" s="35" t="s">
        <v>204</v>
      </c>
      <c r="V433" s="36" t="s">
        <v>205</v>
      </c>
      <c r="W433" s="36" t="s">
        <v>826</v>
      </c>
      <c r="X433" s="44" t="s">
        <v>1530</v>
      </c>
      <c r="Y433" s="41" t="s">
        <v>1532</v>
      </c>
      <c r="Z433" s="47" t="n">
        <v>42675</v>
      </c>
      <c r="AA433" s="35" t="s">
        <v>526</v>
      </c>
    </row>
    <row r="434" customFormat="false" ht="49.5" hidden="false" customHeight="true" outlineLevel="0" collapsed="false">
      <c r="A434" s="34" t="n">
        <v>433</v>
      </c>
      <c r="B434" s="37" t="s">
        <v>291</v>
      </c>
      <c r="C434" s="45" t="s">
        <v>248</v>
      </c>
      <c r="D434" s="43" t="s">
        <v>249</v>
      </c>
      <c r="E434" s="35" t="s">
        <v>211</v>
      </c>
      <c r="F434" s="39" t="s">
        <v>786</v>
      </c>
      <c r="G434" s="43" t="s">
        <v>1232</v>
      </c>
      <c r="H434" s="44" t="s">
        <v>1233</v>
      </c>
      <c r="I434" s="45" t="s">
        <v>743</v>
      </c>
      <c r="J434" s="36"/>
      <c r="K434" s="36"/>
      <c r="L434" s="45"/>
      <c r="M434" s="36" t="s">
        <v>521</v>
      </c>
      <c r="N434" s="40" t="n">
        <v>1000</v>
      </c>
      <c r="O434" s="35"/>
      <c r="P434" s="35" t="s">
        <v>265</v>
      </c>
      <c r="Q434" s="35" t="s">
        <v>67</v>
      </c>
      <c r="R434" s="35" t="s">
        <v>68</v>
      </c>
      <c r="S434" s="42" t="n">
        <v>3</v>
      </c>
      <c r="T434" s="35" t="s">
        <v>246</v>
      </c>
      <c r="U434" s="35" t="s">
        <v>204</v>
      </c>
      <c r="V434" s="36" t="s">
        <v>226</v>
      </c>
      <c r="W434" s="36" t="s">
        <v>524</v>
      </c>
      <c r="X434" s="43" t="s">
        <v>906</v>
      </c>
      <c r="Y434" s="41" t="s">
        <v>1250</v>
      </c>
      <c r="Z434" s="47" t="n">
        <v>43208</v>
      </c>
      <c r="AA434" s="35" t="s">
        <v>526</v>
      </c>
    </row>
    <row r="435" customFormat="false" ht="49.5" hidden="false" customHeight="true" outlineLevel="0" collapsed="false">
      <c r="A435" s="34" t="n">
        <v>434</v>
      </c>
      <c r="B435" s="37" t="s">
        <v>291</v>
      </c>
      <c r="C435" s="45" t="s">
        <v>248</v>
      </c>
      <c r="D435" s="43" t="s">
        <v>249</v>
      </c>
      <c r="E435" s="35" t="s">
        <v>211</v>
      </c>
      <c r="F435" s="39" t="s">
        <v>787</v>
      </c>
      <c r="G435" s="43" t="s">
        <v>1232</v>
      </c>
      <c r="H435" s="44" t="s">
        <v>1233</v>
      </c>
      <c r="I435" s="45" t="s">
        <v>743</v>
      </c>
      <c r="J435" s="36"/>
      <c r="K435" s="36"/>
      <c r="L435" s="45"/>
      <c r="M435" s="36" t="s">
        <v>521</v>
      </c>
      <c r="N435" s="40" t="n">
        <v>1000</v>
      </c>
      <c r="O435" s="35"/>
      <c r="P435" s="35" t="s">
        <v>265</v>
      </c>
      <c r="Q435" s="35" t="s">
        <v>67</v>
      </c>
      <c r="R435" s="35" t="s">
        <v>68</v>
      </c>
      <c r="S435" s="42" t="n">
        <v>3</v>
      </c>
      <c r="T435" s="35" t="s">
        <v>246</v>
      </c>
      <c r="U435" s="35" t="s">
        <v>204</v>
      </c>
      <c r="V435" s="36" t="s">
        <v>205</v>
      </c>
      <c r="W435" s="36" t="s">
        <v>524</v>
      </c>
      <c r="X435" s="44" t="s">
        <v>875</v>
      </c>
      <c r="Y435" s="41" t="s">
        <v>1533</v>
      </c>
      <c r="Z435" s="47" t="n">
        <v>43963</v>
      </c>
      <c r="AA435" s="35" t="s">
        <v>526</v>
      </c>
    </row>
    <row r="436" customFormat="false" ht="49.5" hidden="false" customHeight="true" outlineLevel="0" collapsed="false">
      <c r="A436" s="34" t="n">
        <v>435</v>
      </c>
      <c r="B436" s="37" t="s">
        <v>291</v>
      </c>
      <c r="C436" s="45" t="s">
        <v>248</v>
      </c>
      <c r="D436" s="43" t="s">
        <v>249</v>
      </c>
      <c r="E436" s="35" t="s">
        <v>211</v>
      </c>
      <c r="F436" s="39" t="s">
        <v>788</v>
      </c>
      <c r="G436" s="43" t="s">
        <v>1232</v>
      </c>
      <c r="H436" s="44" t="s">
        <v>1233</v>
      </c>
      <c r="I436" s="45" t="s">
        <v>743</v>
      </c>
      <c r="J436" s="36"/>
      <c r="K436" s="36"/>
      <c r="L436" s="45"/>
      <c r="M436" s="36" t="s">
        <v>521</v>
      </c>
      <c r="N436" s="40" t="n">
        <v>1000</v>
      </c>
      <c r="O436" s="35"/>
      <c r="P436" s="35" t="s">
        <v>265</v>
      </c>
      <c r="Q436" s="35" t="s">
        <v>67</v>
      </c>
      <c r="R436" s="35" t="s">
        <v>68</v>
      </c>
      <c r="S436" s="42" t="n">
        <v>3</v>
      </c>
      <c r="T436" s="35" t="s">
        <v>246</v>
      </c>
      <c r="U436" s="35" t="s">
        <v>204</v>
      </c>
      <c r="V436" s="36" t="s">
        <v>205</v>
      </c>
      <c r="W436" s="36" t="s">
        <v>826</v>
      </c>
      <c r="X436" s="43" t="s">
        <v>369</v>
      </c>
      <c r="Y436" s="41" t="s">
        <v>1252</v>
      </c>
      <c r="Z436" s="47" t="n">
        <v>39814</v>
      </c>
      <c r="AA436" s="35" t="s">
        <v>526</v>
      </c>
    </row>
    <row r="437" customFormat="false" ht="49.5" hidden="false" customHeight="true" outlineLevel="0" collapsed="false">
      <c r="A437" s="34" t="n">
        <v>436</v>
      </c>
      <c r="B437" s="37" t="s">
        <v>291</v>
      </c>
      <c r="C437" s="45" t="s">
        <v>248</v>
      </c>
      <c r="D437" s="43" t="s">
        <v>249</v>
      </c>
      <c r="E437" s="35" t="s">
        <v>211</v>
      </c>
      <c r="F437" s="39" t="s">
        <v>788</v>
      </c>
      <c r="G437" s="43" t="s">
        <v>1232</v>
      </c>
      <c r="H437" s="44" t="s">
        <v>1233</v>
      </c>
      <c r="I437" s="45" t="s">
        <v>743</v>
      </c>
      <c r="J437" s="36"/>
      <c r="K437" s="36"/>
      <c r="L437" s="45"/>
      <c r="M437" s="36" t="s">
        <v>521</v>
      </c>
      <c r="N437" s="40" t="n">
        <v>1000</v>
      </c>
      <c r="O437" s="35"/>
      <c r="P437" s="35" t="s">
        <v>265</v>
      </c>
      <c r="Q437" s="35" t="s">
        <v>67</v>
      </c>
      <c r="R437" s="35" t="s">
        <v>68</v>
      </c>
      <c r="S437" s="42" t="n">
        <v>3</v>
      </c>
      <c r="T437" s="35" t="s">
        <v>246</v>
      </c>
      <c r="U437" s="35" t="s">
        <v>204</v>
      </c>
      <c r="V437" s="36" t="s">
        <v>205</v>
      </c>
      <c r="W437" s="36" t="s">
        <v>524</v>
      </c>
      <c r="X437" s="43" t="s">
        <v>369</v>
      </c>
      <c r="Y437" s="41" t="s">
        <v>1251</v>
      </c>
      <c r="Z437" s="47" t="n">
        <v>44148</v>
      </c>
      <c r="AA437" s="35" t="s">
        <v>526</v>
      </c>
    </row>
    <row r="438" customFormat="false" ht="49.5" hidden="false" customHeight="true" outlineLevel="0" collapsed="false">
      <c r="A438" s="34" t="n">
        <v>437</v>
      </c>
      <c r="B438" s="37" t="s">
        <v>291</v>
      </c>
      <c r="C438" s="45" t="s">
        <v>248</v>
      </c>
      <c r="D438" s="43" t="s">
        <v>249</v>
      </c>
      <c r="E438" s="35" t="s">
        <v>211</v>
      </c>
      <c r="F438" s="39" t="s">
        <v>789</v>
      </c>
      <c r="G438" s="43" t="s">
        <v>1232</v>
      </c>
      <c r="H438" s="44" t="s">
        <v>1233</v>
      </c>
      <c r="I438" s="45" t="s">
        <v>743</v>
      </c>
      <c r="J438" s="36"/>
      <c r="K438" s="36"/>
      <c r="L438" s="45"/>
      <c r="M438" s="36" t="s">
        <v>521</v>
      </c>
      <c r="N438" s="40" t="n">
        <v>1000</v>
      </c>
      <c r="O438" s="35"/>
      <c r="P438" s="35" t="s">
        <v>265</v>
      </c>
      <c r="Q438" s="35" t="s">
        <v>67</v>
      </c>
      <c r="R438" s="35" t="s">
        <v>68</v>
      </c>
      <c r="S438" s="42" t="n">
        <v>3</v>
      </c>
      <c r="T438" s="35" t="s">
        <v>246</v>
      </c>
      <c r="U438" s="35" t="s">
        <v>204</v>
      </c>
      <c r="V438" s="36" t="s">
        <v>205</v>
      </c>
      <c r="W438" s="36" t="s">
        <v>826</v>
      </c>
      <c r="X438" s="44" t="s">
        <v>830</v>
      </c>
      <c r="Y438" s="41" t="s">
        <v>1534</v>
      </c>
      <c r="Z438" s="47" t="n">
        <v>44806</v>
      </c>
      <c r="AA438" s="35" t="s">
        <v>526</v>
      </c>
    </row>
    <row r="439" customFormat="false" ht="49.5" hidden="false" customHeight="true" outlineLevel="0" collapsed="false">
      <c r="A439" s="34" t="n">
        <v>438</v>
      </c>
      <c r="B439" s="37" t="s">
        <v>291</v>
      </c>
      <c r="C439" s="45" t="s">
        <v>248</v>
      </c>
      <c r="D439" s="43" t="s">
        <v>249</v>
      </c>
      <c r="E439" s="35" t="s">
        <v>211</v>
      </c>
      <c r="F439" s="39" t="s">
        <v>791</v>
      </c>
      <c r="G439" s="43" t="s">
        <v>1232</v>
      </c>
      <c r="H439" s="44" t="s">
        <v>1233</v>
      </c>
      <c r="I439" s="45" t="s">
        <v>743</v>
      </c>
      <c r="J439" s="36"/>
      <c r="K439" s="36"/>
      <c r="L439" s="45"/>
      <c r="M439" s="36" t="s">
        <v>521</v>
      </c>
      <c r="N439" s="40" t="n">
        <v>1000</v>
      </c>
      <c r="O439" s="35"/>
      <c r="P439" s="35" t="s">
        <v>265</v>
      </c>
      <c r="Q439" s="35" t="s">
        <v>67</v>
      </c>
      <c r="R439" s="35" t="s">
        <v>68</v>
      </c>
      <c r="S439" s="42" t="n">
        <v>3</v>
      </c>
      <c r="T439" s="35" t="s">
        <v>246</v>
      </c>
      <c r="U439" s="35" t="s">
        <v>204</v>
      </c>
      <c r="V439" s="36" t="s">
        <v>205</v>
      </c>
      <c r="W439" s="36" t="s">
        <v>524</v>
      </c>
      <c r="X439" s="43" t="s">
        <v>895</v>
      </c>
      <c r="Y439" s="41" t="s">
        <v>1535</v>
      </c>
      <c r="Z439" s="47" t="n">
        <v>43775</v>
      </c>
      <c r="AA439" s="35" t="s">
        <v>526</v>
      </c>
    </row>
    <row r="440" customFormat="false" ht="49.5" hidden="false" customHeight="true" outlineLevel="0" collapsed="false">
      <c r="A440" s="34" t="n">
        <v>439</v>
      </c>
      <c r="B440" s="37" t="s">
        <v>291</v>
      </c>
      <c r="C440" s="45" t="s">
        <v>248</v>
      </c>
      <c r="D440" s="43" t="s">
        <v>249</v>
      </c>
      <c r="E440" s="35" t="s">
        <v>211</v>
      </c>
      <c r="F440" s="39" t="s">
        <v>792</v>
      </c>
      <c r="G440" s="43" t="s">
        <v>1232</v>
      </c>
      <c r="H440" s="44" t="s">
        <v>1233</v>
      </c>
      <c r="I440" s="45" t="s">
        <v>743</v>
      </c>
      <c r="J440" s="36"/>
      <c r="K440" s="36"/>
      <c r="L440" s="45"/>
      <c r="M440" s="36" t="s">
        <v>521</v>
      </c>
      <c r="N440" s="40" t="n">
        <v>1000</v>
      </c>
      <c r="O440" s="35"/>
      <c r="P440" s="35" t="s">
        <v>265</v>
      </c>
      <c r="Q440" s="35" t="s">
        <v>67</v>
      </c>
      <c r="R440" s="35" t="s">
        <v>68</v>
      </c>
      <c r="S440" s="42" t="n">
        <v>3</v>
      </c>
      <c r="T440" s="35" t="s">
        <v>246</v>
      </c>
      <c r="U440" s="35" t="s">
        <v>204</v>
      </c>
      <c r="V440" s="36" t="s">
        <v>226</v>
      </c>
      <c r="W440" s="36" t="s">
        <v>524</v>
      </c>
      <c r="X440" s="44" t="s">
        <v>1536</v>
      </c>
      <c r="Y440" s="41" t="s">
        <v>1537</v>
      </c>
      <c r="Z440" s="47" t="n">
        <v>45490</v>
      </c>
      <c r="AA440" s="35" t="s">
        <v>526</v>
      </c>
    </row>
    <row r="441" customFormat="false" ht="49.5" hidden="false" customHeight="true" outlineLevel="0" collapsed="false">
      <c r="A441" s="34" t="n">
        <v>440</v>
      </c>
      <c r="B441" s="37" t="s">
        <v>291</v>
      </c>
      <c r="C441" s="45" t="s">
        <v>248</v>
      </c>
      <c r="D441" s="43" t="s">
        <v>249</v>
      </c>
      <c r="E441" s="35" t="s">
        <v>211</v>
      </c>
      <c r="F441" s="39" t="s">
        <v>798</v>
      </c>
      <c r="G441" s="43" t="s">
        <v>1232</v>
      </c>
      <c r="H441" s="44" t="s">
        <v>1233</v>
      </c>
      <c r="I441" s="45" t="s">
        <v>743</v>
      </c>
      <c r="J441" s="36"/>
      <c r="K441" s="36"/>
      <c r="L441" s="45"/>
      <c r="M441" s="36" t="s">
        <v>521</v>
      </c>
      <c r="N441" s="40" t="n">
        <v>1000</v>
      </c>
      <c r="O441" s="35"/>
      <c r="P441" s="35" t="s">
        <v>265</v>
      </c>
      <c r="Q441" s="35" t="s">
        <v>67</v>
      </c>
      <c r="R441" s="35" t="s">
        <v>68</v>
      </c>
      <c r="S441" s="42" t="n">
        <v>3</v>
      </c>
      <c r="T441" s="35" t="s">
        <v>246</v>
      </c>
      <c r="U441" s="35" t="s">
        <v>204</v>
      </c>
      <c r="V441" s="36" t="s">
        <v>226</v>
      </c>
      <c r="W441" s="36" t="s">
        <v>826</v>
      </c>
      <c r="X441" s="43" t="s">
        <v>853</v>
      </c>
      <c r="Y441" s="41" t="s">
        <v>1256</v>
      </c>
      <c r="Z441" s="47" t="n">
        <v>43027</v>
      </c>
      <c r="AA441" s="35" t="s">
        <v>526</v>
      </c>
    </row>
    <row r="442" customFormat="false" ht="49.5" hidden="false" customHeight="true" outlineLevel="0" collapsed="false">
      <c r="A442" s="34" t="n">
        <v>441</v>
      </c>
      <c r="B442" s="37" t="s">
        <v>291</v>
      </c>
      <c r="C442" s="45" t="s">
        <v>248</v>
      </c>
      <c r="D442" s="43" t="s">
        <v>249</v>
      </c>
      <c r="E442" s="35" t="s">
        <v>211</v>
      </c>
      <c r="F442" s="39" t="s">
        <v>611</v>
      </c>
      <c r="G442" s="43" t="s">
        <v>1232</v>
      </c>
      <c r="H442" s="44" t="s">
        <v>1233</v>
      </c>
      <c r="I442" s="45" t="s">
        <v>743</v>
      </c>
      <c r="J442" s="36"/>
      <c r="K442" s="36"/>
      <c r="L442" s="45"/>
      <c r="M442" s="36" t="s">
        <v>521</v>
      </c>
      <c r="N442" s="40" t="n">
        <v>1000</v>
      </c>
      <c r="O442" s="35"/>
      <c r="P442" s="35" t="s">
        <v>265</v>
      </c>
      <c r="Q442" s="35" t="s">
        <v>67</v>
      </c>
      <c r="R442" s="35" t="s">
        <v>68</v>
      </c>
      <c r="S442" s="42" t="n">
        <v>3</v>
      </c>
      <c r="T442" s="35" t="s">
        <v>246</v>
      </c>
      <c r="U442" s="35" t="s">
        <v>204</v>
      </c>
      <c r="V442" s="36" t="s">
        <v>205</v>
      </c>
      <c r="W442" s="36" t="s">
        <v>826</v>
      </c>
      <c r="X442" s="43" t="s">
        <v>1538</v>
      </c>
      <c r="Y442" s="41" t="s">
        <v>1539</v>
      </c>
      <c r="Z442" s="47" t="n">
        <v>44404</v>
      </c>
      <c r="AA442" s="35" t="s">
        <v>526</v>
      </c>
    </row>
    <row r="443" customFormat="false" ht="49.5" hidden="false" customHeight="true" outlineLevel="0" collapsed="false">
      <c r="A443" s="34" t="n">
        <v>442</v>
      </c>
      <c r="B443" s="37" t="s">
        <v>291</v>
      </c>
      <c r="C443" s="45" t="s">
        <v>248</v>
      </c>
      <c r="D443" s="43" t="s">
        <v>249</v>
      </c>
      <c r="E443" s="35" t="s">
        <v>211</v>
      </c>
      <c r="F443" s="39" t="s">
        <v>806</v>
      </c>
      <c r="G443" s="43" t="s">
        <v>1232</v>
      </c>
      <c r="H443" s="44" t="s">
        <v>1233</v>
      </c>
      <c r="I443" s="45" t="s">
        <v>743</v>
      </c>
      <c r="J443" s="36"/>
      <c r="K443" s="36"/>
      <c r="L443" s="45"/>
      <c r="M443" s="36" t="s">
        <v>521</v>
      </c>
      <c r="N443" s="40" t="n">
        <v>1000</v>
      </c>
      <c r="O443" s="35"/>
      <c r="P443" s="35" t="s">
        <v>265</v>
      </c>
      <c r="Q443" s="35" t="s">
        <v>67</v>
      </c>
      <c r="R443" s="35" t="s">
        <v>68</v>
      </c>
      <c r="S443" s="42" t="n">
        <v>3</v>
      </c>
      <c r="T443" s="35" t="s">
        <v>246</v>
      </c>
      <c r="U443" s="35" t="s">
        <v>537</v>
      </c>
      <c r="V443" s="36" t="s">
        <v>205</v>
      </c>
      <c r="W443" s="36" t="s">
        <v>524</v>
      </c>
      <c r="X443" s="43" t="s">
        <v>872</v>
      </c>
      <c r="Y443" s="41" t="s">
        <v>1262</v>
      </c>
      <c r="Z443" s="47" t="n">
        <v>43922</v>
      </c>
      <c r="AA443" s="35" t="s">
        <v>526</v>
      </c>
    </row>
    <row r="444" customFormat="false" ht="49.5" hidden="false" customHeight="true" outlineLevel="0" collapsed="false">
      <c r="A444" s="34" t="n">
        <v>443</v>
      </c>
      <c r="B444" s="37" t="s">
        <v>291</v>
      </c>
      <c r="C444" s="45" t="s">
        <v>248</v>
      </c>
      <c r="D444" s="43" t="s">
        <v>249</v>
      </c>
      <c r="E444" s="35" t="s">
        <v>211</v>
      </c>
      <c r="F444" s="39" t="s">
        <v>807</v>
      </c>
      <c r="G444" s="43" t="s">
        <v>1232</v>
      </c>
      <c r="H444" s="44" t="s">
        <v>1233</v>
      </c>
      <c r="I444" s="45" t="s">
        <v>743</v>
      </c>
      <c r="J444" s="36"/>
      <c r="K444" s="36"/>
      <c r="L444" s="45"/>
      <c r="M444" s="36" t="s">
        <v>521</v>
      </c>
      <c r="N444" s="40" t="n">
        <v>1000</v>
      </c>
      <c r="O444" s="35"/>
      <c r="P444" s="35" t="s">
        <v>265</v>
      </c>
      <c r="Q444" s="35" t="s">
        <v>67</v>
      </c>
      <c r="R444" s="35" t="s">
        <v>68</v>
      </c>
      <c r="S444" s="42" t="n">
        <v>3</v>
      </c>
      <c r="T444" s="35" t="s">
        <v>246</v>
      </c>
      <c r="U444" s="35" t="s">
        <v>204</v>
      </c>
      <c r="V444" s="36" t="s">
        <v>226</v>
      </c>
      <c r="W444" s="36" t="s">
        <v>524</v>
      </c>
      <c r="X444" s="44" t="s">
        <v>230</v>
      </c>
      <c r="Y444" s="41" t="s">
        <v>1540</v>
      </c>
      <c r="Z444" s="47" t="n">
        <v>43567</v>
      </c>
      <c r="AA444" s="35" t="s">
        <v>526</v>
      </c>
    </row>
    <row r="445" customFormat="false" ht="49.5" hidden="false" customHeight="true" outlineLevel="0" collapsed="false">
      <c r="A445" s="34" t="n">
        <v>444</v>
      </c>
      <c r="B445" s="37" t="s">
        <v>291</v>
      </c>
      <c r="C445" s="45" t="s">
        <v>248</v>
      </c>
      <c r="D445" s="43" t="s">
        <v>249</v>
      </c>
      <c r="E445" s="35" t="s">
        <v>211</v>
      </c>
      <c r="F445" s="39" t="s">
        <v>808</v>
      </c>
      <c r="G445" s="43" t="s">
        <v>1232</v>
      </c>
      <c r="H445" s="44" t="s">
        <v>1233</v>
      </c>
      <c r="I445" s="45" t="s">
        <v>743</v>
      </c>
      <c r="J445" s="36"/>
      <c r="K445" s="36"/>
      <c r="L445" s="45"/>
      <c r="M445" s="36" t="s">
        <v>521</v>
      </c>
      <c r="N445" s="40" t="n">
        <v>1000</v>
      </c>
      <c r="O445" s="35"/>
      <c r="P445" s="35" t="s">
        <v>265</v>
      </c>
      <c r="Q445" s="35" t="s">
        <v>67</v>
      </c>
      <c r="R445" s="35" t="s">
        <v>68</v>
      </c>
      <c r="S445" s="42" t="n">
        <v>3</v>
      </c>
      <c r="T445" s="35" t="s">
        <v>246</v>
      </c>
      <c r="U445" s="35" t="s">
        <v>204</v>
      </c>
      <c r="V445" s="36" t="s">
        <v>205</v>
      </c>
      <c r="W445" s="36" t="s">
        <v>826</v>
      </c>
      <c r="X445" s="44" t="s">
        <v>221</v>
      </c>
      <c r="Y445" s="41" t="s">
        <v>1264</v>
      </c>
      <c r="Z445" s="47" t="n">
        <v>41269</v>
      </c>
      <c r="AA445" s="35" t="s">
        <v>526</v>
      </c>
    </row>
    <row r="446" customFormat="false" ht="49.5" hidden="false" customHeight="true" outlineLevel="0" collapsed="false">
      <c r="A446" s="34" t="n">
        <v>445</v>
      </c>
      <c r="B446" s="37" t="s">
        <v>291</v>
      </c>
      <c r="C446" s="45" t="s">
        <v>248</v>
      </c>
      <c r="D446" s="43" t="s">
        <v>249</v>
      </c>
      <c r="E446" s="35" t="s">
        <v>211</v>
      </c>
      <c r="F446" s="39" t="s">
        <v>808</v>
      </c>
      <c r="G446" s="43" t="s">
        <v>1232</v>
      </c>
      <c r="H446" s="44" t="s">
        <v>1233</v>
      </c>
      <c r="I446" s="45" t="s">
        <v>743</v>
      </c>
      <c r="J446" s="36"/>
      <c r="K446" s="36"/>
      <c r="L446" s="45"/>
      <c r="M446" s="36" t="s">
        <v>521</v>
      </c>
      <c r="N446" s="40" t="n">
        <v>1000</v>
      </c>
      <c r="O446" s="35"/>
      <c r="P446" s="35" t="s">
        <v>265</v>
      </c>
      <c r="Q446" s="35" t="s">
        <v>67</v>
      </c>
      <c r="R446" s="35" t="s">
        <v>68</v>
      </c>
      <c r="S446" s="42" t="n">
        <v>3</v>
      </c>
      <c r="T446" s="35" t="s">
        <v>246</v>
      </c>
      <c r="U446" s="35" t="s">
        <v>204</v>
      </c>
      <c r="V446" s="36" t="s">
        <v>205</v>
      </c>
      <c r="W446" s="36" t="s">
        <v>524</v>
      </c>
      <c r="X446" s="44" t="s">
        <v>221</v>
      </c>
      <c r="Y446" s="41" t="s">
        <v>1263</v>
      </c>
      <c r="Z446" s="47" t="n">
        <v>42618</v>
      </c>
      <c r="AA446" s="35" t="s">
        <v>526</v>
      </c>
    </row>
    <row r="447" customFormat="false" ht="49.5" hidden="false" customHeight="true" outlineLevel="0" collapsed="false">
      <c r="A447" s="34" t="n">
        <v>446</v>
      </c>
      <c r="B447" s="37" t="s">
        <v>291</v>
      </c>
      <c r="C447" s="45" t="s">
        <v>248</v>
      </c>
      <c r="D447" s="43" t="s">
        <v>249</v>
      </c>
      <c r="E447" s="35" t="s">
        <v>211</v>
      </c>
      <c r="F447" s="39" t="s">
        <v>810</v>
      </c>
      <c r="G447" s="43" t="s">
        <v>1232</v>
      </c>
      <c r="H447" s="44" t="s">
        <v>1233</v>
      </c>
      <c r="I447" s="45" t="s">
        <v>743</v>
      </c>
      <c r="J447" s="36"/>
      <c r="K447" s="36"/>
      <c r="L447" s="45"/>
      <c r="M447" s="36" t="s">
        <v>521</v>
      </c>
      <c r="N447" s="40" t="n">
        <v>1000</v>
      </c>
      <c r="O447" s="35"/>
      <c r="P447" s="35" t="s">
        <v>265</v>
      </c>
      <c r="Q447" s="35" t="s">
        <v>67</v>
      </c>
      <c r="R447" s="35" t="s">
        <v>68</v>
      </c>
      <c r="S447" s="42" t="n">
        <v>3</v>
      </c>
      <c r="T447" s="35" t="s">
        <v>246</v>
      </c>
      <c r="U447" s="35" t="s">
        <v>537</v>
      </c>
      <c r="V447" s="36" t="s">
        <v>226</v>
      </c>
      <c r="W447" s="36" t="s">
        <v>524</v>
      </c>
      <c r="X447" s="43" t="s">
        <v>878</v>
      </c>
      <c r="Y447" s="41" t="s">
        <v>1265</v>
      </c>
      <c r="Z447" s="47" t="n">
        <v>44992</v>
      </c>
      <c r="AA447" s="35" t="s">
        <v>526</v>
      </c>
    </row>
    <row r="448" customFormat="false" ht="49.5" hidden="false" customHeight="true" outlineLevel="0" collapsed="false">
      <c r="A448" s="34" t="n">
        <v>447</v>
      </c>
      <c r="B448" s="37" t="s">
        <v>291</v>
      </c>
      <c r="C448" s="45" t="s">
        <v>248</v>
      </c>
      <c r="D448" s="43" t="s">
        <v>249</v>
      </c>
      <c r="E448" s="35" t="s">
        <v>211</v>
      </c>
      <c r="F448" s="39" t="s">
        <v>811</v>
      </c>
      <c r="G448" s="43" t="s">
        <v>1232</v>
      </c>
      <c r="H448" s="44" t="s">
        <v>1233</v>
      </c>
      <c r="I448" s="45" t="s">
        <v>743</v>
      </c>
      <c r="J448" s="36"/>
      <c r="K448" s="36"/>
      <c r="L448" s="45"/>
      <c r="M448" s="36" t="s">
        <v>521</v>
      </c>
      <c r="N448" s="40" t="n">
        <v>1000</v>
      </c>
      <c r="O448" s="35"/>
      <c r="P448" s="35" t="s">
        <v>265</v>
      </c>
      <c r="Q448" s="35" t="s">
        <v>67</v>
      </c>
      <c r="R448" s="35" t="s">
        <v>68</v>
      </c>
      <c r="S448" s="42" t="n">
        <v>3</v>
      </c>
      <c r="T448" s="35" t="s">
        <v>246</v>
      </c>
      <c r="U448" s="35" t="s">
        <v>204</v>
      </c>
      <c r="V448" s="36" t="s">
        <v>205</v>
      </c>
      <c r="W448" s="36" t="s">
        <v>826</v>
      </c>
      <c r="X448" s="43" t="s">
        <v>1541</v>
      </c>
      <c r="Y448" s="41" t="s">
        <v>1542</v>
      </c>
      <c r="Z448" s="47" t="n">
        <v>43508</v>
      </c>
      <c r="AA448" s="35" t="s">
        <v>526</v>
      </c>
    </row>
    <row r="449" customFormat="false" ht="49.5" hidden="false" customHeight="true" outlineLevel="0" collapsed="false">
      <c r="A449" s="34" t="n">
        <v>448</v>
      </c>
      <c r="B449" s="37" t="s">
        <v>291</v>
      </c>
      <c r="C449" s="45" t="s">
        <v>248</v>
      </c>
      <c r="D449" s="43" t="s">
        <v>249</v>
      </c>
      <c r="E449" s="35" t="s">
        <v>211</v>
      </c>
      <c r="F449" s="39" t="s">
        <v>811</v>
      </c>
      <c r="G449" s="43" t="s">
        <v>1232</v>
      </c>
      <c r="H449" s="44" t="s">
        <v>1233</v>
      </c>
      <c r="I449" s="45" t="s">
        <v>743</v>
      </c>
      <c r="J449" s="36"/>
      <c r="K449" s="36"/>
      <c r="L449" s="45"/>
      <c r="M449" s="36" t="s">
        <v>521</v>
      </c>
      <c r="N449" s="40" t="n">
        <v>1000</v>
      </c>
      <c r="O449" s="35"/>
      <c r="P449" s="35" t="s">
        <v>265</v>
      </c>
      <c r="Q449" s="35" t="s">
        <v>67</v>
      </c>
      <c r="R449" s="35" t="s">
        <v>68</v>
      </c>
      <c r="S449" s="42" t="n">
        <v>3</v>
      </c>
      <c r="T449" s="35" t="s">
        <v>246</v>
      </c>
      <c r="U449" s="35" t="s">
        <v>204</v>
      </c>
      <c r="V449" s="36" t="s">
        <v>205</v>
      </c>
      <c r="W449" s="36" t="s">
        <v>524</v>
      </c>
      <c r="X449" s="44" t="s">
        <v>341</v>
      </c>
      <c r="Y449" s="41" t="s">
        <v>1543</v>
      </c>
      <c r="Z449" s="47" t="n">
        <v>42460</v>
      </c>
      <c r="AA449" s="35" t="s">
        <v>526</v>
      </c>
    </row>
    <row r="450" customFormat="false" ht="49.5" hidden="false" customHeight="true" outlineLevel="0" collapsed="false">
      <c r="A450" s="34" t="n">
        <v>449</v>
      </c>
      <c r="B450" s="37" t="s">
        <v>291</v>
      </c>
      <c r="C450" s="45" t="s">
        <v>248</v>
      </c>
      <c r="D450" s="43" t="s">
        <v>249</v>
      </c>
      <c r="E450" s="35" t="s">
        <v>211</v>
      </c>
      <c r="F450" s="39" t="s">
        <v>813</v>
      </c>
      <c r="G450" s="43" t="s">
        <v>1232</v>
      </c>
      <c r="H450" s="44" t="s">
        <v>1233</v>
      </c>
      <c r="I450" s="45" t="s">
        <v>743</v>
      </c>
      <c r="J450" s="36"/>
      <c r="K450" s="36"/>
      <c r="L450" s="45"/>
      <c r="M450" s="36" t="s">
        <v>521</v>
      </c>
      <c r="N450" s="40" t="n">
        <v>1000</v>
      </c>
      <c r="O450" s="35"/>
      <c r="P450" s="35" t="s">
        <v>265</v>
      </c>
      <c r="Q450" s="35" t="s">
        <v>67</v>
      </c>
      <c r="R450" s="35" t="s">
        <v>68</v>
      </c>
      <c r="S450" s="42" t="n">
        <v>3</v>
      </c>
      <c r="T450" s="35" t="s">
        <v>246</v>
      </c>
      <c r="U450" s="35" t="s">
        <v>204</v>
      </c>
      <c r="V450" s="36" t="s">
        <v>205</v>
      </c>
      <c r="W450" s="36" t="s">
        <v>826</v>
      </c>
      <c r="X450" s="44" t="s">
        <v>341</v>
      </c>
      <c r="Y450" s="41" t="s">
        <v>1544</v>
      </c>
      <c r="Z450" s="47" t="n">
        <v>41540</v>
      </c>
      <c r="AA450" s="35" t="s">
        <v>526</v>
      </c>
    </row>
    <row r="451" customFormat="false" ht="79.5" hidden="false" customHeight="true" outlineLevel="0" collapsed="false">
      <c r="A451" s="34" t="n">
        <v>450</v>
      </c>
      <c r="B451" s="37" t="s">
        <v>291</v>
      </c>
      <c r="C451" s="45" t="s">
        <v>1288</v>
      </c>
      <c r="D451" s="43" t="s">
        <v>1289</v>
      </c>
      <c r="E451" s="35" t="s">
        <v>211</v>
      </c>
      <c r="F451" s="39" t="s">
        <v>1545</v>
      </c>
      <c r="G451" s="43" t="s">
        <v>1546</v>
      </c>
      <c r="H451" s="44" t="s">
        <v>1547</v>
      </c>
      <c r="I451" s="45" t="s">
        <v>1548</v>
      </c>
      <c r="J451" s="36"/>
      <c r="K451" s="36"/>
      <c r="L451" s="45"/>
      <c r="M451" s="36" t="s">
        <v>521</v>
      </c>
      <c r="N451" s="40" t="n">
        <v>2500</v>
      </c>
      <c r="O451" s="35"/>
      <c r="P451" s="35" t="s">
        <v>265</v>
      </c>
      <c r="Q451" s="35" t="s">
        <v>67</v>
      </c>
      <c r="R451" s="35" t="s">
        <v>91</v>
      </c>
      <c r="S451" s="42" t="n">
        <v>2</v>
      </c>
      <c r="T451" s="35" t="s">
        <v>64</v>
      </c>
      <c r="U451" s="35" t="s">
        <v>537</v>
      </c>
      <c r="V451" s="36" t="s">
        <v>226</v>
      </c>
      <c r="W451" s="36" t="s">
        <v>826</v>
      </c>
      <c r="X451" s="43" t="s">
        <v>330</v>
      </c>
      <c r="Y451" s="41" t="s">
        <v>1549</v>
      </c>
      <c r="Z451" s="47" t="n">
        <v>43578</v>
      </c>
      <c r="AA451" s="35" t="s">
        <v>526</v>
      </c>
    </row>
    <row r="452" customFormat="false" ht="64.5" hidden="false" customHeight="true" outlineLevel="0" collapsed="false">
      <c r="A452" s="34" t="n">
        <v>451</v>
      </c>
      <c r="B452" s="37" t="s">
        <v>291</v>
      </c>
      <c r="C452" s="45" t="s">
        <v>1321</v>
      </c>
      <c r="D452" s="43" t="s">
        <v>1322</v>
      </c>
      <c r="E452" s="35" t="s">
        <v>211</v>
      </c>
      <c r="F452" s="39" t="s">
        <v>1323</v>
      </c>
      <c r="G452" s="43" t="s">
        <v>1324</v>
      </c>
      <c r="H452" s="44" t="s">
        <v>1325</v>
      </c>
      <c r="I452" s="45" t="s">
        <v>1326</v>
      </c>
      <c r="J452" s="36" t="s">
        <v>80</v>
      </c>
      <c r="K452" s="36"/>
      <c r="L452" s="45"/>
      <c r="M452" s="36" t="s">
        <v>521</v>
      </c>
      <c r="N452" s="40" t="n">
        <v>2000</v>
      </c>
      <c r="O452" s="35"/>
      <c r="P452" s="35" t="s">
        <v>265</v>
      </c>
      <c r="Q452" s="35" t="s">
        <v>67</v>
      </c>
      <c r="R452" s="35" t="s">
        <v>68</v>
      </c>
      <c r="S452" s="42" t="n">
        <v>2</v>
      </c>
      <c r="T452" s="35" t="s">
        <v>64</v>
      </c>
      <c r="U452" s="35" t="s">
        <v>537</v>
      </c>
      <c r="V452" s="36" t="s">
        <v>226</v>
      </c>
      <c r="W452" s="36" t="s">
        <v>524</v>
      </c>
      <c r="X452" s="44" t="s">
        <v>267</v>
      </c>
      <c r="Y452" s="41" t="s">
        <v>1327</v>
      </c>
      <c r="Z452" s="47" t="n">
        <v>44067</v>
      </c>
      <c r="AA452" s="35" t="s">
        <v>578</v>
      </c>
    </row>
    <row r="453" customFormat="false" ht="34.5" hidden="false" customHeight="true" outlineLevel="0" collapsed="false">
      <c r="A453" s="34" t="n">
        <v>452</v>
      </c>
      <c r="B453" s="37" t="s">
        <v>291</v>
      </c>
      <c r="C453" s="45" t="s">
        <v>816</v>
      </c>
      <c r="D453" s="43" t="s">
        <v>817</v>
      </c>
      <c r="E453" s="35" t="s">
        <v>211</v>
      </c>
      <c r="F453" s="39" t="s">
        <v>1550</v>
      </c>
      <c r="G453" s="43" t="s">
        <v>1551</v>
      </c>
      <c r="H453" s="44" t="s">
        <v>1552</v>
      </c>
      <c r="I453" s="45" t="s">
        <v>576</v>
      </c>
      <c r="J453" s="36"/>
      <c r="K453" s="36"/>
      <c r="L453" s="45"/>
      <c r="M453" s="36" t="s">
        <v>521</v>
      </c>
      <c r="N453" s="40" t="n">
        <v>2000</v>
      </c>
      <c r="O453" s="35"/>
      <c r="P453" s="35" t="s">
        <v>265</v>
      </c>
      <c r="Q453" s="35" t="s">
        <v>67</v>
      </c>
      <c r="R453" s="35" t="s">
        <v>144</v>
      </c>
      <c r="S453" s="42" t="n">
        <v>2</v>
      </c>
      <c r="T453" s="35" t="s">
        <v>64</v>
      </c>
      <c r="U453" s="35" t="s">
        <v>204</v>
      </c>
      <c r="V453" s="36" t="s">
        <v>205</v>
      </c>
      <c r="W453" s="36" t="s">
        <v>524</v>
      </c>
      <c r="X453" s="44" t="s">
        <v>856</v>
      </c>
      <c r="Y453" s="41" t="s">
        <v>1553</v>
      </c>
      <c r="Z453" s="47" t="n">
        <v>45637</v>
      </c>
      <c r="AA453" s="35" t="s">
        <v>526</v>
      </c>
    </row>
    <row r="454" customFormat="false" ht="34.5" hidden="false" customHeight="true" outlineLevel="0" collapsed="false">
      <c r="A454" s="34" t="n">
        <v>453</v>
      </c>
      <c r="B454" s="37" t="s">
        <v>291</v>
      </c>
      <c r="C454" s="45" t="s">
        <v>816</v>
      </c>
      <c r="D454" s="43" t="s">
        <v>817</v>
      </c>
      <c r="E454" s="35" t="s">
        <v>211</v>
      </c>
      <c r="F454" s="39" t="s">
        <v>1550</v>
      </c>
      <c r="G454" s="43" t="s">
        <v>1551</v>
      </c>
      <c r="H454" s="44" t="s">
        <v>1552</v>
      </c>
      <c r="I454" s="45" t="s">
        <v>576</v>
      </c>
      <c r="J454" s="36"/>
      <c r="K454" s="36"/>
      <c r="L454" s="45"/>
      <c r="M454" s="36" t="s">
        <v>521</v>
      </c>
      <c r="N454" s="40" t="n">
        <v>2000</v>
      </c>
      <c r="O454" s="35"/>
      <c r="P454" s="35" t="s">
        <v>265</v>
      </c>
      <c r="Q454" s="35" t="s">
        <v>67</v>
      </c>
      <c r="R454" s="35" t="s">
        <v>144</v>
      </c>
      <c r="S454" s="42" t="n">
        <v>2</v>
      </c>
      <c r="T454" s="35" t="s">
        <v>64</v>
      </c>
      <c r="U454" s="35" t="s">
        <v>204</v>
      </c>
      <c r="V454" s="36" t="s">
        <v>205</v>
      </c>
      <c r="W454" s="36" t="s">
        <v>826</v>
      </c>
      <c r="X454" s="44" t="s">
        <v>847</v>
      </c>
      <c r="Y454" s="41" t="s">
        <v>1554</v>
      </c>
      <c r="Z454" s="47" t="n">
        <v>45001</v>
      </c>
      <c r="AA454" s="35" t="s">
        <v>526</v>
      </c>
    </row>
    <row r="455" customFormat="false" ht="49.5" hidden="false" customHeight="true" outlineLevel="0" collapsed="false">
      <c r="A455" s="34" t="n">
        <v>454</v>
      </c>
      <c r="B455" s="37" t="s">
        <v>291</v>
      </c>
      <c r="C455" s="45" t="s">
        <v>1555</v>
      </c>
      <c r="D455" s="43" t="s">
        <v>1556</v>
      </c>
      <c r="E455" s="35" t="s">
        <v>211</v>
      </c>
      <c r="F455" s="39" t="s">
        <v>1557</v>
      </c>
      <c r="G455" s="43" t="s">
        <v>1558</v>
      </c>
      <c r="H455" s="44" t="s">
        <v>1559</v>
      </c>
      <c r="I455" s="45" t="s">
        <v>576</v>
      </c>
      <c r="J455" s="36"/>
      <c r="K455" s="36"/>
      <c r="L455" s="45"/>
      <c r="M455" s="36" t="s">
        <v>521</v>
      </c>
      <c r="N455" s="40" t="n">
        <v>2000</v>
      </c>
      <c r="O455" s="35"/>
      <c r="P455" s="35" t="s">
        <v>265</v>
      </c>
      <c r="Q455" s="35" t="s">
        <v>67</v>
      </c>
      <c r="R455" s="35" t="s">
        <v>68</v>
      </c>
      <c r="S455" s="42" t="n">
        <v>2</v>
      </c>
      <c r="T455" s="35" t="s">
        <v>90</v>
      </c>
      <c r="U455" s="35" t="s">
        <v>204</v>
      </c>
      <c r="V455" s="36" t="s">
        <v>205</v>
      </c>
      <c r="W455" s="36" t="s">
        <v>524</v>
      </c>
      <c r="X455" s="44" t="s">
        <v>267</v>
      </c>
      <c r="Y455" s="41" t="s">
        <v>1560</v>
      </c>
      <c r="Z455" s="47" t="n">
        <v>40956</v>
      </c>
      <c r="AA455" s="35" t="s">
        <v>526</v>
      </c>
    </row>
    <row r="456" customFormat="false" ht="64.5" hidden="false" customHeight="true" outlineLevel="0" collapsed="false">
      <c r="A456" s="34" t="n">
        <v>455</v>
      </c>
      <c r="B456" s="37" t="s">
        <v>291</v>
      </c>
      <c r="C456" s="45" t="s">
        <v>1561</v>
      </c>
      <c r="D456" s="43" t="s">
        <v>1562</v>
      </c>
      <c r="E456" s="35" t="s">
        <v>211</v>
      </c>
      <c r="F456" s="39" t="s">
        <v>1563</v>
      </c>
      <c r="G456" s="43" t="s">
        <v>1564</v>
      </c>
      <c r="H456" s="44" t="s">
        <v>1565</v>
      </c>
      <c r="I456" s="45" t="s">
        <v>1566</v>
      </c>
      <c r="J456" s="36"/>
      <c r="K456" s="36"/>
      <c r="L456" s="45"/>
      <c r="M456" s="36" t="s">
        <v>521</v>
      </c>
      <c r="N456" s="40" t="n">
        <v>1000</v>
      </c>
      <c r="O456" s="35"/>
      <c r="P456" s="35" t="s">
        <v>265</v>
      </c>
      <c r="Q456" s="35" t="s">
        <v>67</v>
      </c>
      <c r="R456" s="35" t="s">
        <v>68</v>
      </c>
      <c r="S456" s="42" t="n">
        <v>2</v>
      </c>
      <c r="T456" s="35" t="s">
        <v>64</v>
      </c>
      <c r="U456" s="35" t="s">
        <v>537</v>
      </c>
      <c r="V456" s="36" t="s">
        <v>284</v>
      </c>
      <c r="W456" s="36" t="s">
        <v>524</v>
      </c>
      <c r="X456" s="44" t="s">
        <v>210</v>
      </c>
      <c r="Y456" s="41" t="s">
        <v>1567</v>
      </c>
      <c r="Z456" s="47" t="n">
        <v>45694</v>
      </c>
      <c r="AA456" s="35" t="s">
        <v>526</v>
      </c>
    </row>
    <row r="457" customFormat="false" ht="34.5" hidden="false" customHeight="true" outlineLevel="0" collapsed="false">
      <c r="A457" s="34" t="n">
        <v>456</v>
      </c>
      <c r="B457" s="37" t="s">
        <v>1568</v>
      </c>
      <c r="C457" s="45" t="s">
        <v>571</v>
      </c>
      <c r="D457" s="43" t="s">
        <v>572</v>
      </c>
      <c r="E457" s="35" t="s">
        <v>211</v>
      </c>
      <c r="F457" s="39" t="s">
        <v>573</v>
      </c>
      <c r="G457" s="43" t="s">
        <v>574</v>
      </c>
      <c r="H457" s="43" t="s">
        <v>575</v>
      </c>
      <c r="I457" s="45" t="s">
        <v>576</v>
      </c>
      <c r="J457" s="36" t="s">
        <v>80</v>
      </c>
      <c r="K457" s="36" t="s">
        <v>577</v>
      </c>
      <c r="L457" s="45"/>
      <c r="M457" s="36" t="s">
        <v>521</v>
      </c>
      <c r="N457" s="40" t="n">
        <v>2000</v>
      </c>
      <c r="O457" s="35"/>
      <c r="P457" s="35"/>
      <c r="Q457" s="35"/>
      <c r="R457" s="35"/>
      <c r="S457" s="42"/>
      <c r="T457" s="35" t="s">
        <v>64</v>
      </c>
      <c r="U457" s="35" t="s">
        <v>204</v>
      </c>
      <c r="V457" s="36" t="s">
        <v>205</v>
      </c>
      <c r="W457" s="36"/>
      <c r="X457" s="43" t="s">
        <v>853</v>
      </c>
      <c r="Y457" s="35"/>
      <c r="Z457" s="47"/>
      <c r="AA457" s="41" t="s">
        <v>1225</v>
      </c>
    </row>
    <row r="458" customFormat="false" ht="34.5" hidden="false" customHeight="true" outlineLevel="0" collapsed="false">
      <c r="A458" s="34" t="n">
        <v>457</v>
      </c>
      <c r="B458" s="37" t="s">
        <v>1568</v>
      </c>
      <c r="C458" s="45" t="s">
        <v>254</v>
      </c>
      <c r="D458" s="43" t="s">
        <v>255</v>
      </c>
      <c r="E458" s="35" t="s">
        <v>268</v>
      </c>
      <c r="F458" s="39" t="s">
        <v>1221</v>
      </c>
      <c r="G458" s="43" t="s">
        <v>1219</v>
      </c>
      <c r="H458" s="43" t="s">
        <v>1222</v>
      </c>
      <c r="I458" s="36"/>
      <c r="J458" s="36" t="s">
        <v>1223</v>
      </c>
      <c r="K458" s="36" t="s">
        <v>577</v>
      </c>
      <c r="L458" s="45"/>
      <c r="M458" s="36"/>
      <c r="N458" s="40" t="n">
        <v>2000</v>
      </c>
      <c r="O458" s="35"/>
      <c r="P458" s="35" t="s">
        <v>265</v>
      </c>
      <c r="Q458" s="35" t="s">
        <v>67</v>
      </c>
      <c r="R458" s="35" t="s">
        <v>144</v>
      </c>
      <c r="S458" s="42" t="n">
        <v>3</v>
      </c>
      <c r="T458" s="35" t="s">
        <v>64</v>
      </c>
      <c r="U458" s="35" t="s">
        <v>204</v>
      </c>
      <c r="V458" s="36" t="s">
        <v>205</v>
      </c>
      <c r="W458" s="36"/>
      <c r="X458" s="43" t="s">
        <v>1224</v>
      </c>
      <c r="Y458" s="41" t="s">
        <v>1220</v>
      </c>
      <c r="Z458" s="47"/>
      <c r="AA458" s="41" t="s">
        <v>1225</v>
      </c>
    </row>
    <row r="459" customFormat="false" ht="34.5" hidden="false" customHeight="true" outlineLevel="0" collapsed="false">
      <c r="A459" s="34" t="n">
        <v>458</v>
      </c>
      <c r="B459" s="37" t="s">
        <v>1569</v>
      </c>
      <c r="C459" s="45" t="s">
        <v>571</v>
      </c>
      <c r="D459" s="43" t="s">
        <v>572</v>
      </c>
      <c r="E459" s="35" t="s">
        <v>211</v>
      </c>
      <c r="F459" s="39" t="s">
        <v>573</v>
      </c>
      <c r="G459" s="43" t="s">
        <v>574</v>
      </c>
      <c r="H459" s="43" t="s">
        <v>575</v>
      </c>
      <c r="I459" s="45" t="s">
        <v>576</v>
      </c>
      <c r="J459" s="36" t="s">
        <v>80</v>
      </c>
      <c r="K459" s="36" t="s">
        <v>577</v>
      </c>
      <c r="L459" s="45"/>
      <c r="M459" s="36" t="s">
        <v>521</v>
      </c>
      <c r="N459" s="40"/>
      <c r="O459" s="35"/>
      <c r="P459" s="35"/>
      <c r="Q459" s="35"/>
      <c r="R459" s="35"/>
      <c r="S459" s="42"/>
      <c r="T459" s="35" t="s">
        <v>64</v>
      </c>
      <c r="U459" s="35"/>
      <c r="V459" s="36"/>
      <c r="W459" s="36"/>
      <c r="X459" s="43"/>
      <c r="Y459" s="35"/>
      <c r="Z459" s="47"/>
      <c r="AA459" s="41" t="s">
        <v>1225</v>
      </c>
    </row>
    <row r="460" customFormat="false" ht="34.5" hidden="false" customHeight="true" outlineLevel="0" collapsed="false">
      <c r="A460" s="34" t="n">
        <v>459</v>
      </c>
      <c r="B460" s="37" t="s">
        <v>1569</v>
      </c>
      <c r="C460" s="45" t="s">
        <v>254</v>
      </c>
      <c r="D460" s="43" t="s">
        <v>255</v>
      </c>
      <c r="E460" s="35" t="s">
        <v>268</v>
      </c>
      <c r="F460" s="39" t="s">
        <v>1221</v>
      </c>
      <c r="G460" s="43" t="s">
        <v>1219</v>
      </c>
      <c r="H460" s="43" t="s">
        <v>1222</v>
      </c>
      <c r="I460" s="36"/>
      <c r="J460" s="36" t="s">
        <v>1223</v>
      </c>
      <c r="K460" s="36" t="s">
        <v>577</v>
      </c>
      <c r="L460" s="45"/>
      <c r="M460" s="36"/>
      <c r="N460" s="40" t="n">
        <v>2000</v>
      </c>
      <c r="O460" s="35"/>
      <c r="P460" s="35" t="s">
        <v>265</v>
      </c>
      <c r="Q460" s="35" t="s">
        <v>67</v>
      </c>
      <c r="R460" s="35" t="s">
        <v>144</v>
      </c>
      <c r="S460" s="42" t="n">
        <v>3</v>
      </c>
      <c r="T460" s="35" t="s">
        <v>64</v>
      </c>
      <c r="U460" s="35" t="s">
        <v>204</v>
      </c>
      <c r="V460" s="36" t="s">
        <v>205</v>
      </c>
      <c r="W460" s="36"/>
      <c r="X460" s="43" t="s">
        <v>1224</v>
      </c>
      <c r="Y460" s="41" t="s">
        <v>1220</v>
      </c>
      <c r="Z460" s="47"/>
      <c r="AA460" s="41" t="s">
        <v>1225</v>
      </c>
    </row>
    <row r="461" customFormat="false" ht="34.5" hidden="false" customHeight="true" outlineLevel="0" collapsed="false">
      <c r="A461" s="34" t="n">
        <v>460</v>
      </c>
      <c r="B461" s="37" t="s">
        <v>1570</v>
      </c>
      <c r="C461" s="45" t="s">
        <v>261</v>
      </c>
      <c r="D461" s="43" t="s">
        <v>262</v>
      </c>
      <c r="E461" s="35" t="s">
        <v>211</v>
      </c>
      <c r="F461" s="39" t="s">
        <v>258</v>
      </c>
      <c r="G461" s="43" t="s">
        <v>660</v>
      </c>
      <c r="H461" s="43" t="s">
        <v>260</v>
      </c>
      <c r="I461" s="45" t="s">
        <v>661</v>
      </c>
      <c r="J461" s="36" t="s">
        <v>80</v>
      </c>
      <c r="K461" s="36"/>
      <c r="L461" s="45"/>
      <c r="M461" s="36" t="s">
        <v>521</v>
      </c>
      <c r="N461" s="40"/>
      <c r="O461" s="35"/>
      <c r="P461" s="35"/>
      <c r="Q461" s="35"/>
      <c r="R461" s="35"/>
      <c r="S461" s="42"/>
      <c r="T461" s="35" t="s">
        <v>246</v>
      </c>
      <c r="U461" s="35"/>
      <c r="V461" s="36"/>
      <c r="W461" s="36"/>
      <c r="X461" s="43"/>
      <c r="Y461" s="35"/>
      <c r="Z461" s="47"/>
      <c r="AA461" s="41" t="s">
        <v>1225</v>
      </c>
    </row>
    <row r="462" customFormat="false" ht="64.5" hidden="false" customHeight="true" outlineLevel="0" collapsed="false">
      <c r="A462" s="34" t="n">
        <v>461</v>
      </c>
      <c r="B462" s="37" t="s">
        <v>303</v>
      </c>
      <c r="C462" s="45" t="s">
        <v>1571</v>
      </c>
      <c r="D462" s="43" t="s">
        <v>1572</v>
      </c>
      <c r="E462" s="35" t="s">
        <v>268</v>
      </c>
      <c r="F462" s="39" t="s">
        <v>1573</v>
      </c>
      <c r="G462" s="43" t="s">
        <v>1574</v>
      </c>
      <c r="H462" s="44" t="s">
        <v>1575</v>
      </c>
      <c r="I462" s="45" t="s">
        <v>1576</v>
      </c>
      <c r="J462" s="36"/>
      <c r="K462" s="36"/>
      <c r="L462" s="45"/>
      <c r="M462" s="36" t="s">
        <v>521</v>
      </c>
      <c r="N462" s="40" t="n">
        <v>2000</v>
      </c>
      <c r="O462" s="35"/>
      <c r="P462" s="35" t="s">
        <v>265</v>
      </c>
      <c r="Q462" s="35" t="s">
        <v>67</v>
      </c>
      <c r="R462" s="35" t="s">
        <v>68</v>
      </c>
      <c r="S462" s="42" t="n">
        <v>2</v>
      </c>
      <c r="T462" s="35" t="s">
        <v>90</v>
      </c>
      <c r="U462" s="35" t="s">
        <v>204</v>
      </c>
      <c r="V462" s="36" t="s">
        <v>205</v>
      </c>
      <c r="W462" s="36" t="s">
        <v>524</v>
      </c>
      <c r="X462" s="43" t="s">
        <v>300</v>
      </c>
      <c r="Y462" s="41" t="s">
        <v>1577</v>
      </c>
      <c r="Z462" s="47" t="n">
        <v>42208</v>
      </c>
      <c r="AA462" s="35" t="s">
        <v>526</v>
      </c>
    </row>
    <row r="463" customFormat="false" ht="64.5" hidden="false" customHeight="true" outlineLevel="0" collapsed="false">
      <c r="A463" s="34" t="n">
        <v>462</v>
      </c>
      <c r="B463" s="37" t="s">
        <v>303</v>
      </c>
      <c r="C463" s="45" t="s">
        <v>1571</v>
      </c>
      <c r="D463" s="43" t="s">
        <v>1572</v>
      </c>
      <c r="E463" s="35" t="s">
        <v>268</v>
      </c>
      <c r="F463" s="39" t="s">
        <v>1578</v>
      </c>
      <c r="G463" s="43" t="s">
        <v>1579</v>
      </c>
      <c r="H463" s="44" t="s">
        <v>1580</v>
      </c>
      <c r="I463" s="45" t="s">
        <v>1581</v>
      </c>
      <c r="J463" s="36"/>
      <c r="K463" s="36"/>
      <c r="L463" s="45"/>
      <c r="M463" s="36" t="s">
        <v>521</v>
      </c>
      <c r="N463" s="40" t="n">
        <v>2000</v>
      </c>
      <c r="O463" s="35"/>
      <c r="P463" s="35" t="s">
        <v>265</v>
      </c>
      <c r="Q463" s="35" t="s">
        <v>67</v>
      </c>
      <c r="R463" s="35" t="s">
        <v>68</v>
      </c>
      <c r="S463" s="42" t="n">
        <v>2</v>
      </c>
      <c r="T463" s="35" t="s">
        <v>64</v>
      </c>
      <c r="U463" s="35" t="s">
        <v>204</v>
      </c>
      <c r="V463" s="36" t="s">
        <v>205</v>
      </c>
      <c r="W463" s="36" t="s">
        <v>524</v>
      </c>
      <c r="X463" s="43" t="s">
        <v>932</v>
      </c>
      <c r="Y463" s="41" t="s">
        <v>1582</v>
      </c>
      <c r="Z463" s="47" t="n">
        <v>42208</v>
      </c>
      <c r="AA463" s="35" t="s">
        <v>526</v>
      </c>
    </row>
    <row r="464" customFormat="false" ht="64.5" hidden="false" customHeight="true" outlineLevel="0" collapsed="false">
      <c r="A464" s="34" t="n">
        <v>463</v>
      </c>
      <c r="B464" s="37" t="s">
        <v>303</v>
      </c>
      <c r="C464" s="45" t="s">
        <v>984</v>
      </c>
      <c r="D464" s="43" t="s">
        <v>985</v>
      </c>
      <c r="E464" s="35" t="s">
        <v>268</v>
      </c>
      <c r="F464" s="39" t="s">
        <v>1583</v>
      </c>
      <c r="G464" s="43" t="s">
        <v>1584</v>
      </c>
      <c r="H464" s="44" t="s">
        <v>1585</v>
      </c>
      <c r="I464" s="45" t="s">
        <v>1586</v>
      </c>
      <c r="J464" s="36"/>
      <c r="K464" s="36"/>
      <c r="L464" s="45"/>
      <c r="M464" s="36" t="s">
        <v>521</v>
      </c>
      <c r="N464" s="40"/>
      <c r="O464" s="41" t="s">
        <v>569</v>
      </c>
      <c r="P464" s="35" t="s">
        <v>523</v>
      </c>
      <c r="Q464" s="35" t="s">
        <v>189</v>
      </c>
      <c r="R464" s="35" t="s">
        <v>202</v>
      </c>
      <c r="S464" s="42" t="n">
        <v>1</v>
      </c>
      <c r="T464" s="35" t="s">
        <v>127</v>
      </c>
      <c r="U464" s="35" t="s">
        <v>204</v>
      </c>
      <c r="V464" s="36" t="s">
        <v>205</v>
      </c>
      <c r="W464" s="36" t="s">
        <v>524</v>
      </c>
      <c r="X464" s="43" t="s">
        <v>895</v>
      </c>
      <c r="Y464" s="41" t="s">
        <v>1587</v>
      </c>
      <c r="Z464" s="47" t="n">
        <v>39468</v>
      </c>
      <c r="AA464" s="35" t="s">
        <v>526</v>
      </c>
    </row>
    <row r="465" customFormat="false" ht="64.5" hidden="false" customHeight="true" outlineLevel="0" collapsed="false">
      <c r="A465" s="34" t="n">
        <v>464</v>
      </c>
      <c r="B465" s="37" t="s">
        <v>303</v>
      </c>
      <c r="C465" s="45" t="s">
        <v>991</v>
      </c>
      <c r="D465" s="43" t="s">
        <v>992</v>
      </c>
      <c r="E465" s="35" t="s">
        <v>268</v>
      </c>
      <c r="F465" s="39" t="s">
        <v>993</v>
      </c>
      <c r="G465" s="43" t="s">
        <v>994</v>
      </c>
      <c r="H465" s="44" t="s">
        <v>995</v>
      </c>
      <c r="I465" s="45" t="s">
        <v>996</v>
      </c>
      <c r="J465" s="36"/>
      <c r="K465" s="36"/>
      <c r="L465" s="45"/>
      <c r="M465" s="36" t="s">
        <v>521</v>
      </c>
      <c r="N465" s="40" t="n">
        <v>1000</v>
      </c>
      <c r="O465" s="35"/>
      <c r="P465" s="35" t="s">
        <v>265</v>
      </c>
      <c r="Q465" s="35" t="s">
        <v>67</v>
      </c>
      <c r="R465" s="35" t="s">
        <v>113</v>
      </c>
      <c r="S465" s="42" t="n">
        <v>3</v>
      </c>
      <c r="T465" s="35" t="s">
        <v>64</v>
      </c>
      <c r="U465" s="35" t="s">
        <v>204</v>
      </c>
      <c r="V465" s="36" t="s">
        <v>205</v>
      </c>
      <c r="W465" s="36" t="s">
        <v>524</v>
      </c>
      <c r="X465" s="44" t="s">
        <v>267</v>
      </c>
      <c r="Y465" s="41" t="s">
        <v>997</v>
      </c>
      <c r="Z465" s="47" t="n">
        <v>41337</v>
      </c>
      <c r="AA465" s="35" t="s">
        <v>526</v>
      </c>
    </row>
    <row r="466" customFormat="false" ht="64.5" hidden="false" customHeight="true" outlineLevel="0" collapsed="false">
      <c r="A466" s="34" t="n">
        <v>465</v>
      </c>
      <c r="B466" s="37" t="s">
        <v>303</v>
      </c>
      <c r="C466" s="45" t="s">
        <v>1588</v>
      </c>
      <c r="D466" s="43" t="s">
        <v>1589</v>
      </c>
      <c r="E466" s="35" t="s">
        <v>268</v>
      </c>
      <c r="F466" s="39" t="s">
        <v>1590</v>
      </c>
      <c r="G466" s="43" t="s">
        <v>1591</v>
      </c>
      <c r="H466" s="44" t="s">
        <v>1592</v>
      </c>
      <c r="I466" s="45" t="s">
        <v>1415</v>
      </c>
      <c r="J466" s="36"/>
      <c r="K466" s="36"/>
      <c r="L466" s="45"/>
      <c r="M466" s="36" t="s">
        <v>521</v>
      </c>
      <c r="N466" s="40" t="n">
        <v>2000</v>
      </c>
      <c r="O466" s="35"/>
      <c r="P466" s="35" t="s">
        <v>265</v>
      </c>
      <c r="Q466" s="35" t="s">
        <v>67</v>
      </c>
      <c r="R466" s="35" t="s">
        <v>68</v>
      </c>
      <c r="S466" s="42" t="n">
        <v>2</v>
      </c>
      <c r="T466" s="35" t="s">
        <v>64</v>
      </c>
      <c r="U466" s="35" t="s">
        <v>204</v>
      </c>
      <c r="V466" s="36" t="s">
        <v>205</v>
      </c>
      <c r="W466" s="36" t="s">
        <v>524</v>
      </c>
      <c r="X466" s="44" t="s">
        <v>230</v>
      </c>
      <c r="Y466" s="41" t="s">
        <v>1593</v>
      </c>
      <c r="Z466" s="47" t="n">
        <v>42305</v>
      </c>
      <c r="AA466" s="35" t="s">
        <v>526</v>
      </c>
    </row>
    <row r="467" customFormat="false" ht="64.5" hidden="false" customHeight="true" outlineLevel="0" collapsed="false">
      <c r="A467" s="34" t="n">
        <v>466</v>
      </c>
      <c r="B467" s="37" t="s">
        <v>303</v>
      </c>
      <c r="C467" s="45" t="s">
        <v>1594</v>
      </c>
      <c r="D467" s="43" t="s">
        <v>1595</v>
      </c>
      <c r="E467" s="35" t="s">
        <v>211</v>
      </c>
      <c r="F467" s="39" t="s">
        <v>1596</v>
      </c>
      <c r="G467" s="43" t="s">
        <v>1597</v>
      </c>
      <c r="H467" s="44" t="s">
        <v>1598</v>
      </c>
      <c r="I467" s="45" t="s">
        <v>1599</v>
      </c>
      <c r="J467" s="36"/>
      <c r="K467" s="36"/>
      <c r="L467" s="45"/>
      <c r="M467" s="36" t="s">
        <v>521</v>
      </c>
      <c r="N467" s="40" t="n">
        <v>2000</v>
      </c>
      <c r="O467" s="35"/>
      <c r="P467" s="35" t="s">
        <v>265</v>
      </c>
      <c r="Q467" s="35" t="s">
        <v>67</v>
      </c>
      <c r="R467" s="35" t="s">
        <v>68</v>
      </c>
      <c r="S467" s="42" t="n">
        <v>3</v>
      </c>
      <c r="T467" s="35" t="s">
        <v>64</v>
      </c>
      <c r="U467" s="35" t="s">
        <v>537</v>
      </c>
      <c r="V467" s="36" t="s">
        <v>205</v>
      </c>
      <c r="W467" s="36" t="s">
        <v>524</v>
      </c>
      <c r="X467" s="43" t="s">
        <v>300</v>
      </c>
      <c r="Y467" s="41" t="s">
        <v>1600</v>
      </c>
      <c r="Z467" s="47" t="n">
        <v>41008</v>
      </c>
      <c r="AA467" s="35" t="s">
        <v>526</v>
      </c>
    </row>
    <row r="468" customFormat="false" ht="64.5" hidden="false" customHeight="true" outlineLevel="0" collapsed="false">
      <c r="A468" s="34" t="n">
        <v>467</v>
      </c>
      <c r="B468" s="37" t="s">
        <v>303</v>
      </c>
      <c r="C468" s="45" t="s">
        <v>1601</v>
      </c>
      <c r="D468" s="43" t="s">
        <v>1602</v>
      </c>
      <c r="E468" s="35" t="s">
        <v>268</v>
      </c>
      <c r="F468" s="39" t="s">
        <v>1603</v>
      </c>
      <c r="G468" s="43" t="s">
        <v>1604</v>
      </c>
      <c r="H468" s="44" t="s">
        <v>1605</v>
      </c>
      <c r="I468" s="45" t="s">
        <v>1606</v>
      </c>
      <c r="J468" s="36"/>
      <c r="K468" s="36"/>
      <c r="L468" s="45"/>
      <c r="M468" s="36" t="s">
        <v>521</v>
      </c>
      <c r="N468" s="40" t="n">
        <v>2000</v>
      </c>
      <c r="O468" s="35"/>
      <c r="P468" s="35" t="s">
        <v>265</v>
      </c>
      <c r="Q468" s="35" t="s">
        <v>67</v>
      </c>
      <c r="R468" s="35" t="s">
        <v>144</v>
      </c>
      <c r="S468" s="42" t="n">
        <v>2</v>
      </c>
      <c r="T468" s="35" t="s">
        <v>64</v>
      </c>
      <c r="U468" s="35" t="s">
        <v>204</v>
      </c>
      <c r="V468" s="36" t="s">
        <v>205</v>
      </c>
      <c r="W468" s="36" t="s">
        <v>524</v>
      </c>
      <c r="X468" s="44" t="s">
        <v>210</v>
      </c>
      <c r="Y468" s="41" t="s">
        <v>1607</v>
      </c>
      <c r="Z468" s="47" t="n">
        <v>41446</v>
      </c>
      <c r="AA468" s="35" t="s">
        <v>526</v>
      </c>
    </row>
    <row r="469" customFormat="false" ht="64.5" hidden="false" customHeight="true" outlineLevel="0" collapsed="false">
      <c r="A469" s="34" t="n">
        <v>468</v>
      </c>
      <c r="B469" s="37" t="s">
        <v>303</v>
      </c>
      <c r="C469" s="45" t="s">
        <v>1608</v>
      </c>
      <c r="D469" s="43" t="s">
        <v>1609</v>
      </c>
      <c r="E469" s="35" t="s">
        <v>268</v>
      </c>
      <c r="F469" s="39" t="s">
        <v>1610</v>
      </c>
      <c r="G469" s="43" t="s">
        <v>1611</v>
      </c>
      <c r="H469" s="44" t="s">
        <v>1612</v>
      </c>
      <c r="I469" s="45" t="s">
        <v>1613</v>
      </c>
      <c r="J469" s="36"/>
      <c r="K469" s="36"/>
      <c r="L469" s="45"/>
      <c r="M469" s="36" t="s">
        <v>521</v>
      </c>
      <c r="N469" s="40"/>
      <c r="O469" s="41" t="s">
        <v>569</v>
      </c>
      <c r="P469" s="35" t="s">
        <v>523</v>
      </c>
      <c r="Q469" s="35" t="s">
        <v>189</v>
      </c>
      <c r="R469" s="35" t="s">
        <v>202</v>
      </c>
      <c r="S469" s="42" t="n">
        <v>1</v>
      </c>
      <c r="T469" s="35" t="s">
        <v>127</v>
      </c>
      <c r="U469" s="35" t="s">
        <v>204</v>
      </c>
      <c r="V469" s="36" t="s">
        <v>226</v>
      </c>
      <c r="W469" s="36" t="s">
        <v>524</v>
      </c>
      <c r="X469" s="44" t="s">
        <v>267</v>
      </c>
      <c r="Y469" s="41" t="s">
        <v>1614</v>
      </c>
      <c r="Z469" s="47" t="n">
        <v>43061</v>
      </c>
      <c r="AA469" s="35" t="s">
        <v>526</v>
      </c>
    </row>
    <row r="470" customFormat="false" ht="34.5" hidden="false" customHeight="true" outlineLevel="0" collapsed="false">
      <c r="A470" s="34" t="n">
        <v>469</v>
      </c>
      <c r="B470" s="37" t="s">
        <v>303</v>
      </c>
      <c r="C470" s="45" t="s">
        <v>219</v>
      </c>
      <c r="D470" s="43" t="s">
        <v>220</v>
      </c>
      <c r="E470" s="35" t="s">
        <v>211</v>
      </c>
      <c r="F470" s="39" t="s">
        <v>1615</v>
      </c>
      <c r="G470" s="43" t="s">
        <v>1616</v>
      </c>
      <c r="H470" s="44" t="s">
        <v>1617</v>
      </c>
      <c r="I470" s="45" t="s">
        <v>584</v>
      </c>
      <c r="J470" s="36"/>
      <c r="K470" s="36"/>
      <c r="L470" s="45"/>
      <c r="M470" s="36" t="s">
        <v>521</v>
      </c>
      <c r="N470" s="40"/>
      <c r="O470" s="41" t="s">
        <v>522</v>
      </c>
      <c r="P470" s="35" t="s">
        <v>523</v>
      </c>
      <c r="Q470" s="35" t="s">
        <v>189</v>
      </c>
      <c r="R470" s="35" t="s">
        <v>202</v>
      </c>
      <c r="S470" s="42" t="n">
        <v>1</v>
      </c>
      <c r="T470" s="35" t="s">
        <v>127</v>
      </c>
      <c r="U470" s="35" t="s">
        <v>204</v>
      </c>
      <c r="V470" s="36" t="s">
        <v>205</v>
      </c>
      <c r="W470" s="36" t="s">
        <v>524</v>
      </c>
      <c r="X470" s="44" t="s">
        <v>553</v>
      </c>
      <c r="Y470" s="41" t="s">
        <v>1618</v>
      </c>
      <c r="Z470" s="47" t="n">
        <v>44690</v>
      </c>
      <c r="AA470" s="35" t="s">
        <v>526</v>
      </c>
    </row>
    <row r="471" customFormat="false" ht="64.5" hidden="false" customHeight="true" outlineLevel="0" collapsed="false">
      <c r="A471" s="34" t="n">
        <v>470</v>
      </c>
      <c r="B471" s="37" t="s">
        <v>303</v>
      </c>
      <c r="C471" s="45" t="s">
        <v>1619</v>
      </c>
      <c r="D471" s="43" t="s">
        <v>1620</v>
      </c>
      <c r="E471" s="35" t="s">
        <v>268</v>
      </c>
      <c r="F471" s="39" t="s">
        <v>1621</v>
      </c>
      <c r="G471" s="43" t="s">
        <v>1622</v>
      </c>
      <c r="H471" s="44" t="s">
        <v>1623</v>
      </c>
      <c r="I471" s="45" t="s">
        <v>1415</v>
      </c>
      <c r="J471" s="36"/>
      <c r="K471" s="36"/>
      <c r="L471" s="45"/>
      <c r="M471" s="36" t="s">
        <v>521</v>
      </c>
      <c r="N471" s="40" t="n">
        <v>1000</v>
      </c>
      <c r="O471" s="35"/>
      <c r="P471" s="35" t="s">
        <v>265</v>
      </c>
      <c r="Q471" s="35" t="s">
        <v>67</v>
      </c>
      <c r="R471" s="35" t="s">
        <v>113</v>
      </c>
      <c r="S471" s="42" t="n">
        <v>2</v>
      </c>
      <c r="T471" s="35" t="s">
        <v>98</v>
      </c>
      <c r="U471" s="35" t="s">
        <v>204</v>
      </c>
      <c r="V471" s="36" t="s">
        <v>205</v>
      </c>
      <c r="W471" s="36" t="s">
        <v>524</v>
      </c>
      <c r="X471" s="44" t="s">
        <v>221</v>
      </c>
      <c r="Y471" s="41" t="s">
        <v>1624</v>
      </c>
      <c r="Z471" s="47" t="n">
        <v>40157</v>
      </c>
      <c r="AA471" s="35" t="s">
        <v>526</v>
      </c>
    </row>
    <row r="472" customFormat="false" ht="64.5" hidden="false" customHeight="true" outlineLevel="0" collapsed="false">
      <c r="A472" s="34" t="n">
        <v>471</v>
      </c>
      <c r="B472" s="37" t="s">
        <v>303</v>
      </c>
      <c r="C472" s="45" t="s">
        <v>1619</v>
      </c>
      <c r="D472" s="43" t="s">
        <v>1620</v>
      </c>
      <c r="E472" s="35" t="s">
        <v>268</v>
      </c>
      <c r="F472" s="39" t="s">
        <v>1625</v>
      </c>
      <c r="G472" s="43" t="s">
        <v>1626</v>
      </c>
      <c r="H472" s="44" t="s">
        <v>1627</v>
      </c>
      <c r="I472" s="45" t="s">
        <v>1628</v>
      </c>
      <c r="J472" s="36"/>
      <c r="K472" s="36"/>
      <c r="L472" s="45"/>
      <c r="M472" s="36" t="s">
        <v>521</v>
      </c>
      <c r="N472" s="40"/>
      <c r="O472" s="41" t="s">
        <v>201</v>
      </c>
      <c r="P472" s="35" t="s">
        <v>523</v>
      </c>
      <c r="Q472" s="35" t="s">
        <v>189</v>
      </c>
      <c r="R472" s="35" t="s">
        <v>202</v>
      </c>
      <c r="S472" s="42" t="n">
        <v>1</v>
      </c>
      <c r="T472" s="35" t="s">
        <v>127</v>
      </c>
      <c r="U472" s="35" t="s">
        <v>204</v>
      </c>
      <c r="V472" s="36" t="s">
        <v>205</v>
      </c>
      <c r="W472" s="36" t="s">
        <v>524</v>
      </c>
      <c r="X472" s="44" t="s">
        <v>221</v>
      </c>
      <c r="Y472" s="41" t="s">
        <v>1629</v>
      </c>
      <c r="Z472" s="47" t="n">
        <v>41302</v>
      </c>
      <c r="AA472" s="35" t="s">
        <v>526</v>
      </c>
    </row>
    <row r="473" customFormat="false" ht="64.5" hidden="false" customHeight="true" outlineLevel="0" collapsed="false">
      <c r="A473" s="34" t="n">
        <v>472</v>
      </c>
      <c r="B473" s="37" t="s">
        <v>303</v>
      </c>
      <c r="C473" s="45" t="s">
        <v>1619</v>
      </c>
      <c r="D473" s="43" t="s">
        <v>1620</v>
      </c>
      <c r="E473" s="35" t="s">
        <v>211</v>
      </c>
      <c r="F473" s="39" t="s">
        <v>1630</v>
      </c>
      <c r="G473" s="43" t="s">
        <v>1626</v>
      </c>
      <c r="H473" s="44" t="s">
        <v>1627</v>
      </c>
      <c r="I473" s="45" t="s">
        <v>1628</v>
      </c>
      <c r="J473" s="36"/>
      <c r="K473" s="36"/>
      <c r="L473" s="45"/>
      <c r="M473" s="36" t="s">
        <v>521</v>
      </c>
      <c r="N473" s="40"/>
      <c r="O473" s="41" t="s">
        <v>201</v>
      </c>
      <c r="P473" s="35" t="s">
        <v>523</v>
      </c>
      <c r="Q473" s="35" t="s">
        <v>189</v>
      </c>
      <c r="R473" s="35" t="s">
        <v>202</v>
      </c>
      <c r="S473" s="42" t="n">
        <v>1</v>
      </c>
      <c r="T473" s="35" t="s">
        <v>127</v>
      </c>
      <c r="U473" s="35" t="s">
        <v>204</v>
      </c>
      <c r="V473" s="36" t="s">
        <v>205</v>
      </c>
      <c r="W473" s="36" t="s">
        <v>524</v>
      </c>
      <c r="X473" s="44" t="s">
        <v>960</v>
      </c>
      <c r="Y473" s="41" t="s">
        <v>1631</v>
      </c>
      <c r="Z473" s="47" t="n">
        <v>45029</v>
      </c>
      <c r="AA473" s="35" t="s">
        <v>526</v>
      </c>
    </row>
    <row r="474" customFormat="false" ht="34.5" hidden="false" customHeight="true" outlineLevel="0" collapsed="false">
      <c r="A474" s="34" t="n">
        <v>473</v>
      </c>
      <c r="B474" s="37" t="s">
        <v>303</v>
      </c>
      <c r="C474" s="45" t="s">
        <v>1632</v>
      </c>
      <c r="D474" s="43" t="s">
        <v>1633</v>
      </c>
      <c r="E474" s="35" t="s">
        <v>268</v>
      </c>
      <c r="F474" s="39" t="s">
        <v>1634</v>
      </c>
      <c r="G474" s="43" t="s">
        <v>1635</v>
      </c>
      <c r="H474" s="44" t="s">
        <v>1636</v>
      </c>
      <c r="I474" s="45" t="s">
        <v>1637</v>
      </c>
      <c r="J474" s="36"/>
      <c r="K474" s="36"/>
      <c r="L474" s="45"/>
      <c r="M474" s="36" t="s">
        <v>521</v>
      </c>
      <c r="N474" s="40" t="n">
        <v>2000</v>
      </c>
      <c r="O474" s="35"/>
      <c r="P474" s="35" t="s">
        <v>265</v>
      </c>
      <c r="Q474" s="35" t="s">
        <v>67</v>
      </c>
      <c r="R474" s="35" t="s">
        <v>68</v>
      </c>
      <c r="S474" s="42" t="n">
        <v>2</v>
      </c>
      <c r="T474" s="35" t="s">
        <v>90</v>
      </c>
      <c r="U474" s="35" t="s">
        <v>204</v>
      </c>
      <c r="V474" s="36" t="s">
        <v>205</v>
      </c>
      <c r="W474" s="36" t="s">
        <v>524</v>
      </c>
      <c r="X474" s="44" t="s">
        <v>267</v>
      </c>
      <c r="Y474" s="41" t="s">
        <v>1638</v>
      </c>
      <c r="Z474" s="47" t="n">
        <v>45971</v>
      </c>
      <c r="AA474" s="35" t="s">
        <v>526</v>
      </c>
    </row>
    <row r="475" customFormat="false" ht="49.5" hidden="false" customHeight="true" outlineLevel="0" collapsed="false">
      <c r="A475" s="34" t="n">
        <v>474</v>
      </c>
      <c r="B475" s="37" t="s">
        <v>303</v>
      </c>
      <c r="C475" s="45" t="s">
        <v>1452</v>
      </c>
      <c r="D475" s="43" t="s">
        <v>1453</v>
      </c>
      <c r="E475" s="35" t="s">
        <v>211</v>
      </c>
      <c r="F475" s="39" t="s">
        <v>1639</v>
      </c>
      <c r="G475" s="43" t="s">
        <v>1640</v>
      </c>
      <c r="H475" s="44" t="s">
        <v>1641</v>
      </c>
      <c r="I475" s="45" t="s">
        <v>1642</v>
      </c>
      <c r="J475" s="36"/>
      <c r="K475" s="36"/>
      <c r="L475" s="45"/>
      <c r="M475" s="36" t="s">
        <v>521</v>
      </c>
      <c r="N475" s="40" t="n">
        <v>4000</v>
      </c>
      <c r="O475" s="35"/>
      <c r="P475" s="35" t="s">
        <v>265</v>
      </c>
      <c r="Q475" s="35" t="s">
        <v>67</v>
      </c>
      <c r="R475" s="35" t="s">
        <v>68</v>
      </c>
      <c r="S475" s="42" t="n">
        <v>2</v>
      </c>
      <c r="T475" s="35" t="s">
        <v>64</v>
      </c>
      <c r="U475" s="35" t="s">
        <v>537</v>
      </c>
      <c r="V475" s="36" t="s">
        <v>226</v>
      </c>
      <c r="W475" s="36" t="s">
        <v>826</v>
      </c>
      <c r="X475" s="43" t="s">
        <v>853</v>
      </c>
      <c r="Y475" s="41" t="s">
        <v>1643</v>
      </c>
      <c r="Z475" s="47" t="n">
        <v>45516</v>
      </c>
      <c r="AA475" s="35" t="s">
        <v>526</v>
      </c>
    </row>
    <row r="476" customFormat="false" ht="49.5" hidden="false" customHeight="true" outlineLevel="0" collapsed="false">
      <c r="A476" s="34" t="n">
        <v>475</v>
      </c>
      <c r="B476" s="37" t="s">
        <v>303</v>
      </c>
      <c r="C476" s="45" t="s">
        <v>1452</v>
      </c>
      <c r="D476" s="43" t="s">
        <v>1453</v>
      </c>
      <c r="E476" s="35" t="s">
        <v>211</v>
      </c>
      <c r="F476" s="39" t="s">
        <v>1644</v>
      </c>
      <c r="G476" s="43" t="s">
        <v>1640</v>
      </c>
      <c r="H476" s="44" t="s">
        <v>1641</v>
      </c>
      <c r="I476" s="45" t="s">
        <v>1645</v>
      </c>
      <c r="J476" s="36"/>
      <c r="K476" s="36"/>
      <c r="L476" s="45"/>
      <c r="M476" s="36" t="s">
        <v>521</v>
      </c>
      <c r="N476" s="40" t="n">
        <v>2000</v>
      </c>
      <c r="O476" s="35"/>
      <c r="P476" s="35" t="s">
        <v>265</v>
      </c>
      <c r="Q476" s="35" t="s">
        <v>67</v>
      </c>
      <c r="R476" s="35" t="s">
        <v>144</v>
      </c>
      <c r="S476" s="42" t="n">
        <v>3</v>
      </c>
      <c r="T476" s="35" t="s">
        <v>64</v>
      </c>
      <c r="U476" s="35" t="s">
        <v>204</v>
      </c>
      <c r="V476" s="36" t="s">
        <v>205</v>
      </c>
      <c r="W476" s="36" t="s">
        <v>826</v>
      </c>
      <c r="X476" s="44" t="s">
        <v>341</v>
      </c>
      <c r="Y476" s="41" t="s">
        <v>1646</v>
      </c>
      <c r="Z476" s="47" t="n">
        <v>45210</v>
      </c>
      <c r="AA476" s="35" t="s">
        <v>526</v>
      </c>
    </row>
    <row r="477" customFormat="false" ht="49.5" hidden="false" customHeight="true" outlineLevel="0" collapsed="false">
      <c r="A477" s="34" t="n">
        <v>476</v>
      </c>
      <c r="B477" s="37" t="s">
        <v>303</v>
      </c>
      <c r="C477" s="45" t="s">
        <v>1452</v>
      </c>
      <c r="D477" s="43" t="s">
        <v>1453</v>
      </c>
      <c r="E477" s="35" t="s">
        <v>268</v>
      </c>
      <c r="F477" s="39" t="s">
        <v>1647</v>
      </c>
      <c r="G477" s="43" t="s">
        <v>1640</v>
      </c>
      <c r="H477" s="44" t="s">
        <v>1641</v>
      </c>
      <c r="I477" s="45" t="s">
        <v>1645</v>
      </c>
      <c r="J477" s="36"/>
      <c r="K477" s="36"/>
      <c r="L477" s="45"/>
      <c r="M477" s="36" t="s">
        <v>521</v>
      </c>
      <c r="N477" s="40" t="n">
        <v>2000</v>
      </c>
      <c r="O477" s="35"/>
      <c r="P477" s="35" t="s">
        <v>265</v>
      </c>
      <c r="Q477" s="35" t="s">
        <v>67</v>
      </c>
      <c r="R477" s="35" t="s">
        <v>144</v>
      </c>
      <c r="S477" s="42" t="n">
        <v>3</v>
      </c>
      <c r="T477" s="35" t="s">
        <v>64</v>
      </c>
      <c r="U477" s="35" t="s">
        <v>204</v>
      </c>
      <c r="V477" s="36" t="s">
        <v>226</v>
      </c>
      <c r="W477" s="36" t="s">
        <v>524</v>
      </c>
      <c r="X477" s="43" t="s">
        <v>330</v>
      </c>
      <c r="Y477" s="41" t="s">
        <v>1648</v>
      </c>
      <c r="Z477" s="47" t="n">
        <v>41008</v>
      </c>
      <c r="AA477" s="35" t="s">
        <v>526</v>
      </c>
    </row>
    <row r="478" customFormat="false" ht="49.5" hidden="false" customHeight="true" outlineLevel="0" collapsed="false">
      <c r="A478" s="34" t="n">
        <v>477</v>
      </c>
      <c r="B478" s="37" t="s">
        <v>303</v>
      </c>
      <c r="C478" s="45" t="s">
        <v>1452</v>
      </c>
      <c r="D478" s="43" t="s">
        <v>1453</v>
      </c>
      <c r="E478" s="35" t="s">
        <v>268</v>
      </c>
      <c r="F478" s="39" t="s">
        <v>1647</v>
      </c>
      <c r="G478" s="43" t="s">
        <v>1640</v>
      </c>
      <c r="H478" s="44" t="s">
        <v>1641</v>
      </c>
      <c r="I478" s="45" t="s">
        <v>1645</v>
      </c>
      <c r="J478" s="36"/>
      <c r="K478" s="36"/>
      <c r="L478" s="45"/>
      <c r="M478" s="36" t="s">
        <v>521</v>
      </c>
      <c r="N478" s="40" t="n">
        <v>100</v>
      </c>
      <c r="O478" s="41" t="s">
        <v>1649</v>
      </c>
      <c r="P478" s="35" t="s">
        <v>523</v>
      </c>
      <c r="Q478" s="35" t="s">
        <v>1650</v>
      </c>
      <c r="R478" s="35" t="s">
        <v>202</v>
      </c>
      <c r="S478" s="42" t="n">
        <v>1</v>
      </c>
      <c r="T478" s="35" t="s">
        <v>64</v>
      </c>
      <c r="U478" s="35" t="s">
        <v>204</v>
      </c>
      <c r="V478" s="36" t="s">
        <v>226</v>
      </c>
      <c r="W478" s="36" t="s">
        <v>524</v>
      </c>
      <c r="X478" s="43" t="s">
        <v>330</v>
      </c>
      <c r="Y478" s="41" t="s">
        <v>1648</v>
      </c>
      <c r="Z478" s="47" t="n">
        <v>41008</v>
      </c>
      <c r="AA478" s="35" t="s">
        <v>526</v>
      </c>
    </row>
    <row r="479" customFormat="false" ht="49.5" hidden="false" customHeight="true" outlineLevel="0" collapsed="false">
      <c r="A479" s="34" t="n">
        <v>478</v>
      </c>
      <c r="B479" s="37" t="s">
        <v>303</v>
      </c>
      <c r="C479" s="45" t="s">
        <v>1452</v>
      </c>
      <c r="D479" s="43" t="s">
        <v>1453</v>
      </c>
      <c r="E479" s="35" t="s">
        <v>211</v>
      </c>
      <c r="F479" s="39" t="s">
        <v>1647</v>
      </c>
      <c r="G479" s="43" t="s">
        <v>1640</v>
      </c>
      <c r="H479" s="44" t="s">
        <v>1641</v>
      </c>
      <c r="I479" s="45" t="s">
        <v>1645</v>
      </c>
      <c r="J479" s="36"/>
      <c r="K479" s="36"/>
      <c r="L479" s="45"/>
      <c r="M479" s="36" t="s">
        <v>521</v>
      </c>
      <c r="N479" s="40" t="n">
        <v>1000</v>
      </c>
      <c r="O479" s="41" t="s">
        <v>1469</v>
      </c>
      <c r="P479" s="35" t="s">
        <v>265</v>
      </c>
      <c r="Q479" s="35" t="s">
        <v>112</v>
      </c>
      <c r="R479" s="35" t="s">
        <v>1651</v>
      </c>
      <c r="S479" s="42" t="n">
        <v>2</v>
      </c>
      <c r="T479" s="35" t="s">
        <v>64</v>
      </c>
      <c r="U479" s="35" t="s">
        <v>204</v>
      </c>
      <c r="V479" s="36" t="s">
        <v>226</v>
      </c>
      <c r="W479" s="36" t="s">
        <v>524</v>
      </c>
      <c r="X479" s="43" t="s">
        <v>330</v>
      </c>
      <c r="Y479" s="41" t="s">
        <v>1648</v>
      </c>
      <c r="Z479" s="47" t="n">
        <v>41008</v>
      </c>
      <c r="AA479" s="35" t="s">
        <v>526</v>
      </c>
    </row>
    <row r="480" customFormat="false" ht="49.5" hidden="false" customHeight="true" outlineLevel="0" collapsed="false">
      <c r="A480" s="34" t="n">
        <v>479</v>
      </c>
      <c r="B480" s="37" t="s">
        <v>303</v>
      </c>
      <c r="C480" s="45" t="s">
        <v>1452</v>
      </c>
      <c r="D480" s="43" t="s">
        <v>1453</v>
      </c>
      <c r="E480" s="35" t="s">
        <v>211</v>
      </c>
      <c r="F480" s="39" t="s">
        <v>1652</v>
      </c>
      <c r="G480" s="43" t="s">
        <v>1640</v>
      </c>
      <c r="H480" s="44" t="s">
        <v>1641</v>
      </c>
      <c r="I480" s="45" t="s">
        <v>1645</v>
      </c>
      <c r="J480" s="36"/>
      <c r="K480" s="36"/>
      <c r="L480" s="45"/>
      <c r="M480" s="36" t="s">
        <v>521</v>
      </c>
      <c r="N480" s="40" t="n">
        <v>2000</v>
      </c>
      <c r="O480" s="35"/>
      <c r="P480" s="35" t="s">
        <v>265</v>
      </c>
      <c r="Q480" s="35" t="s">
        <v>67</v>
      </c>
      <c r="R480" s="35" t="s">
        <v>144</v>
      </c>
      <c r="S480" s="42" t="n">
        <v>3</v>
      </c>
      <c r="T480" s="35" t="s">
        <v>64</v>
      </c>
      <c r="U480" s="35" t="s">
        <v>204</v>
      </c>
      <c r="V480" s="36" t="s">
        <v>205</v>
      </c>
      <c r="W480" s="36" t="s">
        <v>826</v>
      </c>
      <c r="X480" s="44" t="s">
        <v>830</v>
      </c>
      <c r="Y480" s="41" t="s">
        <v>1653</v>
      </c>
      <c r="Z480" s="47" t="n">
        <v>45971</v>
      </c>
      <c r="AA480" s="35" t="s">
        <v>526</v>
      </c>
    </row>
    <row r="481" customFormat="false" ht="49.5" hidden="false" customHeight="true" outlineLevel="0" collapsed="false">
      <c r="A481" s="34" t="n">
        <v>480</v>
      </c>
      <c r="B481" s="37" t="s">
        <v>303</v>
      </c>
      <c r="C481" s="45" t="s">
        <v>1452</v>
      </c>
      <c r="D481" s="43" t="s">
        <v>1453</v>
      </c>
      <c r="E481" s="35" t="s">
        <v>211</v>
      </c>
      <c r="F481" s="39" t="s">
        <v>1652</v>
      </c>
      <c r="G481" s="43" t="s">
        <v>1640</v>
      </c>
      <c r="H481" s="44" t="s">
        <v>1641</v>
      </c>
      <c r="I481" s="45" t="s">
        <v>1645</v>
      </c>
      <c r="J481" s="36"/>
      <c r="K481" s="36"/>
      <c r="L481" s="45"/>
      <c r="M481" s="36" t="s">
        <v>521</v>
      </c>
      <c r="N481" s="40" t="n">
        <v>2000</v>
      </c>
      <c r="O481" s="35"/>
      <c r="P481" s="35" t="s">
        <v>265</v>
      </c>
      <c r="Q481" s="35" t="s">
        <v>67</v>
      </c>
      <c r="R481" s="35" t="s">
        <v>144</v>
      </c>
      <c r="S481" s="42" t="n">
        <v>3</v>
      </c>
      <c r="T481" s="35" t="s">
        <v>64</v>
      </c>
      <c r="U481" s="35" t="s">
        <v>204</v>
      </c>
      <c r="V481" s="36" t="s">
        <v>205</v>
      </c>
      <c r="W481" s="36" t="s">
        <v>524</v>
      </c>
      <c r="X481" s="44" t="s">
        <v>830</v>
      </c>
      <c r="Y481" s="41" t="s">
        <v>1654</v>
      </c>
      <c r="Z481" s="47" t="n">
        <v>46132</v>
      </c>
      <c r="AA481" s="35" t="s">
        <v>526</v>
      </c>
    </row>
    <row r="482" customFormat="false" ht="49.5" hidden="false" customHeight="true" outlineLevel="0" collapsed="false">
      <c r="A482" s="34" t="n">
        <v>481</v>
      </c>
      <c r="B482" s="37" t="s">
        <v>303</v>
      </c>
      <c r="C482" s="45" t="s">
        <v>1452</v>
      </c>
      <c r="D482" s="43" t="s">
        <v>1453</v>
      </c>
      <c r="E482" s="35" t="s">
        <v>211</v>
      </c>
      <c r="F482" s="39" t="s">
        <v>1652</v>
      </c>
      <c r="G482" s="43" t="s">
        <v>1640</v>
      </c>
      <c r="H482" s="44" t="s">
        <v>1641</v>
      </c>
      <c r="I482" s="45" t="s">
        <v>1645</v>
      </c>
      <c r="J482" s="36"/>
      <c r="K482" s="36"/>
      <c r="L482" s="45"/>
      <c r="M482" s="36" t="s">
        <v>521</v>
      </c>
      <c r="N482" s="40" t="n">
        <v>1000</v>
      </c>
      <c r="O482" s="41" t="s">
        <v>1469</v>
      </c>
      <c r="P482" s="35" t="s">
        <v>265</v>
      </c>
      <c r="Q482" s="35" t="s">
        <v>112</v>
      </c>
      <c r="R482" s="35" t="s">
        <v>1651</v>
      </c>
      <c r="S482" s="42" t="n">
        <v>2</v>
      </c>
      <c r="T482" s="35" t="s">
        <v>64</v>
      </c>
      <c r="U482" s="35" t="s">
        <v>204</v>
      </c>
      <c r="V482" s="36" t="s">
        <v>205</v>
      </c>
      <c r="W482" s="36" t="s">
        <v>524</v>
      </c>
      <c r="X482" s="44" t="s">
        <v>830</v>
      </c>
      <c r="Y482" s="41" t="s">
        <v>1654</v>
      </c>
      <c r="Z482" s="47" t="n">
        <v>46132</v>
      </c>
      <c r="AA482" s="35" t="s">
        <v>526</v>
      </c>
    </row>
    <row r="483" customFormat="false" ht="49.5" hidden="false" customHeight="true" outlineLevel="0" collapsed="false">
      <c r="A483" s="34" t="n">
        <v>482</v>
      </c>
      <c r="B483" s="37" t="s">
        <v>303</v>
      </c>
      <c r="C483" s="45" t="s">
        <v>1452</v>
      </c>
      <c r="D483" s="43" t="s">
        <v>1453</v>
      </c>
      <c r="E483" s="35" t="s">
        <v>211</v>
      </c>
      <c r="F483" s="39" t="s">
        <v>1655</v>
      </c>
      <c r="G483" s="43" t="s">
        <v>1640</v>
      </c>
      <c r="H483" s="44" t="s">
        <v>1641</v>
      </c>
      <c r="I483" s="45" t="s">
        <v>1645</v>
      </c>
      <c r="J483" s="36"/>
      <c r="K483" s="36"/>
      <c r="L483" s="45"/>
      <c r="M483" s="36" t="s">
        <v>521</v>
      </c>
      <c r="N483" s="40" t="n">
        <v>1000</v>
      </c>
      <c r="O483" s="41" t="s">
        <v>1469</v>
      </c>
      <c r="P483" s="35" t="s">
        <v>265</v>
      </c>
      <c r="Q483" s="35" t="s">
        <v>112</v>
      </c>
      <c r="R483" s="35" t="s">
        <v>1651</v>
      </c>
      <c r="S483" s="42" t="n">
        <v>2</v>
      </c>
      <c r="T483" s="35" t="s">
        <v>64</v>
      </c>
      <c r="U483" s="35" t="s">
        <v>204</v>
      </c>
      <c r="V483" s="36" t="s">
        <v>205</v>
      </c>
      <c r="W483" s="36" t="s">
        <v>524</v>
      </c>
      <c r="X483" s="44" t="s">
        <v>889</v>
      </c>
      <c r="Y483" s="41" t="s">
        <v>1656</v>
      </c>
      <c r="Z483" s="47" t="n">
        <v>45699</v>
      </c>
      <c r="AA483" s="35" t="s">
        <v>526</v>
      </c>
    </row>
    <row r="484" customFormat="false" ht="49.5" hidden="false" customHeight="true" outlineLevel="0" collapsed="false">
      <c r="A484" s="34" t="n">
        <v>483</v>
      </c>
      <c r="B484" s="37" t="s">
        <v>303</v>
      </c>
      <c r="C484" s="45" t="s">
        <v>1452</v>
      </c>
      <c r="D484" s="43" t="s">
        <v>1453</v>
      </c>
      <c r="E484" s="35" t="s">
        <v>211</v>
      </c>
      <c r="F484" s="39" t="s">
        <v>1655</v>
      </c>
      <c r="G484" s="43" t="s">
        <v>1640</v>
      </c>
      <c r="H484" s="44" t="s">
        <v>1641</v>
      </c>
      <c r="I484" s="45" t="s">
        <v>1645</v>
      </c>
      <c r="J484" s="36"/>
      <c r="K484" s="36"/>
      <c r="L484" s="45"/>
      <c r="M484" s="36" t="s">
        <v>521</v>
      </c>
      <c r="N484" s="40" t="n">
        <v>2000</v>
      </c>
      <c r="O484" s="35"/>
      <c r="P484" s="35" t="s">
        <v>265</v>
      </c>
      <c r="Q484" s="35" t="s">
        <v>67</v>
      </c>
      <c r="R484" s="35" t="s">
        <v>144</v>
      </c>
      <c r="S484" s="42" t="n">
        <v>3</v>
      </c>
      <c r="T484" s="35" t="s">
        <v>64</v>
      </c>
      <c r="U484" s="35" t="s">
        <v>204</v>
      </c>
      <c r="V484" s="36" t="s">
        <v>205</v>
      </c>
      <c r="W484" s="36" t="s">
        <v>524</v>
      </c>
      <c r="X484" s="44" t="s">
        <v>889</v>
      </c>
      <c r="Y484" s="41" t="s">
        <v>1656</v>
      </c>
      <c r="Z484" s="47" t="n">
        <v>45699</v>
      </c>
      <c r="AA484" s="35" t="s">
        <v>526</v>
      </c>
    </row>
    <row r="485" customFormat="false" ht="49.5" hidden="false" customHeight="true" outlineLevel="0" collapsed="false">
      <c r="A485" s="34" t="n">
        <v>484</v>
      </c>
      <c r="B485" s="37" t="s">
        <v>303</v>
      </c>
      <c r="C485" s="45" t="s">
        <v>1452</v>
      </c>
      <c r="D485" s="43" t="s">
        <v>1453</v>
      </c>
      <c r="E485" s="35" t="s">
        <v>211</v>
      </c>
      <c r="F485" s="39" t="s">
        <v>1657</v>
      </c>
      <c r="G485" s="43" t="s">
        <v>1658</v>
      </c>
      <c r="H485" s="44" t="s">
        <v>1641</v>
      </c>
      <c r="I485" s="45" t="s">
        <v>1659</v>
      </c>
      <c r="J485" s="36"/>
      <c r="K485" s="36"/>
      <c r="L485" s="45"/>
      <c r="M485" s="36" t="s">
        <v>521</v>
      </c>
      <c r="N485" s="40" t="n">
        <v>5000</v>
      </c>
      <c r="O485" s="35"/>
      <c r="P485" s="35" t="s">
        <v>265</v>
      </c>
      <c r="Q485" s="35" t="s">
        <v>67</v>
      </c>
      <c r="R485" s="35" t="s">
        <v>91</v>
      </c>
      <c r="S485" s="42" t="n">
        <v>2</v>
      </c>
      <c r="T485" s="35" t="s">
        <v>90</v>
      </c>
      <c r="U485" s="35" t="s">
        <v>204</v>
      </c>
      <c r="V485" s="36" t="s">
        <v>226</v>
      </c>
      <c r="W485" s="36" t="s">
        <v>524</v>
      </c>
      <c r="X485" s="43" t="s">
        <v>861</v>
      </c>
      <c r="Y485" s="41" t="s">
        <v>1660</v>
      </c>
      <c r="Z485" s="47" t="n">
        <v>45330</v>
      </c>
      <c r="AA485" s="35" t="s">
        <v>526</v>
      </c>
    </row>
    <row r="486" customFormat="false" ht="49.5" hidden="false" customHeight="true" outlineLevel="0" collapsed="false">
      <c r="A486" s="34" t="n">
        <v>485</v>
      </c>
      <c r="B486" s="37" t="s">
        <v>303</v>
      </c>
      <c r="C486" s="45" t="s">
        <v>1452</v>
      </c>
      <c r="D486" s="43" t="s">
        <v>1453</v>
      </c>
      <c r="E486" s="35" t="s">
        <v>211</v>
      </c>
      <c r="F486" s="39" t="s">
        <v>1661</v>
      </c>
      <c r="G486" s="43" t="s">
        <v>1640</v>
      </c>
      <c r="H486" s="44" t="s">
        <v>1641</v>
      </c>
      <c r="I486" s="45" t="s">
        <v>1645</v>
      </c>
      <c r="J486" s="36"/>
      <c r="K486" s="36"/>
      <c r="L486" s="45"/>
      <c r="M486" s="36" t="s">
        <v>521</v>
      </c>
      <c r="N486" s="40" t="n">
        <v>2000</v>
      </c>
      <c r="O486" s="35"/>
      <c r="P486" s="35" t="s">
        <v>265</v>
      </c>
      <c r="Q486" s="35" t="s">
        <v>67</v>
      </c>
      <c r="R486" s="35" t="s">
        <v>144</v>
      </c>
      <c r="S486" s="42" t="n">
        <v>3</v>
      </c>
      <c r="T486" s="35" t="s">
        <v>64</v>
      </c>
      <c r="U486" s="35" t="s">
        <v>204</v>
      </c>
      <c r="V486" s="36" t="s">
        <v>205</v>
      </c>
      <c r="W486" s="36" t="s">
        <v>826</v>
      </c>
      <c r="X486" s="44" t="s">
        <v>856</v>
      </c>
      <c r="Y486" s="41" t="s">
        <v>1662</v>
      </c>
      <c r="Z486" s="47" t="n">
        <v>45049</v>
      </c>
      <c r="AA486" s="35" t="s">
        <v>526</v>
      </c>
    </row>
    <row r="487" customFormat="false" ht="49.5" hidden="false" customHeight="true" outlineLevel="0" collapsed="false">
      <c r="A487" s="34" t="n">
        <v>486</v>
      </c>
      <c r="B487" s="37" t="s">
        <v>303</v>
      </c>
      <c r="C487" s="45" t="s">
        <v>1452</v>
      </c>
      <c r="D487" s="43" t="s">
        <v>1453</v>
      </c>
      <c r="E487" s="35" t="s">
        <v>211</v>
      </c>
      <c r="F487" s="39" t="s">
        <v>1663</v>
      </c>
      <c r="G487" s="43" t="s">
        <v>1640</v>
      </c>
      <c r="H487" s="44" t="s">
        <v>1641</v>
      </c>
      <c r="I487" s="45" t="s">
        <v>1645</v>
      </c>
      <c r="J487" s="36"/>
      <c r="K487" s="36"/>
      <c r="L487" s="45"/>
      <c r="M487" s="36" t="s">
        <v>521</v>
      </c>
      <c r="N487" s="40" t="n">
        <v>1000</v>
      </c>
      <c r="O487" s="41" t="s">
        <v>1469</v>
      </c>
      <c r="P487" s="35" t="s">
        <v>265</v>
      </c>
      <c r="Q487" s="35" t="s">
        <v>112</v>
      </c>
      <c r="R487" s="35" t="s">
        <v>1651</v>
      </c>
      <c r="S487" s="42" t="n">
        <v>2</v>
      </c>
      <c r="T487" s="35" t="s">
        <v>64</v>
      </c>
      <c r="U487" s="35" t="s">
        <v>204</v>
      </c>
      <c r="V487" s="36" t="s">
        <v>205</v>
      </c>
      <c r="W487" s="36" t="s">
        <v>524</v>
      </c>
      <c r="X487" s="44" t="s">
        <v>221</v>
      </c>
      <c r="Y487" s="41" t="s">
        <v>1664</v>
      </c>
      <c r="Z487" s="47" t="n">
        <v>45833</v>
      </c>
      <c r="AA487" s="35" t="s">
        <v>526</v>
      </c>
    </row>
    <row r="488" customFormat="false" ht="49.5" hidden="false" customHeight="true" outlineLevel="0" collapsed="false">
      <c r="A488" s="34" t="n">
        <v>487</v>
      </c>
      <c r="B488" s="37" t="s">
        <v>303</v>
      </c>
      <c r="C488" s="45" t="s">
        <v>1452</v>
      </c>
      <c r="D488" s="43" t="s">
        <v>1453</v>
      </c>
      <c r="E488" s="35" t="s">
        <v>211</v>
      </c>
      <c r="F488" s="39" t="s">
        <v>1663</v>
      </c>
      <c r="G488" s="43" t="s">
        <v>1640</v>
      </c>
      <c r="H488" s="44" t="s">
        <v>1641</v>
      </c>
      <c r="I488" s="45" t="s">
        <v>1645</v>
      </c>
      <c r="J488" s="36"/>
      <c r="K488" s="36"/>
      <c r="L488" s="45"/>
      <c r="M488" s="36" t="s">
        <v>521</v>
      </c>
      <c r="N488" s="40" t="n">
        <v>2000</v>
      </c>
      <c r="O488" s="35"/>
      <c r="P488" s="35" t="s">
        <v>265</v>
      </c>
      <c r="Q488" s="35" t="s">
        <v>67</v>
      </c>
      <c r="R488" s="35" t="s">
        <v>144</v>
      </c>
      <c r="S488" s="42" t="n">
        <v>3</v>
      </c>
      <c r="T488" s="35" t="s">
        <v>64</v>
      </c>
      <c r="U488" s="35" t="s">
        <v>204</v>
      </c>
      <c r="V488" s="36" t="s">
        <v>205</v>
      </c>
      <c r="W488" s="36" t="s">
        <v>524</v>
      </c>
      <c r="X488" s="44" t="s">
        <v>221</v>
      </c>
      <c r="Y488" s="41" t="s">
        <v>1664</v>
      </c>
      <c r="Z488" s="47" t="n">
        <v>45833</v>
      </c>
      <c r="AA488" s="35" t="s">
        <v>526</v>
      </c>
    </row>
    <row r="489" customFormat="false" ht="49.5" hidden="false" customHeight="true" outlineLevel="0" collapsed="false">
      <c r="A489" s="34" t="n">
        <v>488</v>
      </c>
      <c r="B489" s="37" t="s">
        <v>303</v>
      </c>
      <c r="C489" s="45" t="s">
        <v>1452</v>
      </c>
      <c r="D489" s="43" t="s">
        <v>1453</v>
      </c>
      <c r="E489" s="35" t="s">
        <v>211</v>
      </c>
      <c r="F489" s="39" t="s">
        <v>1665</v>
      </c>
      <c r="G489" s="43" t="s">
        <v>1640</v>
      </c>
      <c r="H489" s="44" t="s">
        <v>1641</v>
      </c>
      <c r="I489" s="45" t="s">
        <v>1645</v>
      </c>
      <c r="J489" s="36"/>
      <c r="K489" s="36"/>
      <c r="L489" s="45"/>
      <c r="M489" s="36" t="s">
        <v>521</v>
      </c>
      <c r="N489" s="40" t="n">
        <v>2000</v>
      </c>
      <c r="O489" s="35"/>
      <c r="P489" s="35" t="s">
        <v>265</v>
      </c>
      <c r="Q489" s="35" t="s">
        <v>67</v>
      </c>
      <c r="R489" s="35" t="s">
        <v>144</v>
      </c>
      <c r="S489" s="42" t="n">
        <v>3</v>
      </c>
      <c r="T489" s="35" t="s">
        <v>64</v>
      </c>
      <c r="U489" s="35" t="s">
        <v>204</v>
      </c>
      <c r="V489" s="36" t="s">
        <v>205</v>
      </c>
      <c r="W489" s="36" t="s">
        <v>524</v>
      </c>
      <c r="X489" s="43" t="s">
        <v>895</v>
      </c>
      <c r="Y489" s="41" t="s">
        <v>1666</v>
      </c>
      <c r="Z489" s="47" t="n">
        <v>46266</v>
      </c>
      <c r="AA489" s="35" t="s">
        <v>526</v>
      </c>
    </row>
    <row r="490" customFormat="false" ht="49.5" hidden="false" customHeight="true" outlineLevel="0" collapsed="false">
      <c r="A490" s="34" t="n">
        <v>489</v>
      </c>
      <c r="B490" s="37" t="s">
        <v>303</v>
      </c>
      <c r="C490" s="45" t="s">
        <v>1452</v>
      </c>
      <c r="D490" s="43" t="s">
        <v>1453</v>
      </c>
      <c r="E490" s="35" t="s">
        <v>211</v>
      </c>
      <c r="F490" s="39" t="s">
        <v>1667</v>
      </c>
      <c r="G490" s="43" t="s">
        <v>1640</v>
      </c>
      <c r="H490" s="44" t="s">
        <v>1641</v>
      </c>
      <c r="I490" s="45" t="s">
        <v>1645</v>
      </c>
      <c r="J490" s="36"/>
      <c r="K490" s="36"/>
      <c r="L490" s="45"/>
      <c r="M490" s="36" t="s">
        <v>521</v>
      </c>
      <c r="N490" s="40" t="n">
        <v>1000</v>
      </c>
      <c r="O490" s="41" t="s">
        <v>1469</v>
      </c>
      <c r="P490" s="35" t="s">
        <v>265</v>
      </c>
      <c r="Q490" s="35" t="s">
        <v>112</v>
      </c>
      <c r="R490" s="35" t="s">
        <v>1651</v>
      </c>
      <c r="S490" s="42" t="n">
        <v>2</v>
      </c>
      <c r="T490" s="35" t="s">
        <v>64</v>
      </c>
      <c r="U490" s="35" t="s">
        <v>204</v>
      </c>
      <c r="V490" s="36" t="s">
        <v>205</v>
      </c>
      <c r="W490" s="36" t="s">
        <v>524</v>
      </c>
      <c r="X490" s="44" t="s">
        <v>856</v>
      </c>
      <c r="Y490" s="41" t="s">
        <v>1668</v>
      </c>
      <c r="Z490" s="47" t="n">
        <v>45338</v>
      </c>
      <c r="AA490" s="35" t="s">
        <v>526</v>
      </c>
    </row>
    <row r="491" customFormat="false" ht="49.5" hidden="false" customHeight="true" outlineLevel="0" collapsed="false">
      <c r="A491" s="34" t="n">
        <v>490</v>
      </c>
      <c r="B491" s="37" t="s">
        <v>303</v>
      </c>
      <c r="C491" s="45" t="s">
        <v>1452</v>
      </c>
      <c r="D491" s="43" t="s">
        <v>1453</v>
      </c>
      <c r="E491" s="35" t="s">
        <v>211</v>
      </c>
      <c r="F491" s="39" t="s">
        <v>1667</v>
      </c>
      <c r="G491" s="43" t="s">
        <v>1640</v>
      </c>
      <c r="H491" s="44" t="s">
        <v>1641</v>
      </c>
      <c r="I491" s="45" t="s">
        <v>1645</v>
      </c>
      <c r="J491" s="36"/>
      <c r="K491" s="36"/>
      <c r="L491" s="45"/>
      <c r="M491" s="36" t="s">
        <v>521</v>
      </c>
      <c r="N491" s="40" t="n">
        <v>2000</v>
      </c>
      <c r="O491" s="35"/>
      <c r="P491" s="35" t="s">
        <v>265</v>
      </c>
      <c r="Q491" s="35" t="s">
        <v>67</v>
      </c>
      <c r="R491" s="35" t="s">
        <v>144</v>
      </c>
      <c r="S491" s="42" t="n">
        <v>3</v>
      </c>
      <c r="T491" s="35" t="s">
        <v>64</v>
      </c>
      <c r="U491" s="35" t="s">
        <v>204</v>
      </c>
      <c r="V491" s="36" t="s">
        <v>205</v>
      </c>
      <c r="W491" s="36" t="s">
        <v>826</v>
      </c>
      <c r="X491" s="44" t="s">
        <v>847</v>
      </c>
      <c r="Y491" s="41" t="s">
        <v>1669</v>
      </c>
      <c r="Z491" s="47" t="n">
        <v>45833</v>
      </c>
      <c r="AA491" s="35" t="s">
        <v>526</v>
      </c>
    </row>
    <row r="492" customFormat="false" ht="49.5" hidden="false" customHeight="true" outlineLevel="0" collapsed="false">
      <c r="A492" s="34" t="n">
        <v>491</v>
      </c>
      <c r="B492" s="37" t="s">
        <v>303</v>
      </c>
      <c r="C492" s="45" t="s">
        <v>1452</v>
      </c>
      <c r="D492" s="43" t="s">
        <v>1453</v>
      </c>
      <c r="E492" s="35" t="s">
        <v>211</v>
      </c>
      <c r="F492" s="39" t="s">
        <v>1667</v>
      </c>
      <c r="G492" s="43" t="s">
        <v>1640</v>
      </c>
      <c r="H492" s="44" t="s">
        <v>1641</v>
      </c>
      <c r="I492" s="45" t="s">
        <v>1645</v>
      </c>
      <c r="J492" s="36"/>
      <c r="K492" s="36"/>
      <c r="L492" s="45"/>
      <c r="M492" s="36" t="s">
        <v>521</v>
      </c>
      <c r="N492" s="40" t="n">
        <v>2000</v>
      </c>
      <c r="O492" s="35"/>
      <c r="P492" s="35" t="s">
        <v>265</v>
      </c>
      <c r="Q492" s="35" t="s">
        <v>67</v>
      </c>
      <c r="R492" s="35" t="s">
        <v>144</v>
      </c>
      <c r="S492" s="42" t="n">
        <v>3</v>
      </c>
      <c r="T492" s="35" t="s">
        <v>64</v>
      </c>
      <c r="U492" s="35" t="s">
        <v>204</v>
      </c>
      <c r="V492" s="36" t="s">
        <v>205</v>
      </c>
      <c r="W492" s="36" t="s">
        <v>524</v>
      </c>
      <c r="X492" s="44" t="s">
        <v>847</v>
      </c>
      <c r="Y492" s="41" t="s">
        <v>1670</v>
      </c>
      <c r="Z492" s="47" t="n">
        <v>45971</v>
      </c>
      <c r="AA492" s="35" t="s">
        <v>526</v>
      </c>
    </row>
    <row r="493" customFormat="false" ht="49.5" hidden="false" customHeight="true" outlineLevel="0" collapsed="false">
      <c r="A493" s="34" t="n">
        <v>492</v>
      </c>
      <c r="B493" s="37" t="s">
        <v>303</v>
      </c>
      <c r="C493" s="45" t="s">
        <v>1452</v>
      </c>
      <c r="D493" s="43" t="s">
        <v>1453</v>
      </c>
      <c r="E493" s="35" t="s">
        <v>211</v>
      </c>
      <c r="F493" s="39" t="s">
        <v>1667</v>
      </c>
      <c r="G493" s="43" t="s">
        <v>1640</v>
      </c>
      <c r="H493" s="44" t="s">
        <v>1641</v>
      </c>
      <c r="I493" s="45" t="s">
        <v>1645</v>
      </c>
      <c r="J493" s="36"/>
      <c r="K493" s="36"/>
      <c r="L493" s="45"/>
      <c r="M493" s="36" t="s">
        <v>521</v>
      </c>
      <c r="N493" s="40" t="n">
        <v>1000</v>
      </c>
      <c r="O493" s="41" t="s">
        <v>1469</v>
      </c>
      <c r="P493" s="35" t="s">
        <v>265</v>
      </c>
      <c r="Q493" s="35" t="s">
        <v>112</v>
      </c>
      <c r="R493" s="35" t="s">
        <v>1651</v>
      </c>
      <c r="S493" s="42" t="n">
        <v>2</v>
      </c>
      <c r="T493" s="35" t="s">
        <v>64</v>
      </c>
      <c r="U493" s="35" t="s">
        <v>204</v>
      </c>
      <c r="V493" s="36" t="s">
        <v>205</v>
      </c>
      <c r="W493" s="36" t="s">
        <v>524</v>
      </c>
      <c r="X493" s="44" t="s">
        <v>847</v>
      </c>
      <c r="Y493" s="41" t="s">
        <v>1670</v>
      </c>
      <c r="Z493" s="47" t="n">
        <v>45971</v>
      </c>
      <c r="AA493" s="35" t="s">
        <v>526</v>
      </c>
    </row>
    <row r="494" customFormat="false" ht="49.5" hidden="false" customHeight="true" outlineLevel="0" collapsed="false">
      <c r="A494" s="34" t="n">
        <v>493</v>
      </c>
      <c r="B494" s="37" t="s">
        <v>303</v>
      </c>
      <c r="C494" s="45" t="s">
        <v>1452</v>
      </c>
      <c r="D494" s="43" t="s">
        <v>1453</v>
      </c>
      <c r="E494" s="35" t="s">
        <v>211</v>
      </c>
      <c r="F494" s="39" t="s">
        <v>1671</v>
      </c>
      <c r="G494" s="43" t="s">
        <v>1640</v>
      </c>
      <c r="H494" s="44" t="s">
        <v>1641</v>
      </c>
      <c r="I494" s="45" t="s">
        <v>1645</v>
      </c>
      <c r="J494" s="36" t="s">
        <v>80</v>
      </c>
      <c r="K494" s="36"/>
      <c r="L494" s="45"/>
      <c r="M494" s="36" t="s">
        <v>521</v>
      </c>
      <c r="N494" s="40" t="n">
        <v>2000</v>
      </c>
      <c r="O494" s="35"/>
      <c r="P494" s="35" t="s">
        <v>265</v>
      </c>
      <c r="Q494" s="35" t="s">
        <v>67</v>
      </c>
      <c r="R494" s="35" t="s">
        <v>144</v>
      </c>
      <c r="S494" s="42" t="n">
        <v>3</v>
      </c>
      <c r="T494" s="35" t="s">
        <v>64</v>
      </c>
      <c r="U494" s="35" t="s">
        <v>204</v>
      </c>
      <c r="V494" s="36" t="s">
        <v>205</v>
      </c>
      <c r="W494" s="36" t="s">
        <v>524</v>
      </c>
      <c r="X494" s="43" t="s">
        <v>272</v>
      </c>
      <c r="Y494" s="41" t="s">
        <v>1672</v>
      </c>
      <c r="Z494" s="47" t="n">
        <v>44963</v>
      </c>
      <c r="AA494" s="35" t="s">
        <v>526</v>
      </c>
    </row>
    <row r="495" customFormat="false" ht="49.5" hidden="false" customHeight="true" outlineLevel="0" collapsed="false">
      <c r="A495" s="34" t="n">
        <v>494</v>
      </c>
      <c r="B495" s="37" t="s">
        <v>303</v>
      </c>
      <c r="C495" s="45" t="s">
        <v>1452</v>
      </c>
      <c r="D495" s="43" t="s">
        <v>1453</v>
      </c>
      <c r="E495" s="35" t="s">
        <v>211</v>
      </c>
      <c r="F495" s="39" t="s">
        <v>1671</v>
      </c>
      <c r="G495" s="43" t="s">
        <v>1640</v>
      </c>
      <c r="H495" s="44" t="s">
        <v>1641</v>
      </c>
      <c r="I495" s="45" t="s">
        <v>1645</v>
      </c>
      <c r="J495" s="36" t="s">
        <v>80</v>
      </c>
      <c r="K495" s="36"/>
      <c r="L495" s="45"/>
      <c r="M495" s="36" t="s">
        <v>521</v>
      </c>
      <c r="N495" s="40" t="n">
        <v>1000</v>
      </c>
      <c r="O495" s="41" t="s">
        <v>1469</v>
      </c>
      <c r="P495" s="35" t="s">
        <v>265</v>
      </c>
      <c r="Q495" s="35" t="s">
        <v>112</v>
      </c>
      <c r="R495" s="35" t="s">
        <v>1651</v>
      </c>
      <c r="S495" s="42" t="n">
        <v>2</v>
      </c>
      <c r="T495" s="35" t="s">
        <v>64</v>
      </c>
      <c r="U495" s="35" t="s">
        <v>204</v>
      </c>
      <c r="V495" s="36" t="s">
        <v>205</v>
      </c>
      <c r="W495" s="36" t="s">
        <v>524</v>
      </c>
      <c r="X495" s="43" t="s">
        <v>272</v>
      </c>
      <c r="Y495" s="41" t="s">
        <v>1672</v>
      </c>
      <c r="Z495" s="47" t="n">
        <v>44963</v>
      </c>
      <c r="AA495" s="35" t="s">
        <v>578</v>
      </c>
    </row>
    <row r="496" customFormat="false" ht="49.5" hidden="false" customHeight="true" outlineLevel="0" collapsed="false">
      <c r="A496" s="34" t="n">
        <v>495</v>
      </c>
      <c r="B496" s="37" t="s">
        <v>303</v>
      </c>
      <c r="C496" s="45" t="s">
        <v>1452</v>
      </c>
      <c r="D496" s="43" t="s">
        <v>1453</v>
      </c>
      <c r="E496" s="35" t="s">
        <v>211</v>
      </c>
      <c r="F496" s="39" t="s">
        <v>1673</v>
      </c>
      <c r="G496" s="43" t="s">
        <v>1640</v>
      </c>
      <c r="H496" s="44" t="s">
        <v>1641</v>
      </c>
      <c r="I496" s="45" t="s">
        <v>1645</v>
      </c>
      <c r="J496" s="36"/>
      <c r="K496" s="36"/>
      <c r="L496" s="45"/>
      <c r="M496" s="36" t="s">
        <v>521</v>
      </c>
      <c r="N496" s="40" t="n">
        <v>1000</v>
      </c>
      <c r="O496" s="41" t="s">
        <v>1469</v>
      </c>
      <c r="P496" s="35" t="s">
        <v>265</v>
      </c>
      <c r="Q496" s="35" t="s">
        <v>112</v>
      </c>
      <c r="R496" s="35" t="s">
        <v>1651</v>
      </c>
      <c r="S496" s="42" t="n">
        <v>2</v>
      </c>
      <c r="T496" s="35" t="s">
        <v>64</v>
      </c>
      <c r="U496" s="35" t="s">
        <v>204</v>
      </c>
      <c r="V496" s="36" t="s">
        <v>205</v>
      </c>
      <c r="W496" s="36" t="s">
        <v>524</v>
      </c>
      <c r="X496" s="44" t="s">
        <v>867</v>
      </c>
      <c r="Y496" s="41" t="s">
        <v>1674</v>
      </c>
      <c r="Z496" s="47" t="n">
        <v>45383</v>
      </c>
      <c r="AA496" s="35" t="s">
        <v>526</v>
      </c>
    </row>
    <row r="497" customFormat="false" ht="64.5" hidden="false" customHeight="true" outlineLevel="0" collapsed="false">
      <c r="A497" s="34" t="n">
        <v>496</v>
      </c>
      <c r="B497" s="37" t="s">
        <v>303</v>
      </c>
      <c r="C497" s="45" t="s">
        <v>1675</v>
      </c>
      <c r="D497" s="43" t="s">
        <v>1676</v>
      </c>
      <c r="E497" s="35" t="s">
        <v>268</v>
      </c>
      <c r="F497" s="39" t="s">
        <v>1677</v>
      </c>
      <c r="G497" s="43" t="s">
        <v>1678</v>
      </c>
      <c r="H497" s="44" t="s">
        <v>1679</v>
      </c>
      <c r="I497" s="45" t="s">
        <v>1680</v>
      </c>
      <c r="J497" s="36"/>
      <c r="K497" s="36"/>
      <c r="L497" s="45"/>
      <c r="M497" s="36" t="s">
        <v>521</v>
      </c>
      <c r="N497" s="40" t="n">
        <v>4000</v>
      </c>
      <c r="O497" s="35"/>
      <c r="P497" s="35" t="s">
        <v>265</v>
      </c>
      <c r="Q497" s="35" t="s">
        <v>67</v>
      </c>
      <c r="R497" s="35" t="s">
        <v>144</v>
      </c>
      <c r="S497" s="42" t="n">
        <v>3</v>
      </c>
      <c r="T497" s="35" t="s">
        <v>64</v>
      </c>
      <c r="U497" s="35" t="s">
        <v>537</v>
      </c>
      <c r="V497" s="36" t="s">
        <v>205</v>
      </c>
      <c r="W497" s="36" t="s">
        <v>524</v>
      </c>
      <c r="X497" s="43" t="s">
        <v>330</v>
      </c>
      <c r="Y497" s="41" t="s">
        <v>1681</v>
      </c>
      <c r="Z497" s="47" t="n">
        <v>41841</v>
      </c>
      <c r="AA497" s="35" t="s">
        <v>526</v>
      </c>
    </row>
    <row r="498" customFormat="false" ht="64.5" hidden="false" customHeight="true" outlineLevel="0" collapsed="false">
      <c r="A498" s="34" t="n">
        <v>497</v>
      </c>
      <c r="B498" s="37" t="s">
        <v>303</v>
      </c>
      <c r="C498" s="45" t="s">
        <v>1675</v>
      </c>
      <c r="D498" s="43" t="s">
        <v>1676</v>
      </c>
      <c r="E498" s="35" t="s">
        <v>268</v>
      </c>
      <c r="F498" s="39" t="s">
        <v>1677</v>
      </c>
      <c r="G498" s="43" t="s">
        <v>1678</v>
      </c>
      <c r="H498" s="44" t="s">
        <v>1682</v>
      </c>
      <c r="I498" s="45" t="s">
        <v>1680</v>
      </c>
      <c r="J498" s="36"/>
      <c r="K498" s="36"/>
      <c r="L498" s="45"/>
      <c r="M498" s="36" t="s">
        <v>521</v>
      </c>
      <c r="N498" s="40" t="n">
        <v>4000</v>
      </c>
      <c r="O498" s="35"/>
      <c r="P498" s="35" t="s">
        <v>265</v>
      </c>
      <c r="Q498" s="35" t="s">
        <v>67</v>
      </c>
      <c r="R498" s="35" t="s">
        <v>144</v>
      </c>
      <c r="S498" s="42" t="n">
        <v>3</v>
      </c>
      <c r="T498" s="35" t="s">
        <v>64</v>
      </c>
      <c r="U498" s="35" t="s">
        <v>537</v>
      </c>
      <c r="V498" s="36" t="s">
        <v>205</v>
      </c>
      <c r="W498" s="36" t="s">
        <v>524</v>
      </c>
      <c r="X498" s="43" t="s">
        <v>300</v>
      </c>
      <c r="Y498" s="41" t="s">
        <v>1683</v>
      </c>
      <c r="Z498" s="47" t="n">
        <v>46132</v>
      </c>
      <c r="AA498" s="35" t="s">
        <v>526</v>
      </c>
    </row>
    <row r="499" customFormat="false" ht="64.5" hidden="false" customHeight="true" outlineLevel="0" collapsed="false">
      <c r="A499" s="34" t="n">
        <v>498</v>
      </c>
      <c r="B499" s="37" t="s">
        <v>303</v>
      </c>
      <c r="C499" s="45" t="s">
        <v>1675</v>
      </c>
      <c r="D499" s="43" t="s">
        <v>1676</v>
      </c>
      <c r="E499" s="35" t="s">
        <v>268</v>
      </c>
      <c r="F499" s="39" t="s">
        <v>1677</v>
      </c>
      <c r="G499" s="43" t="s">
        <v>1678</v>
      </c>
      <c r="H499" s="44" t="s">
        <v>1679</v>
      </c>
      <c r="I499" s="45" t="s">
        <v>1680</v>
      </c>
      <c r="J499" s="36"/>
      <c r="K499" s="36"/>
      <c r="L499" s="45"/>
      <c r="M499" s="36" t="s">
        <v>521</v>
      </c>
      <c r="N499" s="40" t="n">
        <v>4000</v>
      </c>
      <c r="O499" s="35"/>
      <c r="P499" s="35" t="s">
        <v>265</v>
      </c>
      <c r="Q499" s="35" t="s">
        <v>67</v>
      </c>
      <c r="R499" s="35" t="s">
        <v>144</v>
      </c>
      <c r="S499" s="42" t="n">
        <v>3</v>
      </c>
      <c r="T499" s="35" t="s">
        <v>64</v>
      </c>
      <c r="U499" s="35" t="s">
        <v>537</v>
      </c>
      <c r="V499" s="36" t="s">
        <v>205</v>
      </c>
      <c r="W499" s="36" t="s">
        <v>524</v>
      </c>
      <c r="X499" s="44" t="s">
        <v>210</v>
      </c>
      <c r="Y499" s="41" t="s">
        <v>1684</v>
      </c>
      <c r="Z499" s="47" t="n">
        <v>44600</v>
      </c>
      <c r="AA499" s="35" t="s">
        <v>526</v>
      </c>
    </row>
    <row r="500" customFormat="false" ht="49.5" hidden="false" customHeight="true" outlineLevel="0" collapsed="false">
      <c r="A500" s="34" t="n">
        <v>499</v>
      </c>
      <c r="B500" s="37" t="s">
        <v>303</v>
      </c>
      <c r="C500" s="45" t="s">
        <v>622</v>
      </c>
      <c r="D500" s="43" t="s">
        <v>623</v>
      </c>
      <c r="E500" s="35" t="s">
        <v>268</v>
      </c>
      <c r="F500" s="39" t="s">
        <v>628</v>
      </c>
      <c r="G500" s="43" t="s">
        <v>1035</v>
      </c>
      <c r="H500" s="44" t="s">
        <v>1036</v>
      </c>
      <c r="I500" s="45" t="s">
        <v>631</v>
      </c>
      <c r="J500" s="36"/>
      <c r="K500" s="36"/>
      <c r="L500" s="45"/>
      <c r="M500" s="36" t="s">
        <v>521</v>
      </c>
      <c r="N500" s="40" t="n">
        <v>2000</v>
      </c>
      <c r="O500" s="35"/>
      <c r="P500" s="35" t="s">
        <v>265</v>
      </c>
      <c r="Q500" s="35" t="s">
        <v>67</v>
      </c>
      <c r="R500" s="35" t="s">
        <v>68</v>
      </c>
      <c r="S500" s="42" t="n">
        <v>3</v>
      </c>
      <c r="T500" s="35" t="s">
        <v>632</v>
      </c>
      <c r="U500" s="35" t="s">
        <v>204</v>
      </c>
      <c r="V500" s="36" t="s">
        <v>205</v>
      </c>
      <c r="W500" s="36" t="s">
        <v>826</v>
      </c>
      <c r="X500" s="44" t="s">
        <v>210</v>
      </c>
      <c r="Y500" s="41" t="s">
        <v>1685</v>
      </c>
      <c r="Z500" s="47" t="n">
        <v>42167</v>
      </c>
      <c r="AA500" s="35" t="s">
        <v>526</v>
      </c>
    </row>
    <row r="501" customFormat="false" ht="49.5" hidden="false" customHeight="true" outlineLevel="0" collapsed="false">
      <c r="A501" s="34" t="n">
        <v>500</v>
      </c>
      <c r="B501" s="37" t="s">
        <v>303</v>
      </c>
      <c r="C501" s="45" t="s">
        <v>622</v>
      </c>
      <c r="D501" s="43" t="s">
        <v>623</v>
      </c>
      <c r="E501" s="35" t="s">
        <v>268</v>
      </c>
      <c r="F501" s="39" t="s">
        <v>1686</v>
      </c>
      <c r="G501" s="43" t="s">
        <v>1687</v>
      </c>
      <c r="H501" s="44" t="s">
        <v>1036</v>
      </c>
      <c r="I501" s="45" t="s">
        <v>1688</v>
      </c>
      <c r="J501" s="36"/>
      <c r="K501" s="36"/>
      <c r="L501" s="45"/>
      <c r="M501" s="36" t="s">
        <v>521</v>
      </c>
      <c r="N501" s="40" t="n">
        <v>400</v>
      </c>
      <c r="O501" s="41" t="s">
        <v>1689</v>
      </c>
      <c r="P501" s="35" t="s">
        <v>523</v>
      </c>
      <c r="Q501" s="35" t="s">
        <v>112</v>
      </c>
      <c r="R501" s="35" t="s">
        <v>68</v>
      </c>
      <c r="S501" s="42" t="n">
        <v>2</v>
      </c>
      <c r="T501" s="35" t="s">
        <v>64</v>
      </c>
      <c r="U501" s="35" t="s">
        <v>204</v>
      </c>
      <c r="V501" s="36" t="s">
        <v>205</v>
      </c>
      <c r="W501" s="36" t="s">
        <v>826</v>
      </c>
      <c r="X501" s="44" t="s">
        <v>210</v>
      </c>
      <c r="Y501" s="41" t="s">
        <v>1690</v>
      </c>
      <c r="Z501" s="47" t="n">
        <v>41668</v>
      </c>
      <c r="AA501" s="35" t="s">
        <v>526</v>
      </c>
    </row>
    <row r="502" customFormat="false" ht="49.5" hidden="false" customHeight="true" outlineLevel="0" collapsed="false">
      <c r="A502" s="34" t="n">
        <v>501</v>
      </c>
      <c r="B502" s="37" t="s">
        <v>303</v>
      </c>
      <c r="C502" s="45" t="s">
        <v>622</v>
      </c>
      <c r="D502" s="43" t="s">
        <v>623</v>
      </c>
      <c r="E502" s="35" t="s">
        <v>211</v>
      </c>
      <c r="F502" s="39" t="s">
        <v>1686</v>
      </c>
      <c r="G502" s="43" t="s">
        <v>1687</v>
      </c>
      <c r="H502" s="44" t="s">
        <v>1036</v>
      </c>
      <c r="I502" s="45" t="s">
        <v>1688</v>
      </c>
      <c r="J502" s="36"/>
      <c r="K502" s="36"/>
      <c r="L502" s="45"/>
      <c r="M502" s="36" t="s">
        <v>521</v>
      </c>
      <c r="N502" s="40" t="n">
        <v>400</v>
      </c>
      <c r="O502" s="41" t="s">
        <v>1689</v>
      </c>
      <c r="P502" s="35" t="s">
        <v>523</v>
      </c>
      <c r="Q502" s="35" t="s">
        <v>1650</v>
      </c>
      <c r="R502" s="35" t="s">
        <v>1651</v>
      </c>
      <c r="S502" s="42" t="n">
        <v>2</v>
      </c>
      <c r="T502" s="35" t="s">
        <v>64</v>
      </c>
      <c r="U502" s="35" t="s">
        <v>204</v>
      </c>
      <c r="V502" s="36" t="s">
        <v>205</v>
      </c>
      <c r="W502" s="36" t="s">
        <v>524</v>
      </c>
      <c r="X502" s="44" t="s">
        <v>210</v>
      </c>
      <c r="Y502" s="41" t="s">
        <v>1691</v>
      </c>
      <c r="Z502" s="47" t="n">
        <v>44183</v>
      </c>
      <c r="AA502" s="35" t="s">
        <v>526</v>
      </c>
    </row>
    <row r="503" customFormat="false" ht="49.5" hidden="false" customHeight="true" outlineLevel="0" collapsed="false">
      <c r="A503" s="34" t="n">
        <v>502</v>
      </c>
      <c r="B503" s="37" t="s">
        <v>303</v>
      </c>
      <c r="C503" s="45" t="s">
        <v>622</v>
      </c>
      <c r="D503" s="43" t="s">
        <v>623</v>
      </c>
      <c r="E503" s="35" t="s">
        <v>268</v>
      </c>
      <c r="F503" s="39" t="s">
        <v>635</v>
      </c>
      <c r="G503" s="43" t="s">
        <v>1035</v>
      </c>
      <c r="H503" s="44" t="s">
        <v>1036</v>
      </c>
      <c r="I503" s="45" t="s">
        <v>631</v>
      </c>
      <c r="J503" s="36"/>
      <c r="K503" s="36"/>
      <c r="L503" s="45"/>
      <c r="M503" s="36" t="s">
        <v>521</v>
      </c>
      <c r="N503" s="40" t="n">
        <v>2000</v>
      </c>
      <c r="O503" s="35"/>
      <c r="P503" s="35" t="s">
        <v>265</v>
      </c>
      <c r="Q503" s="35" t="s">
        <v>67</v>
      </c>
      <c r="R503" s="35" t="s">
        <v>68</v>
      </c>
      <c r="S503" s="42" t="n">
        <v>3</v>
      </c>
      <c r="T503" s="35" t="s">
        <v>632</v>
      </c>
      <c r="U503" s="35" t="s">
        <v>204</v>
      </c>
      <c r="V503" s="36" t="s">
        <v>205</v>
      </c>
      <c r="W503" s="36" t="s">
        <v>524</v>
      </c>
      <c r="X503" s="44" t="s">
        <v>210</v>
      </c>
      <c r="Y503" s="41" t="s">
        <v>1037</v>
      </c>
      <c r="Z503" s="47" t="n">
        <v>43620</v>
      </c>
      <c r="AA503" s="35" t="s">
        <v>526</v>
      </c>
    </row>
    <row r="504" customFormat="false" ht="49.5" hidden="false" customHeight="true" outlineLevel="0" collapsed="false">
      <c r="A504" s="34" t="n">
        <v>503</v>
      </c>
      <c r="B504" s="37" t="s">
        <v>303</v>
      </c>
      <c r="C504" s="45" t="s">
        <v>622</v>
      </c>
      <c r="D504" s="43" t="s">
        <v>623</v>
      </c>
      <c r="E504" s="35" t="s">
        <v>268</v>
      </c>
      <c r="F504" s="39" t="s">
        <v>642</v>
      </c>
      <c r="G504" s="43" t="s">
        <v>1692</v>
      </c>
      <c r="H504" s="44" t="s">
        <v>1036</v>
      </c>
      <c r="I504" s="45" t="s">
        <v>576</v>
      </c>
      <c r="J504" s="36"/>
      <c r="K504" s="36"/>
      <c r="L504" s="45"/>
      <c r="M504" s="36" t="s">
        <v>521</v>
      </c>
      <c r="N504" s="40" t="n">
        <v>2000</v>
      </c>
      <c r="O504" s="35"/>
      <c r="P504" s="35" t="s">
        <v>265</v>
      </c>
      <c r="Q504" s="35" t="s">
        <v>67</v>
      </c>
      <c r="R504" s="35" t="s">
        <v>68</v>
      </c>
      <c r="S504" s="42" t="n">
        <v>3</v>
      </c>
      <c r="T504" s="35" t="s">
        <v>644</v>
      </c>
      <c r="U504" s="35" t="s">
        <v>204</v>
      </c>
      <c r="V504" s="36" t="s">
        <v>205</v>
      </c>
      <c r="W504" s="36" t="s">
        <v>524</v>
      </c>
      <c r="X504" s="44" t="s">
        <v>553</v>
      </c>
      <c r="Y504" s="41" t="s">
        <v>1693</v>
      </c>
      <c r="Z504" s="47" t="n">
        <v>43098</v>
      </c>
      <c r="AA504" s="35" t="s">
        <v>526</v>
      </c>
    </row>
    <row r="505" customFormat="false" ht="49.5" hidden="false" customHeight="true" outlineLevel="0" collapsed="false">
      <c r="A505" s="34" t="n">
        <v>504</v>
      </c>
      <c r="B505" s="37" t="s">
        <v>303</v>
      </c>
      <c r="C505" s="45" t="s">
        <v>622</v>
      </c>
      <c r="D505" s="43" t="s">
        <v>623</v>
      </c>
      <c r="E505" s="35" t="s">
        <v>211</v>
      </c>
      <c r="F505" s="39" t="s">
        <v>1458</v>
      </c>
      <c r="G505" s="43" t="s">
        <v>1459</v>
      </c>
      <c r="H505" s="44" t="s">
        <v>1036</v>
      </c>
      <c r="I505" s="45" t="s">
        <v>529</v>
      </c>
      <c r="J505" s="36"/>
      <c r="K505" s="36"/>
      <c r="L505" s="45"/>
      <c r="M505" s="36" t="s">
        <v>521</v>
      </c>
      <c r="N505" s="40"/>
      <c r="O505" s="41" t="s">
        <v>1460</v>
      </c>
      <c r="P505" s="35" t="s">
        <v>1461</v>
      </c>
      <c r="Q505" s="35" t="s">
        <v>1462</v>
      </c>
      <c r="R505" s="35" t="s">
        <v>1463</v>
      </c>
      <c r="S505" s="42" t="n">
        <v>1</v>
      </c>
      <c r="T505" s="35" t="s">
        <v>127</v>
      </c>
      <c r="U505" s="35" t="s">
        <v>204</v>
      </c>
      <c r="V505" s="36" t="s">
        <v>205</v>
      </c>
      <c r="W505" s="36" t="s">
        <v>524</v>
      </c>
      <c r="X505" s="44" t="s">
        <v>267</v>
      </c>
      <c r="Y505" s="41" t="s">
        <v>1464</v>
      </c>
      <c r="Z505" s="47" t="n">
        <v>45238</v>
      </c>
      <c r="AA505" s="35" t="s">
        <v>526</v>
      </c>
    </row>
    <row r="506" customFormat="false" ht="49.5" hidden="false" customHeight="true" outlineLevel="0" collapsed="false">
      <c r="A506" s="34" t="n">
        <v>505</v>
      </c>
      <c r="B506" s="37" t="s">
        <v>303</v>
      </c>
      <c r="C506" s="45" t="s">
        <v>622</v>
      </c>
      <c r="D506" s="43" t="s">
        <v>623</v>
      </c>
      <c r="E506" s="35" t="s">
        <v>268</v>
      </c>
      <c r="F506" s="39" t="s">
        <v>649</v>
      </c>
      <c r="G506" s="43" t="s">
        <v>1694</v>
      </c>
      <c r="H506" s="44" t="s">
        <v>1036</v>
      </c>
      <c r="I506" s="45" t="s">
        <v>584</v>
      </c>
      <c r="J506" s="36"/>
      <c r="K506" s="36"/>
      <c r="L506" s="45"/>
      <c r="M506" s="36" t="s">
        <v>521</v>
      </c>
      <c r="N506" s="40" t="n">
        <v>1000</v>
      </c>
      <c r="O506" s="35"/>
      <c r="P506" s="35" t="s">
        <v>265</v>
      </c>
      <c r="Q506" s="35" t="s">
        <v>67</v>
      </c>
      <c r="R506" s="35" t="s">
        <v>68</v>
      </c>
      <c r="S506" s="42" t="n">
        <v>3</v>
      </c>
      <c r="T506" s="35" t="s">
        <v>610</v>
      </c>
      <c r="U506" s="35" t="s">
        <v>204</v>
      </c>
      <c r="V506" s="36" t="s">
        <v>205</v>
      </c>
      <c r="W506" s="36" t="s">
        <v>524</v>
      </c>
      <c r="X506" s="44" t="s">
        <v>230</v>
      </c>
      <c r="Y506" s="41" t="s">
        <v>1695</v>
      </c>
      <c r="Z506" s="47" t="n">
        <v>41213</v>
      </c>
      <c r="AA506" s="35" t="s">
        <v>526</v>
      </c>
    </row>
    <row r="507" customFormat="false" ht="49.5" hidden="false" customHeight="true" outlineLevel="0" collapsed="false">
      <c r="A507" s="34" t="n">
        <v>506</v>
      </c>
      <c r="B507" s="37" t="s">
        <v>303</v>
      </c>
      <c r="C507" s="45" t="s">
        <v>622</v>
      </c>
      <c r="D507" s="43" t="s">
        <v>623</v>
      </c>
      <c r="E507" s="35" t="s">
        <v>268</v>
      </c>
      <c r="F507" s="39" t="s">
        <v>656</v>
      </c>
      <c r="G507" s="43" t="s">
        <v>1038</v>
      </c>
      <c r="H507" s="44" t="s">
        <v>1036</v>
      </c>
      <c r="I507" s="45" t="s">
        <v>584</v>
      </c>
      <c r="J507" s="36"/>
      <c r="K507" s="36"/>
      <c r="L507" s="45"/>
      <c r="M507" s="36" t="s">
        <v>521</v>
      </c>
      <c r="N507" s="40" t="n">
        <v>1000</v>
      </c>
      <c r="O507" s="35"/>
      <c r="P507" s="35" t="s">
        <v>265</v>
      </c>
      <c r="Q507" s="35" t="s">
        <v>67</v>
      </c>
      <c r="R507" s="35" t="s">
        <v>68</v>
      </c>
      <c r="S507" s="42" t="n">
        <v>3</v>
      </c>
      <c r="T507" s="35" t="s">
        <v>246</v>
      </c>
      <c r="U507" s="35" t="s">
        <v>204</v>
      </c>
      <c r="V507" s="36" t="s">
        <v>205</v>
      </c>
      <c r="W507" s="36" t="s">
        <v>524</v>
      </c>
      <c r="X507" s="44" t="s">
        <v>267</v>
      </c>
      <c r="Y507" s="41" t="s">
        <v>1040</v>
      </c>
      <c r="Z507" s="47" t="n">
        <v>41446</v>
      </c>
      <c r="AA507" s="35" t="s">
        <v>526</v>
      </c>
    </row>
    <row r="508" customFormat="false" ht="49.5" hidden="false" customHeight="true" outlineLevel="0" collapsed="false">
      <c r="A508" s="34" t="n">
        <v>507</v>
      </c>
      <c r="B508" s="37" t="s">
        <v>303</v>
      </c>
      <c r="C508" s="45" t="s">
        <v>622</v>
      </c>
      <c r="D508" s="43" t="s">
        <v>623</v>
      </c>
      <c r="E508" s="35" t="s">
        <v>268</v>
      </c>
      <c r="F508" s="39" t="s">
        <v>656</v>
      </c>
      <c r="G508" s="43" t="s">
        <v>1038</v>
      </c>
      <c r="H508" s="44" t="s">
        <v>1036</v>
      </c>
      <c r="I508" s="45" t="s">
        <v>584</v>
      </c>
      <c r="J508" s="36"/>
      <c r="K508" s="36"/>
      <c r="L508" s="45"/>
      <c r="M508" s="36" t="s">
        <v>521</v>
      </c>
      <c r="N508" s="40" t="n">
        <v>1000</v>
      </c>
      <c r="O508" s="41" t="s">
        <v>1469</v>
      </c>
      <c r="P508" s="35" t="s">
        <v>265</v>
      </c>
      <c r="Q508" s="35" t="s">
        <v>112</v>
      </c>
      <c r="R508" s="35" t="s">
        <v>68</v>
      </c>
      <c r="S508" s="42" t="n">
        <v>3</v>
      </c>
      <c r="T508" s="35" t="s">
        <v>246</v>
      </c>
      <c r="U508" s="35" t="s">
        <v>204</v>
      </c>
      <c r="V508" s="36" t="s">
        <v>205</v>
      </c>
      <c r="W508" s="36" t="s">
        <v>524</v>
      </c>
      <c r="X508" s="44" t="s">
        <v>267</v>
      </c>
      <c r="Y508" s="41" t="s">
        <v>1040</v>
      </c>
      <c r="Z508" s="47" t="n">
        <v>41446</v>
      </c>
      <c r="AA508" s="35" t="s">
        <v>526</v>
      </c>
    </row>
    <row r="509" customFormat="false" ht="79.5" hidden="false" customHeight="true" outlineLevel="0" collapsed="false">
      <c r="A509" s="34" t="n">
        <v>508</v>
      </c>
      <c r="B509" s="37" t="s">
        <v>303</v>
      </c>
      <c r="C509" s="45" t="s">
        <v>1696</v>
      </c>
      <c r="D509" s="43" t="s">
        <v>1697</v>
      </c>
      <c r="E509" s="35" t="s">
        <v>268</v>
      </c>
      <c r="F509" s="39" t="s">
        <v>1698</v>
      </c>
      <c r="G509" s="43" t="s">
        <v>1699</v>
      </c>
      <c r="H509" s="44" t="s">
        <v>1700</v>
      </c>
      <c r="I509" s="45" t="s">
        <v>982</v>
      </c>
      <c r="J509" s="36"/>
      <c r="K509" s="36"/>
      <c r="L509" s="45"/>
      <c r="M509" s="36" t="s">
        <v>521</v>
      </c>
      <c r="N509" s="40" t="n">
        <v>2000</v>
      </c>
      <c r="O509" s="35"/>
      <c r="P509" s="35" t="s">
        <v>265</v>
      </c>
      <c r="Q509" s="35" t="s">
        <v>67</v>
      </c>
      <c r="R509" s="35" t="s">
        <v>144</v>
      </c>
      <c r="S509" s="42" t="n">
        <v>2</v>
      </c>
      <c r="T509" s="35" t="s">
        <v>90</v>
      </c>
      <c r="U509" s="35" t="s">
        <v>204</v>
      </c>
      <c r="V509" s="36" t="s">
        <v>205</v>
      </c>
      <c r="W509" s="36" t="s">
        <v>524</v>
      </c>
      <c r="X509" s="44" t="s">
        <v>210</v>
      </c>
      <c r="Y509" s="41" t="s">
        <v>1701</v>
      </c>
      <c r="Z509" s="47" t="n">
        <v>41841</v>
      </c>
      <c r="AA509" s="35" t="s">
        <v>526</v>
      </c>
    </row>
    <row r="510" customFormat="false" ht="79.5" hidden="false" customHeight="true" outlineLevel="0" collapsed="false">
      <c r="A510" s="34" t="n">
        <v>509</v>
      </c>
      <c r="B510" s="37" t="s">
        <v>303</v>
      </c>
      <c r="C510" s="45" t="s">
        <v>1048</v>
      </c>
      <c r="D510" s="43" t="s">
        <v>1049</v>
      </c>
      <c r="E510" s="35" t="s">
        <v>268</v>
      </c>
      <c r="F510" s="39" t="s">
        <v>1050</v>
      </c>
      <c r="G510" s="43" t="s">
        <v>1051</v>
      </c>
      <c r="H510" s="44" t="s">
        <v>1052</v>
      </c>
      <c r="I510" s="45" t="s">
        <v>1053</v>
      </c>
      <c r="J510" s="36"/>
      <c r="K510" s="36"/>
      <c r="L510" s="45"/>
      <c r="M510" s="36" t="s">
        <v>521</v>
      </c>
      <c r="N510" s="40" t="n">
        <v>5000</v>
      </c>
      <c r="O510" s="35"/>
      <c r="P510" s="35" t="s">
        <v>265</v>
      </c>
      <c r="Q510" s="35" t="s">
        <v>67</v>
      </c>
      <c r="R510" s="35" t="s">
        <v>68</v>
      </c>
      <c r="S510" s="42" t="n">
        <v>3</v>
      </c>
      <c r="T510" s="35" t="s">
        <v>90</v>
      </c>
      <c r="U510" s="35" t="s">
        <v>204</v>
      </c>
      <c r="V510" s="36" t="s">
        <v>205</v>
      </c>
      <c r="W510" s="36" t="s">
        <v>524</v>
      </c>
      <c r="X510" s="43" t="s">
        <v>369</v>
      </c>
      <c r="Y510" s="41" t="s">
        <v>1054</v>
      </c>
      <c r="Z510" s="47" t="n">
        <v>41446</v>
      </c>
      <c r="AA510" s="35" t="s">
        <v>526</v>
      </c>
    </row>
    <row r="511" customFormat="false" ht="79.5" hidden="false" customHeight="true" outlineLevel="0" collapsed="false">
      <c r="A511" s="34" t="n">
        <v>510</v>
      </c>
      <c r="B511" s="37" t="s">
        <v>303</v>
      </c>
      <c r="C511" s="45" t="s">
        <v>1048</v>
      </c>
      <c r="D511" s="43" t="s">
        <v>1049</v>
      </c>
      <c r="E511" s="35" t="s">
        <v>268</v>
      </c>
      <c r="F511" s="39" t="s">
        <v>1055</v>
      </c>
      <c r="G511" s="43" t="s">
        <v>1056</v>
      </c>
      <c r="H511" s="44" t="s">
        <v>1057</v>
      </c>
      <c r="I511" s="45" t="s">
        <v>1058</v>
      </c>
      <c r="J511" s="36"/>
      <c r="K511" s="36"/>
      <c r="L511" s="45"/>
      <c r="M511" s="36" t="s">
        <v>521</v>
      </c>
      <c r="N511" s="40" t="n">
        <v>5000</v>
      </c>
      <c r="O511" s="35"/>
      <c r="P511" s="35" t="s">
        <v>265</v>
      </c>
      <c r="Q511" s="35" t="s">
        <v>67</v>
      </c>
      <c r="R511" s="35" t="s">
        <v>144</v>
      </c>
      <c r="S511" s="42" t="n">
        <v>3</v>
      </c>
      <c r="T511" s="35" t="s">
        <v>64</v>
      </c>
      <c r="U511" s="35" t="s">
        <v>204</v>
      </c>
      <c r="V511" s="36" t="s">
        <v>205</v>
      </c>
      <c r="W511" s="36" t="s">
        <v>524</v>
      </c>
      <c r="X511" s="43" t="s">
        <v>369</v>
      </c>
      <c r="Y511" s="41" t="s">
        <v>1059</v>
      </c>
      <c r="Z511" s="47" t="n">
        <v>39902</v>
      </c>
      <c r="AA511" s="35" t="s">
        <v>526</v>
      </c>
    </row>
    <row r="512" customFormat="false" ht="79.5" hidden="false" customHeight="true" outlineLevel="0" collapsed="false">
      <c r="A512" s="34" t="n">
        <v>511</v>
      </c>
      <c r="B512" s="37" t="s">
        <v>303</v>
      </c>
      <c r="C512" s="45" t="s">
        <v>1048</v>
      </c>
      <c r="D512" s="43" t="s">
        <v>1049</v>
      </c>
      <c r="E512" s="35" t="s">
        <v>268</v>
      </c>
      <c r="F512" s="39" t="s">
        <v>1702</v>
      </c>
      <c r="G512" s="43" t="s">
        <v>1703</v>
      </c>
      <c r="H512" s="44" t="s">
        <v>1704</v>
      </c>
      <c r="I512" s="45" t="s">
        <v>1705</v>
      </c>
      <c r="J512" s="36"/>
      <c r="K512" s="36"/>
      <c r="L512" s="45"/>
      <c r="M512" s="36" t="s">
        <v>521</v>
      </c>
      <c r="N512" s="40" t="n">
        <v>2000</v>
      </c>
      <c r="O512" s="35"/>
      <c r="P512" s="35" t="s">
        <v>265</v>
      </c>
      <c r="Q512" s="35" t="s">
        <v>67</v>
      </c>
      <c r="R512" s="35" t="s">
        <v>68</v>
      </c>
      <c r="S512" s="42" t="n">
        <v>3</v>
      </c>
      <c r="T512" s="35" t="s">
        <v>64</v>
      </c>
      <c r="U512" s="35" t="s">
        <v>537</v>
      </c>
      <c r="V512" s="36" t="s">
        <v>205</v>
      </c>
      <c r="W512" s="36" t="s">
        <v>524</v>
      </c>
      <c r="X512" s="44" t="s">
        <v>553</v>
      </c>
      <c r="Y512" s="41" t="s">
        <v>1706</v>
      </c>
      <c r="Z512" s="47" t="n">
        <v>41008</v>
      </c>
      <c r="AA512" s="35" t="s">
        <v>526</v>
      </c>
    </row>
    <row r="513" customFormat="false" ht="79.5" hidden="false" customHeight="true" outlineLevel="0" collapsed="false">
      <c r="A513" s="34" t="n">
        <v>512</v>
      </c>
      <c r="B513" s="37" t="s">
        <v>303</v>
      </c>
      <c r="C513" s="45" t="s">
        <v>1048</v>
      </c>
      <c r="D513" s="43" t="s">
        <v>1049</v>
      </c>
      <c r="E513" s="35" t="s">
        <v>268</v>
      </c>
      <c r="F513" s="39" t="s">
        <v>1707</v>
      </c>
      <c r="G513" s="43" t="s">
        <v>1708</v>
      </c>
      <c r="H513" s="44" t="s">
        <v>1709</v>
      </c>
      <c r="I513" s="45" t="s">
        <v>1710</v>
      </c>
      <c r="J513" s="36"/>
      <c r="K513" s="36"/>
      <c r="L513" s="45"/>
      <c r="M513" s="36" t="s">
        <v>521</v>
      </c>
      <c r="N513" s="40" t="n">
        <v>1000</v>
      </c>
      <c r="O513" s="41" t="s">
        <v>1711</v>
      </c>
      <c r="P513" s="35" t="s">
        <v>265</v>
      </c>
      <c r="Q513" s="35" t="s">
        <v>112</v>
      </c>
      <c r="R513" s="35" t="s">
        <v>68</v>
      </c>
      <c r="S513" s="42" t="n">
        <v>2</v>
      </c>
      <c r="T513" s="35" t="s">
        <v>64</v>
      </c>
      <c r="U513" s="35" t="s">
        <v>204</v>
      </c>
      <c r="V513" s="36" t="s">
        <v>205</v>
      </c>
      <c r="W513" s="36" t="s">
        <v>524</v>
      </c>
      <c r="X513" s="44" t="s">
        <v>210</v>
      </c>
      <c r="Y513" s="41" t="s">
        <v>1712</v>
      </c>
      <c r="Z513" s="47" t="n">
        <v>40956</v>
      </c>
      <c r="AA513" s="35" t="s">
        <v>526</v>
      </c>
    </row>
    <row r="514" customFormat="false" ht="79.5" hidden="false" customHeight="true" outlineLevel="0" collapsed="false">
      <c r="A514" s="34" t="n">
        <v>513</v>
      </c>
      <c r="B514" s="37" t="s">
        <v>303</v>
      </c>
      <c r="C514" s="45" t="s">
        <v>1048</v>
      </c>
      <c r="D514" s="43" t="s">
        <v>1049</v>
      </c>
      <c r="E514" s="35" t="s">
        <v>268</v>
      </c>
      <c r="F514" s="39" t="s">
        <v>1713</v>
      </c>
      <c r="G514" s="43" t="s">
        <v>1714</v>
      </c>
      <c r="H514" s="44" t="s">
        <v>1715</v>
      </c>
      <c r="I514" s="45" t="s">
        <v>1716</v>
      </c>
      <c r="J514" s="36"/>
      <c r="K514" s="36"/>
      <c r="L514" s="45"/>
      <c r="M514" s="36" t="s">
        <v>521</v>
      </c>
      <c r="N514" s="40" t="n">
        <v>100</v>
      </c>
      <c r="O514" s="41" t="s">
        <v>1717</v>
      </c>
      <c r="P514" s="35" t="s">
        <v>523</v>
      </c>
      <c r="Q514" s="35" t="s">
        <v>1650</v>
      </c>
      <c r="R514" s="35" t="s">
        <v>1718</v>
      </c>
      <c r="S514" s="42" t="n">
        <v>1</v>
      </c>
      <c r="T514" s="35" t="s">
        <v>90</v>
      </c>
      <c r="U514" s="35" t="s">
        <v>204</v>
      </c>
      <c r="V514" s="36" t="s">
        <v>205</v>
      </c>
      <c r="W514" s="36" t="s">
        <v>524</v>
      </c>
      <c r="X514" s="43" t="s">
        <v>932</v>
      </c>
      <c r="Y514" s="41" t="s">
        <v>1719</v>
      </c>
      <c r="Z514" s="47" t="n">
        <v>43350</v>
      </c>
      <c r="AA514" s="35" t="s">
        <v>526</v>
      </c>
    </row>
    <row r="515" customFormat="false" ht="79.5" hidden="false" customHeight="true" outlineLevel="0" collapsed="false">
      <c r="A515" s="34" t="n">
        <v>514</v>
      </c>
      <c r="B515" s="37" t="s">
        <v>303</v>
      </c>
      <c r="C515" s="45" t="s">
        <v>1720</v>
      </c>
      <c r="D515" s="43" t="s">
        <v>1721</v>
      </c>
      <c r="E515" s="35" t="s">
        <v>268</v>
      </c>
      <c r="F515" s="39" t="s">
        <v>1722</v>
      </c>
      <c r="G515" s="43" t="s">
        <v>1723</v>
      </c>
      <c r="H515" s="44" t="s">
        <v>1724</v>
      </c>
      <c r="I515" s="45" t="s">
        <v>1725</v>
      </c>
      <c r="J515" s="36"/>
      <c r="K515" s="36"/>
      <c r="L515" s="45"/>
      <c r="M515" s="36" t="s">
        <v>521</v>
      </c>
      <c r="N515" s="40" t="n">
        <v>200</v>
      </c>
      <c r="O515" s="41" t="s">
        <v>1726</v>
      </c>
      <c r="P515" s="35" t="s">
        <v>523</v>
      </c>
      <c r="Q515" s="35" t="s">
        <v>1650</v>
      </c>
      <c r="R515" s="35" t="s">
        <v>546</v>
      </c>
      <c r="S515" s="42" t="n">
        <v>1</v>
      </c>
      <c r="T515" s="35" t="s">
        <v>90</v>
      </c>
      <c r="U515" s="35" t="s">
        <v>204</v>
      </c>
      <c r="V515" s="36" t="s">
        <v>205</v>
      </c>
      <c r="W515" s="36" t="s">
        <v>524</v>
      </c>
      <c r="X515" s="43" t="s">
        <v>369</v>
      </c>
      <c r="Y515" s="41" t="s">
        <v>1727</v>
      </c>
      <c r="Z515" s="47" t="n">
        <v>41446</v>
      </c>
      <c r="AA515" s="35" t="s">
        <v>526</v>
      </c>
    </row>
    <row r="516" customFormat="false" ht="79.5" hidden="false" customHeight="true" outlineLevel="0" collapsed="false">
      <c r="A516" s="34" t="n">
        <v>515</v>
      </c>
      <c r="B516" s="37" t="s">
        <v>303</v>
      </c>
      <c r="C516" s="45" t="s">
        <v>1720</v>
      </c>
      <c r="D516" s="43" t="s">
        <v>1721</v>
      </c>
      <c r="E516" s="35" t="s">
        <v>268</v>
      </c>
      <c r="F516" s="39" t="s">
        <v>1722</v>
      </c>
      <c r="G516" s="43" t="s">
        <v>1723</v>
      </c>
      <c r="H516" s="44" t="s">
        <v>1724</v>
      </c>
      <c r="I516" s="45" t="s">
        <v>1725</v>
      </c>
      <c r="J516" s="36"/>
      <c r="K516" s="36"/>
      <c r="L516" s="45"/>
      <c r="M516" s="36" t="s">
        <v>521</v>
      </c>
      <c r="N516" s="40" t="n">
        <v>5000</v>
      </c>
      <c r="O516" s="35"/>
      <c r="P516" s="35" t="s">
        <v>265</v>
      </c>
      <c r="Q516" s="35" t="s">
        <v>67</v>
      </c>
      <c r="R516" s="35" t="s">
        <v>68</v>
      </c>
      <c r="S516" s="42" t="n">
        <v>3</v>
      </c>
      <c r="T516" s="35" t="s">
        <v>90</v>
      </c>
      <c r="U516" s="35" t="s">
        <v>204</v>
      </c>
      <c r="V516" s="36" t="s">
        <v>205</v>
      </c>
      <c r="W516" s="36" t="s">
        <v>524</v>
      </c>
      <c r="X516" s="43" t="s">
        <v>369</v>
      </c>
      <c r="Y516" s="41" t="s">
        <v>1727</v>
      </c>
      <c r="Z516" s="47" t="n">
        <v>41446</v>
      </c>
      <c r="AA516" s="35" t="s">
        <v>526</v>
      </c>
    </row>
    <row r="517" customFormat="false" ht="49.5" hidden="false" customHeight="true" outlineLevel="0" collapsed="false">
      <c r="A517" s="34" t="n">
        <v>516</v>
      </c>
      <c r="B517" s="37" t="s">
        <v>303</v>
      </c>
      <c r="C517" s="45" t="s">
        <v>318</v>
      </c>
      <c r="D517" s="43" t="s">
        <v>319</v>
      </c>
      <c r="E517" s="35" t="s">
        <v>211</v>
      </c>
      <c r="F517" s="39" t="s">
        <v>1728</v>
      </c>
      <c r="G517" s="43" t="s">
        <v>1465</v>
      </c>
      <c r="H517" s="44" t="s">
        <v>317</v>
      </c>
      <c r="I517" s="45" t="s">
        <v>576</v>
      </c>
      <c r="J517" s="36"/>
      <c r="K517" s="36"/>
      <c r="L517" s="45"/>
      <c r="M517" s="36" t="s">
        <v>521</v>
      </c>
      <c r="N517" s="40" t="n">
        <v>3000</v>
      </c>
      <c r="O517" s="35"/>
      <c r="P517" s="35" t="s">
        <v>265</v>
      </c>
      <c r="Q517" s="35" t="s">
        <v>67</v>
      </c>
      <c r="R517" s="35" t="s">
        <v>144</v>
      </c>
      <c r="S517" s="42" t="n">
        <v>3</v>
      </c>
      <c r="T517" s="35" t="s">
        <v>90</v>
      </c>
      <c r="U517" s="35" t="s">
        <v>204</v>
      </c>
      <c r="V517" s="36" t="s">
        <v>205</v>
      </c>
      <c r="W517" s="36" t="s">
        <v>826</v>
      </c>
      <c r="X517" s="43" t="s">
        <v>900</v>
      </c>
      <c r="Y517" s="41" t="s">
        <v>1729</v>
      </c>
      <c r="Z517" s="47" t="n">
        <v>46122</v>
      </c>
      <c r="AA517" s="35" t="s">
        <v>526</v>
      </c>
    </row>
    <row r="518" customFormat="false" ht="49.5" hidden="false" customHeight="true" outlineLevel="0" collapsed="false">
      <c r="A518" s="34" t="n">
        <v>517</v>
      </c>
      <c r="B518" s="37" t="s">
        <v>303</v>
      </c>
      <c r="C518" s="45" t="s">
        <v>318</v>
      </c>
      <c r="D518" s="43" t="s">
        <v>319</v>
      </c>
      <c r="E518" s="35" t="s">
        <v>268</v>
      </c>
      <c r="F518" s="39" t="s">
        <v>1730</v>
      </c>
      <c r="G518" s="43" t="s">
        <v>1465</v>
      </c>
      <c r="H518" s="44" t="s">
        <v>317</v>
      </c>
      <c r="I518" s="45" t="s">
        <v>576</v>
      </c>
      <c r="J518" s="36"/>
      <c r="K518" s="36"/>
      <c r="L518" s="45"/>
      <c r="M518" s="36" t="s">
        <v>521</v>
      </c>
      <c r="N518" s="40" t="n">
        <v>3000</v>
      </c>
      <c r="O518" s="35"/>
      <c r="P518" s="35" t="s">
        <v>265</v>
      </c>
      <c r="Q518" s="35" t="s">
        <v>67</v>
      </c>
      <c r="R518" s="35" t="s">
        <v>144</v>
      </c>
      <c r="S518" s="42" t="n">
        <v>3</v>
      </c>
      <c r="T518" s="35" t="s">
        <v>90</v>
      </c>
      <c r="U518" s="35" t="s">
        <v>204</v>
      </c>
      <c r="V518" s="36" t="s">
        <v>205</v>
      </c>
      <c r="W518" s="36" t="s">
        <v>826</v>
      </c>
      <c r="X518" s="44" t="s">
        <v>837</v>
      </c>
      <c r="Y518" s="41" t="s">
        <v>1731</v>
      </c>
      <c r="Z518" s="47" t="n">
        <v>43705</v>
      </c>
      <c r="AA518" s="35" t="s">
        <v>526</v>
      </c>
    </row>
    <row r="519" customFormat="false" ht="49.5" hidden="false" customHeight="true" outlineLevel="0" collapsed="false">
      <c r="A519" s="34" t="n">
        <v>518</v>
      </c>
      <c r="B519" s="37" t="s">
        <v>303</v>
      </c>
      <c r="C519" s="45" t="s">
        <v>318</v>
      </c>
      <c r="D519" s="43" t="s">
        <v>319</v>
      </c>
      <c r="E519" s="35" t="s">
        <v>268</v>
      </c>
      <c r="F519" s="39" t="s">
        <v>1732</v>
      </c>
      <c r="G519" s="43" t="s">
        <v>1465</v>
      </c>
      <c r="H519" s="44" t="s">
        <v>317</v>
      </c>
      <c r="I519" s="45" t="s">
        <v>576</v>
      </c>
      <c r="J519" s="36"/>
      <c r="K519" s="36"/>
      <c r="L519" s="45"/>
      <c r="M519" s="36" t="s">
        <v>521</v>
      </c>
      <c r="N519" s="40" t="n">
        <v>3000</v>
      </c>
      <c r="O519" s="35"/>
      <c r="P519" s="35" t="s">
        <v>265</v>
      </c>
      <c r="Q519" s="35" t="s">
        <v>67</v>
      </c>
      <c r="R519" s="35" t="s">
        <v>144</v>
      </c>
      <c r="S519" s="42" t="n">
        <v>3</v>
      </c>
      <c r="T519" s="35" t="s">
        <v>90</v>
      </c>
      <c r="U519" s="35" t="s">
        <v>204</v>
      </c>
      <c r="V519" s="36" t="s">
        <v>205</v>
      </c>
      <c r="W519" s="36" t="s">
        <v>524</v>
      </c>
      <c r="X519" s="44" t="s">
        <v>867</v>
      </c>
      <c r="Y519" s="41" t="s">
        <v>1733</v>
      </c>
      <c r="Z519" s="47" t="n">
        <v>43775</v>
      </c>
      <c r="AA519" s="35" t="s">
        <v>526</v>
      </c>
    </row>
    <row r="520" customFormat="false" ht="49.5" hidden="false" customHeight="true" outlineLevel="0" collapsed="false">
      <c r="A520" s="34" t="n">
        <v>519</v>
      </c>
      <c r="B520" s="37" t="s">
        <v>303</v>
      </c>
      <c r="C520" s="45" t="s">
        <v>318</v>
      </c>
      <c r="D520" s="43" t="s">
        <v>319</v>
      </c>
      <c r="E520" s="35" t="s">
        <v>211</v>
      </c>
      <c r="F520" s="39" t="s">
        <v>1734</v>
      </c>
      <c r="G520" s="43" t="s">
        <v>1465</v>
      </c>
      <c r="H520" s="44" t="s">
        <v>317</v>
      </c>
      <c r="I520" s="45" t="s">
        <v>576</v>
      </c>
      <c r="J520" s="36"/>
      <c r="K520" s="36"/>
      <c r="L520" s="45"/>
      <c r="M520" s="36" t="s">
        <v>521</v>
      </c>
      <c r="N520" s="40" t="n">
        <v>3000</v>
      </c>
      <c r="O520" s="35"/>
      <c r="P520" s="35" t="s">
        <v>265</v>
      </c>
      <c r="Q520" s="35" t="s">
        <v>67</v>
      </c>
      <c r="R520" s="35" t="s">
        <v>144</v>
      </c>
      <c r="S520" s="42" t="n">
        <v>3</v>
      </c>
      <c r="T520" s="35" t="s">
        <v>90</v>
      </c>
      <c r="U520" s="35" t="s">
        <v>204</v>
      </c>
      <c r="V520" s="36" t="s">
        <v>205</v>
      </c>
      <c r="W520" s="36" t="s">
        <v>524</v>
      </c>
      <c r="X520" s="44" t="s">
        <v>341</v>
      </c>
      <c r="Y520" s="41" t="s">
        <v>1735</v>
      </c>
      <c r="Z520" s="47" t="n">
        <v>43929</v>
      </c>
      <c r="AA520" s="35" t="s">
        <v>526</v>
      </c>
    </row>
    <row r="521" customFormat="false" ht="49.5" hidden="false" customHeight="true" outlineLevel="0" collapsed="false">
      <c r="A521" s="34" t="n">
        <v>520</v>
      </c>
      <c r="B521" s="37" t="s">
        <v>303</v>
      </c>
      <c r="C521" s="45" t="s">
        <v>318</v>
      </c>
      <c r="D521" s="43" t="s">
        <v>319</v>
      </c>
      <c r="E521" s="35" t="s">
        <v>268</v>
      </c>
      <c r="F521" s="39" t="s">
        <v>1736</v>
      </c>
      <c r="G521" s="43" t="s">
        <v>1465</v>
      </c>
      <c r="H521" s="44" t="s">
        <v>317</v>
      </c>
      <c r="I521" s="45" t="s">
        <v>576</v>
      </c>
      <c r="J521" s="36"/>
      <c r="K521" s="36"/>
      <c r="L521" s="45"/>
      <c r="M521" s="36" t="s">
        <v>521</v>
      </c>
      <c r="N521" s="40" t="n">
        <v>3000</v>
      </c>
      <c r="O521" s="35"/>
      <c r="P521" s="35" t="s">
        <v>265</v>
      </c>
      <c r="Q521" s="35" t="s">
        <v>67</v>
      </c>
      <c r="R521" s="35" t="s">
        <v>144</v>
      </c>
      <c r="S521" s="42" t="n">
        <v>3</v>
      </c>
      <c r="T521" s="35" t="s">
        <v>90</v>
      </c>
      <c r="U521" s="35" t="s">
        <v>204</v>
      </c>
      <c r="V521" s="36" t="s">
        <v>205</v>
      </c>
      <c r="W521" s="36" t="s">
        <v>524</v>
      </c>
      <c r="X521" s="43" t="s">
        <v>272</v>
      </c>
      <c r="Y521" s="41" t="s">
        <v>1737</v>
      </c>
      <c r="Z521" s="47" t="n">
        <v>42584</v>
      </c>
      <c r="AA521" s="35" t="s">
        <v>526</v>
      </c>
    </row>
    <row r="522" customFormat="false" ht="49.5" hidden="false" customHeight="true" outlineLevel="0" collapsed="false">
      <c r="A522" s="34" t="n">
        <v>521</v>
      </c>
      <c r="B522" s="37" t="s">
        <v>303</v>
      </c>
      <c r="C522" s="45" t="s">
        <v>318</v>
      </c>
      <c r="D522" s="43" t="s">
        <v>319</v>
      </c>
      <c r="E522" s="35" t="s">
        <v>211</v>
      </c>
      <c r="F522" s="39" t="s">
        <v>1738</v>
      </c>
      <c r="G522" s="43" t="s">
        <v>1465</v>
      </c>
      <c r="H522" s="44" t="s">
        <v>317</v>
      </c>
      <c r="I522" s="45" t="s">
        <v>576</v>
      </c>
      <c r="J522" s="36"/>
      <c r="K522" s="36"/>
      <c r="L522" s="45"/>
      <c r="M522" s="36" t="s">
        <v>521</v>
      </c>
      <c r="N522" s="40" t="n">
        <v>3000</v>
      </c>
      <c r="O522" s="35"/>
      <c r="P522" s="35" t="s">
        <v>265</v>
      </c>
      <c r="Q522" s="35" t="s">
        <v>67</v>
      </c>
      <c r="R522" s="35" t="s">
        <v>144</v>
      </c>
      <c r="S522" s="42" t="n">
        <v>3</v>
      </c>
      <c r="T522" s="35" t="s">
        <v>90</v>
      </c>
      <c r="U522" s="35" t="s">
        <v>204</v>
      </c>
      <c r="V522" s="36" t="s">
        <v>205</v>
      </c>
      <c r="W522" s="36" t="s">
        <v>524</v>
      </c>
      <c r="X522" s="44" t="s">
        <v>1536</v>
      </c>
      <c r="Y522" s="41" t="s">
        <v>1739</v>
      </c>
      <c r="Z522" s="47" t="n">
        <v>45971</v>
      </c>
      <c r="AA522" s="35" t="s">
        <v>526</v>
      </c>
    </row>
    <row r="523" customFormat="false" ht="49.5" hidden="false" customHeight="true" outlineLevel="0" collapsed="false">
      <c r="A523" s="34" t="n">
        <v>522</v>
      </c>
      <c r="B523" s="37" t="s">
        <v>303</v>
      </c>
      <c r="C523" s="45" t="s">
        <v>318</v>
      </c>
      <c r="D523" s="43" t="s">
        <v>319</v>
      </c>
      <c r="E523" s="35" t="s">
        <v>268</v>
      </c>
      <c r="F523" s="39" t="s">
        <v>1740</v>
      </c>
      <c r="G523" s="43" t="s">
        <v>1465</v>
      </c>
      <c r="H523" s="44" t="s">
        <v>317</v>
      </c>
      <c r="I523" s="45" t="s">
        <v>1741</v>
      </c>
      <c r="J523" s="36"/>
      <c r="K523" s="36"/>
      <c r="L523" s="45"/>
      <c r="M523" s="36" t="s">
        <v>521</v>
      </c>
      <c r="N523" s="40" t="n">
        <v>10000</v>
      </c>
      <c r="O523" s="35"/>
      <c r="P523" s="35" t="s">
        <v>265</v>
      </c>
      <c r="Q523" s="35" t="s">
        <v>67</v>
      </c>
      <c r="R523" s="35" t="s">
        <v>68</v>
      </c>
      <c r="S523" s="42" t="n">
        <v>2</v>
      </c>
      <c r="T523" s="35" t="s">
        <v>90</v>
      </c>
      <c r="U523" s="35" t="s">
        <v>204</v>
      </c>
      <c r="V523" s="36" t="s">
        <v>205</v>
      </c>
      <c r="W523" s="36" t="s">
        <v>524</v>
      </c>
      <c r="X523" s="43" t="s">
        <v>1742</v>
      </c>
      <c r="Y523" s="41" t="s">
        <v>1743</v>
      </c>
      <c r="Z523" s="47" t="n">
        <v>43991</v>
      </c>
      <c r="AA523" s="35" t="s">
        <v>526</v>
      </c>
    </row>
    <row r="524" customFormat="false" ht="49.5" hidden="false" customHeight="true" outlineLevel="0" collapsed="false">
      <c r="A524" s="34" t="n">
        <v>523</v>
      </c>
      <c r="B524" s="37" t="s">
        <v>303</v>
      </c>
      <c r="C524" s="45" t="s">
        <v>318</v>
      </c>
      <c r="D524" s="43" t="s">
        <v>319</v>
      </c>
      <c r="E524" s="35" t="s">
        <v>268</v>
      </c>
      <c r="F524" s="39" t="s">
        <v>1744</v>
      </c>
      <c r="G524" s="43" t="s">
        <v>1465</v>
      </c>
      <c r="H524" s="44" t="s">
        <v>317</v>
      </c>
      <c r="I524" s="45" t="s">
        <v>576</v>
      </c>
      <c r="J524" s="36"/>
      <c r="K524" s="36"/>
      <c r="L524" s="45"/>
      <c r="M524" s="36" t="s">
        <v>521</v>
      </c>
      <c r="N524" s="40" t="n">
        <v>3000</v>
      </c>
      <c r="O524" s="35"/>
      <c r="P524" s="35" t="s">
        <v>265</v>
      </c>
      <c r="Q524" s="35" t="s">
        <v>67</v>
      </c>
      <c r="R524" s="35" t="s">
        <v>144</v>
      </c>
      <c r="S524" s="42" t="n">
        <v>3</v>
      </c>
      <c r="T524" s="35" t="s">
        <v>90</v>
      </c>
      <c r="U524" s="35" t="s">
        <v>204</v>
      </c>
      <c r="V524" s="36" t="s">
        <v>205</v>
      </c>
      <c r="W524" s="36" t="s">
        <v>524</v>
      </c>
      <c r="X524" s="43" t="s">
        <v>861</v>
      </c>
      <c r="Y524" s="41" t="s">
        <v>1745</v>
      </c>
      <c r="Z524" s="47" t="n">
        <v>43578</v>
      </c>
      <c r="AA524" s="35" t="s">
        <v>526</v>
      </c>
    </row>
    <row r="525" customFormat="false" ht="49.5" hidden="false" customHeight="true" outlineLevel="0" collapsed="false">
      <c r="A525" s="34" t="n">
        <v>524</v>
      </c>
      <c r="B525" s="37" t="s">
        <v>303</v>
      </c>
      <c r="C525" s="45" t="s">
        <v>318</v>
      </c>
      <c r="D525" s="43" t="s">
        <v>319</v>
      </c>
      <c r="E525" s="35" t="s">
        <v>268</v>
      </c>
      <c r="F525" s="39" t="s">
        <v>313</v>
      </c>
      <c r="G525" s="43" t="s">
        <v>1465</v>
      </c>
      <c r="H525" s="44" t="s">
        <v>317</v>
      </c>
      <c r="I525" s="45" t="s">
        <v>1741</v>
      </c>
      <c r="J525" s="36" t="s">
        <v>80</v>
      </c>
      <c r="K525" s="36"/>
      <c r="L525" s="45" t="s">
        <v>667</v>
      </c>
      <c r="M525" s="36" t="s">
        <v>521</v>
      </c>
      <c r="N525" s="40" t="n">
        <v>10000</v>
      </c>
      <c r="O525" s="35"/>
      <c r="P525" s="35" t="s">
        <v>265</v>
      </c>
      <c r="Q525" s="35" t="s">
        <v>67</v>
      </c>
      <c r="R525" s="35" t="s">
        <v>68</v>
      </c>
      <c r="S525" s="42" t="n">
        <v>2</v>
      </c>
      <c r="T525" s="35" t="s">
        <v>90</v>
      </c>
      <c r="U525" s="35" t="s">
        <v>204</v>
      </c>
      <c r="V525" s="36" t="s">
        <v>205</v>
      </c>
      <c r="W525" s="36" t="s">
        <v>826</v>
      </c>
      <c r="X525" s="44" t="s">
        <v>321</v>
      </c>
      <c r="Y525" s="41" t="s">
        <v>322</v>
      </c>
      <c r="Z525" s="47" t="n">
        <v>43350</v>
      </c>
      <c r="AA525" s="35" t="s">
        <v>526</v>
      </c>
    </row>
    <row r="526" customFormat="false" ht="49.5" hidden="false" customHeight="true" outlineLevel="0" collapsed="false">
      <c r="A526" s="34" t="n">
        <v>525</v>
      </c>
      <c r="B526" s="37" t="s">
        <v>303</v>
      </c>
      <c r="C526" s="45" t="s">
        <v>318</v>
      </c>
      <c r="D526" s="43" t="s">
        <v>319</v>
      </c>
      <c r="E526" s="35" t="s">
        <v>268</v>
      </c>
      <c r="F526" s="39" t="s">
        <v>313</v>
      </c>
      <c r="G526" s="43" t="s">
        <v>1465</v>
      </c>
      <c r="H526" s="44" t="s">
        <v>317</v>
      </c>
      <c r="I526" s="45" t="s">
        <v>576</v>
      </c>
      <c r="J526" s="36" t="s">
        <v>80</v>
      </c>
      <c r="K526" s="36"/>
      <c r="L526" s="45" t="s">
        <v>667</v>
      </c>
      <c r="M526" s="36" t="s">
        <v>521</v>
      </c>
      <c r="N526" s="40" t="n">
        <v>3000</v>
      </c>
      <c r="O526" s="35"/>
      <c r="P526" s="35" t="s">
        <v>265</v>
      </c>
      <c r="Q526" s="35" t="s">
        <v>67</v>
      </c>
      <c r="R526" s="35" t="s">
        <v>144</v>
      </c>
      <c r="S526" s="42" t="n">
        <v>3</v>
      </c>
      <c r="T526" s="35" t="s">
        <v>90</v>
      </c>
      <c r="U526" s="35" t="s">
        <v>204</v>
      </c>
      <c r="V526" s="36" t="s">
        <v>205</v>
      </c>
      <c r="W526" s="36" t="s">
        <v>524</v>
      </c>
      <c r="X526" s="44" t="s">
        <v>210</v>
      </c>
      <c r="Y526" s="41" t="s">
        <v>1467</v>
      </c>
      <c r="Z526" s="47" t="n">
        <v>43907</v>
      </c>
      <c r="AA526" s="35" t="s">
        <v>526</v>
      </c>
    </row>
    <row r="527" customFormat="false" ht="49.5" hidden="false" customHeight="true" outlineLevel="0" collapsed="false">
      <c r="A527" s="34" t="n">
        <v>526</v>
      </c>
      <c r="B527" s="37" t="s">
        <v>303</v>
      </c>
      <c r="C527" s="45" t="s">
        <v>318</v>
      </c>
      <c r="D527" s="43" t="s">
        <v>319</v>
      </c>
      <c r="E527" s="35" t="s">
        <v>268</v>
      </c>
      <c r="F527" s="39" t="s">
        <v>313</v>
      </c>
      <c r="G527" s="43" t="s">
        <v>1465</v>
      </c>
      <c r="H527" s="44" t="s">
        <v>317</v>
      </c>
      <c r="I527" s="45" t="s">
        <v>576</v>
      </c>
      <c r="J527" s="36" t="s">
        <v>80</v>
      </c>
      <c r="K527" s="36"/>
      <c r="L527" s="45" t="s">
        <v>667</v>
      </c>
      <c r="M527" s="36" t="s">
        <v>521</v>
      </c>
      <c r="N527" s="40" t="n">
        <v>3000</v>
      </c>
      <c r="O527" s="35"/>
      <c r="P527" s="35" t="s">
        <v>265</v>
      </c>
      <c r="Q527" s="35" t="s">
        <v>67</v>
      </c>
      <c r="R527" s="35" t="s">
        <v>144</v>
      </c>
      <c r="S527" s="42" t="n">
        <v>3</v>
      </c>
      <c r="T527" s="35" t="s">
        <v>90</v>
      </c>
      <c r="U527" s="35" t="s">
        <v>204</v>
      </c>
      <c r="V527" s="36" t="s">
        <v>205</v>
      </c>
      <c r="W527" s="36" t="s">
        <v>826</v>
      </c>
      <c r="X527" s="44" t="s">
        <v>210</v>
      </c>
      <c r="Y527" s="41" t="s">
        <v>1468</v>
      </c>
      <c r="Z527" s="47" t="n">
        <v>38765</v>
      </c>
      <c r="AA527" s="35" t="s">
        <v>578</v>
      </c>
    </row>
    <row r="528" customFormat="false" ht="49.5" hidden="false" customHeight="true" outlineLevel="0" collapsed="false">
      <c r="A528" s="34" t="n">
        <v>527</v>
      </c>
      <c r="B528" s="37" t="s">
        <v>303</v>
      </c>
      <c r="C528" s="45" t="s">
        <v>318</v>
      </c>
      <c r="D528" s="43" t="s">
        <v>319</v>
      </c>
      <c r="E528" s="35" t="s">
        <v>268</v>
      </c>
      <c r="F528" s="39" t="s">
        <v>313</v>
      </c>
      <c r="G528" s="43" t="s">
        <v>1465</v>
      </c>
      <c r="H528" s="44" t="s">
        <v>317</v>
      </c>
      <c r="I528" s="45" t="s">
        <v>576</v>
      </c>
      <c r="J528" s="36" t="s">
        <v>80</v>
      </c>
      <c r="K528" s="36"/>
      <c r="L528" s="45" t="s">
        <v>667</v>
      </c>
      <c r="M528" s="36" t="s">
        <v>521</v>
      </c>
      <c r="N528" s="40" t="n">
        <v>3000</v>
      </c>
      <c r="O528" s="35"/>
      <c r="P528" s="35" t="s">
        <v>265</v>
      </c>
      <c r="Q528" s="35" t="s">
        <v>67</v>
      </c>
      <c r="R528" s="35" t="s">
        <v>144</v>
      </c>
      <c r="S528" s="42" t="n">
        <v>3</v>
      </c>
      <c r="T528" s="35" t="s">
        <v>90</v>
      </c>
      <c r="U528" s="35" t="s">
        <v>204</v>
      </c>
      <c r="V528" s="36" t="s">
        <v>205</v>
      </c>
      <c r="W528" s="36" t="s">
        <v>826</v>
      </c>
      <c r="X528" s="44" t="s">
        <v>321</v>
      </c>
      <c r="Y528" s="41" t="s">
        <v>1470</v>
      </c>
      <c r="Z528" s="47" t="n">
        <v>38625</v>
      </c>
      <c r="AA528" s="35" t="s">
        <v>526</v>
      </c>
    </row>
    <row r="529" customFormat="false" ht="49.5" hidden="false" customHeight="true" outlineLevel="0" collapsed="false">
      <c r="A529" s="34" t="n">
        <v>528</v>
      </c>
      <c r="B529" s="37" t="s">
        <v>303</v>
      </c>
      <c r="C529" s="45" t="s">
        <v>318</v>
      </c>
      <c r="D529" s="43" t="s">
        <v>319</v>
      </c>
      <c r="E529" s="35" t="s">
        <v>268</v>
      </c>
      <c r="F529" s="39" t="s">
        <v>313</v>
      </c>
      <c r="G529" s="43" t="s">
        <v>1746</v>
      </c>
      <c r="H529" s="44" t="s">
        <v>317</v>
      </c>
      <c r="I529" s="45" t="s">
        <v>529</v>
      </c>
      <c r="J529" s="36" t="s">
        <v>80</v>
      </c>
      <c r="K529" s="36"/>
      <c r="L529" s="45" t="s">
        <v>667</v>
      </c>
      <c r="M529" s="36" t="s">
        <v>521</v>
      </c>
      <c r="N529" s="40"/>
      <c r="O529" s="41" t="s">
        <v>569</v>
      </c>
      <c r="P529" s="35" t="s">
        <v>523</v>
      </c>
      <c r="Q529" s="35" t="s">
        <v>189</v>
      </c>
      <c r="R529" s="35" t="s">
        <v>202</v>
      </c>
      <c r="S529" s="42" t="n">
        <v>1</v>
      </c>
      <c r="T529" s="35" t="s">
        <v>127</v>
      </c>
      <c r="U529" s="35" t="s">
        <v>204</v>
      </c>
      <c r="V529" s="36" t="s">
        <v>205</v>
      </c>
      <c r="W529" s="36" t="s">
        <v>524</v>
      </c>
      <c r="X529" s="44" t="s">
        <v>210</v>
      </c>
      <c r="Y529" s="41" t="s">
        <v>1747</v>
      </c>
      <c r="Z529" s="47" t="n">
        <v>41666</v>
      </c>
      <c r="AA529" s="35" t="s">
        <v>526</v>
      </c>
    </row>
    <row r="530" customFormat="false" ht="49.5" hidden="false" customHeight="true" outlineLevel="0" collapsed="false">
      <c r="A530" s="34" t="n">
        <v>529</v>
      </c>
      <c r="B530" s="37" t="s">
        <v>303</v>
      </c>
      <c r="C530" s="45" t="s">
        <v>318</v>
      </c>
      <c r="D530" s="43" t="s">
        <v>319</v>
      </c>
      <c r="E530" s="35" t="s">
        <v>211</v>
      </c>
      <c r="F530" s="39" t="s">
        <v>1748</v>
      </c>
      <c r="G530" s="43" t="s">
        <v>1465</v>
      </c>
      <c r="H530" s="44" t="s">
        <v>317</v>
      </c>
      <c r="I530" s="45" t="s">
        <v>576</v>
      </c>
      <c r="J530" s="36"/>
      <c r="K530" s="36"/>
      <c r="L530" s="45"/>
      <c r="M530" s="36" t="s">
        <v>521</v>
      </c>
      <c r="N530" s="40" t="n">
        <v>3000</v>
      </c>
      <c r="O530" s="35"/>
      <c r="P530" s="35" t="s">
        <v>265</v>
      </c>
      <c r="Q530" s="35" t="s">
        <v>67</v>
      </c>
      <c r="R530" s="35" t="s">
        <v>144</v>
      </c>
      <c r="S530" s="42" t="n">
        <v>3</v>
      </c>
      <c r="T530" s="35" t="s">
        <v>90</v>
      </c>
      <c r="U530" s="35" t="s">
        <v>204</v>
      </c>
      <c r="V530" s="36" t="s">
        <v>205</v>
      </c>
      <c r="W530" s="36" t="s">
        <v>524</v>
      </c>
      <c r="X530" s="43" t="s">
        <v>1522</v>
      </c>
      <c r="Y530" s="41" t="s">
        <v>1749</v>
      </c>
      <c r="Z530" s="47" t="n">
        <v>44880</v>
      </c>
      <c r="AA530" s="35" t="s">
        <v>526</v>
      </c>
    </row>
    <row r="531" customFormat="false" ht="49.5" hidden="false" customHeight="true" outlineLevel="0" collapsed="false">
      <c r="A531" s="34" t="n">
        <v>530</v>
      </c>
      <c r="B531" s="37" t="s">
        <v>303</v>
      </c>
      <c r="C531" s="45" t="s">
        <v>318</v>
      </c>
      <c r="D531" s="43" t="s">
        <v>319</v>
      </c>
      <c r="E531" s="35" t="s">
        <v>211</v>
      </c>
      <c r="F531" s="39" t="s">
        <v>1750</v>
      </c>
      <c r="G531" s="43" t="s">
        <v>1465</v>
      </c>
      <c r="H531" s="44" t="s">
        <v>317</v>
      </c>
      <c r="I531" s="45" t="s">
        <v>576</v>
      </c>
      <c r="J531" s="36"/>
      <c r="K531" s="36"/>
      <c r="L531" s="45"/>
      <c r="M531" s="36" t="s">
        <v>521</v>
      </c>
      <c r="N531" s="40" t="n">
        <v>3000</v>
      </c>
      <c r="O531" s="35"/>
      <c r="P531" s="35" t="s">
        <v>265</v>
      </c>
      <c r="Q531" s="35" t="s">
        <v>67</v>
      </c>
      <c r="R531" s="35" t="s">
        <v>144</v>
      </c>
      <c r="S531" s="42" t="n">
        <v>3</v>
      </c>
      <c r="T531" s="35" t="s">
        <v>90</v>
      </c>
      <c r="U531" s="35" t="s">
        <v>204</v>
      </c>
      <c r="V531" s="36" t="s">
        <v>205</v>
      </c>
      <c r="W531" s="36" t="s">
        <v>826</v>
      </c>
      <c r="X531" s="43" t="s">
        <v>840</v>
      </c>
      <c r="Y531" s="41" t="s">
        <v>1751</v>
      </c>
      <c r="Z531" s="47" t="n">
        <v>45090</v>
      </c>
      <c r="AA531" s="35" t="s">
        <v>526</v>
      </c>
    </row>
    <row r="532" customFormat="false" ht="49.5" hidden="false" customHeight="true" outlineLevel="0" collapsed="false">
      <c r="A532" s="34" t="n">
        <v>531</v>
      </c>
      <c r="B532" s="37" t="s">
        <v>303</v>
      </c>
      <c r="C532" s="45" t="s">
        <v>318</v>
      </c>
      <c r="D532" s="43" t="s">
        <v>319</v>
      </c>
      <c r="E532" s="35" t="s">
        <v>268</v>
      </c>
      <c r="F532" s="39" t="s">
        <v>1752</v>
      </c>
      <c r="G532" s="43" t="s">
        <v>1465</v>
      </c>
      <c r="H532" s="44" t="s">
        <v>317</v>
      </c>
      <c r="I532" s="45" t="s">
        <v>576</v>
      </c>
      <c r="J532" s="36"/>
      <c r="K532" s="36"/>
      <c r="L532" s="45"/>
      <c r="M532" s="36" t="s">
        <v>521</v>
      </c>
      <c r="N532" s="40" t="n">
        <v>3000</v>
      </c>
      <c r="O532" s="35"/>
      <c r="P532" s="35" t="s">
        <v>265</v>
      </c>
      <c r="Q532" s="35" t="s">
        <v>67</v>
      </c>
      <c r="R532" s="35" t="s">
        <v>144</v>
      </c>
      <c r="S532" s="42" t="n">
        <v>3</v>
      </c>
      <c r="T532" s="35" t="s">
        <v>90</v>
      </c>
      <c r="U532" s="35" t="s">
        <v>204</v>
      </c>
      <c r="V532" s="36" t="s">
        <v>205</v>
      </c>
      <c r="W532" s="36" t="s">
        <v>524</v>
      </c>
      <c r="X532" s="44" t="s">
        <v>847</v>
      </c>
      <c r="Y532" s="41" t="s">
        <v>1753</v>
      </c>
      <c r="Z532" s="47" t="n">
        <v>43901</v>
      </c>
      <c r="AA532" s="35" t="s">
        <v>526</v>
      </c>
    </row>
    <row r="533" customFormat="false" ht="49.5" hidden="false" customHeight="true" outlineLevel="0" collapsed="false">
      <c r="A533" s="34" t="n">
        <v>532</v>
      </c>
      <c r="B533" s="37" t="s">
        <v>303</v>
      </c>
      <c r="C533" s="45" t="s">
        <v>318</v>
      </c>
      <c r="D533" s="43" t="s">
        <v>319</v>
      </c>
      <c r="E533" s="35" t="s">
        <v>268</v>
      </c>
      <c r="F533" s="39" t="s">
        <v>1752</v>
      </c>
      <c r="G533" s="43" t="s">
        <v>1465</v>
      </c>
      <c r="H533" s="44" t="s">
        <v>317</v>
      </c>
      <c r="I533" s="45" t="s">
        <v>576</v>
      </c>
      <c r="J533" s="36"/>
      <c r="K533" s="36"/>
      <c r="L533" s="45"/>
      <c r="M533" s="36" t="s">
        <v>521</v>
      </c>
      <c r="N533" s="40" t="n">
        <v>3000</v>
      </c>
      <c r="O533" s="35"/>
      <c r="P533" s="35" t="s">
        <v>265</v>
      </c>
      <c r="Q533" s="35" t="s">
        <v>67</v>
      </c>
      <c r="R533" s="35" t="s">
        <v>144</v>
      </c>
      <c r="S533" s="42" t="n">
        <v>3</v>
      </c>
      <c r="T533" s="35" t="s">
        <v>90</v>
      </c>
      <c r="U533" s="35" t="s">
        <v>204</v>
      </c>
      <c r="V533" s="36" t="s">
        <v>205</v>
      </c>
      <c r="W533" s="36" t="s">
        <v>826</v>
      </c>
      <c r="X533" s="44" t="s">
        <v>856</v>
      </c>
      <c r="Y533" s="41" t="s">
        <v>1754</v>
      </c>
      <c r="Z533" s="47" t="n">
        <v>43563</v>
      </c>
      <c r="AA533" s="35" t="s">
        <v>526</v>
      </c>
    </row>
    <row r="534" customFormat="false" ht="49.5" hidden="false" customHeight="true" outlineLevel="0" collapsed="false">
      <c r="A534" s="34" t="n">
        <v>533</v>
      </c>
      <c r="B534" s="37" t="s">
        <v>303</v>
      </c>
      <c r="C534" s="45" t="s">
        <v>318</v>
      </c>
      <c r="D534" s="43" t="s">
        <v>319</v>
      </c>
      <c r="E534" s="35" t="s">
        <v>268</v>
      </c>
      <c r="F534" s="39" t="s">
        <v>1755</v>
      </c>
      <c r="G534" s="43" t="s">
        <v>1465</v>
      </c>
      <c r="H534" s="44" t="s">
        <v>317</v>
      </c>
      <c r="I534" s="45" t="s">
        <v>576</v>
      </c>
      <c r="J534" s="36"/>
      <c r="K534" s="36"/>
      <c r="L534" s="45"/>
      <c r="M534" s="36" t="s">
        <v>521</v>
      </c>
      <c r="N534" s="40" t="n">
        <v>3000</v>
      </c>
      <c r="O534" s="35"/>
      <c r="P534" s="35" t="s">
        <v>265</v>
      </c>
      <c r="Q534" s="35" t="s">
        <v>67</v>
      </c>
      <c r="R534" s="35" t="s">
        <v>144</v>
      </c>
      <c r="S534" s="42" t="n">
        <v>3</v>
      </c>
      <c r="T534" s="35" t="s">
        <v>90</v>
      </c>
      <c r="U534" s="35" t="s">
        <v>204</v>
      </c>
      <c r="V534" s="36" t="s">
        <v>205</v>
      </c>
      <c r="W534" s="36" t="s">
        <v>524</v>
      </c>
      <c r="X534" s="43" t="s">
        <v>1380</v>
      </c>
      <c r="Y534" s="41" t="s">
        <v>1756</v>
      </c>
      <c r="Z534" s="47" t="n">
        <v>44173</v>
      </c>
      <c r="AA534" s="35" t="s">
        <v>526</v>
      </c>
    </row>
    <row r="535" customFormat="false" ht="49.5" hidden="false" customHeight="true" outlineLevel="0" collapsed="false">
      <c r="A535" s="34" t="n">
        <v>534</v>
      </c>
      <c r="B535" s="37" t="s">
        <v>303</v>
      </c>
      <c r="C535" s="45" t="s">
        <v>318</v>
      </c>
      <c r="D535" s="43" t="s">
        <v>319</v>
      </c>
      <c r="E535" s="35" t="s">
        <v>268</v>
      </c>
      <c r="F535" s="39" t="s">
        <v>1757</v>
      </c>
      <c r="G535" s="43" t="s">
        <v>1465</v>
      </c>
      <c r="H535" s="44" t="s">
        <v>317</v>
      </c>
      <c r="I535" s="45" t="s">
        <v>576</v>
      </c>
      <c r="J535" s="36"/>
      <c r="K535" s="36"/>
      <c r="L535" s="45"/>
      <c r="M535" s="36" t="s">
        <v>521</v>
      </c>
      <c r="N535" s="40" t="n">
        <v>3000</v>
      </c>
      <c r="O535" s="35"/>
      <c r="P535" s="35" t="s">
        <v>265</v>
      </c>
      <c r="Q535" s="35" t="s">
        <v>67</v>
      </c>
      <c r="R535" s="35" t="s">
        <v>144</v>
      </c>
      <c r="S535" s="42" t="n">
        <v>3</v>
      </c>
      <c r="T535" s="35" t="s">
        <v>90</v>
      </c>
      <c r="U535" s="35" t="s">
        <v>204</v>
      </c>
      <c r="V535" s="36" t="s">
        <v>205</v>
      </c>
      <c r="W535" s="36" t="s">
        <v>524</v>
      </c>
      <c r="X535" s="43" t="s">
        <v>872</v>
      </c>
      <c r="Y535" s="41" t="s">
        <v>1758</v>
      </c>
      <c r="Z535" s="47" t="n">
        <v>43251</v>
      </c>
      <c r="AA535" s="35" t="s">
        <v>526</v>
      </c>
    </row>
    <row r="536" customFormat="false" ht="49.5" hidden="false" customHeight="true" outlineLevel="0" collapsed="false">
      <c r="A536" s="34" t="n">
        <v>535</v>
      </c>
      <c r="B536" s="37" t="s">
        <v>303</v>
      </c>
      <c r="C536" s="45" t="s">
        <v>318</v>
      </c>
      <c r="D536" s="43" t="s">
        <v>319</v>
      </c>
      <c r="E536" s="35" t="s">
        <v>211</v>
      </c>
      <c r="F536" s="39" t="s">
        <v>1759</v>
      </c>
      <c r="G536" s="43" t="s">
        <v>1760</v>
      </c>
      <c r="H536" s="44" t="s">
        <v>317</v>
      </c>
      <c r="I536" s="45" t="s">
        <v>576</v>
      </c>
      <c r="J536" s="36"/>
      <c r="K536" s="36"/>
      <c r="L536" s="45"/>
      <c r="M536" s="36" t="s">
        <v>521</v>
      </c>
      <c r="N536" s="40" t="n">
        <v>3000</v>
      </c>
      <c r="O536" s="35"/>
      <c r="P536" s="35" t="s">
        <v>265</v>
      </c>
      <c r="Q536" s="35" t="s">
        <v>67</v>
      </c>
      <c r="R536" s="35" t="s">
        <v>144</v>
      </c>
      <c r="S536" s="42" t="n">
        <v>3</v>
      </c>
      <c r="T536" s="35" t="s">
        <v>632</v>
      </c>
      <c r="U536" s="35" t="s">
        <v>537</v>
      </c>
      <c r="V536" s="36" t="s">
        <v>205</v>
      </c>
      <c r="W536" s="36" t="s">
        <v>826</v>
      </c>
      <c r="X536" s="44" t="s">
        <v>321</v>
      </c>
      <c r="Y536" s="41" t="s">
        <v>1761</v>
      </c>
      <c r="Z536" s="47" t="n">
        <v>44337</v>
      </c>
      <c r="AA536" s="35" t="s">
        <v>526</v>
      </c>
    </row>
    <row r="537" customFormat="false" ht="49.5" hidden="false" customHeight="true" outlineLevel="0" collapsed="false">
      <c r="A537" s="34" t="n">
        <v>536</v>
      </c>
      <c r="B537" s="37" t="s">
        <v>303</v>
      </c>
      <c r="C537" s="45" t="s">
        <v>318</v>
      </c>
      <c r="D537" s="43" t="s">
        <v>319</v>
      </c>
      <c r="E537" s="35" t="s">
        <v>211</v>
      </c>
      <c r="F537" s="39" t="s">
        <v>1759</v>
      </c>
      <c r="G537" s="43" t="s">
        <v>1760</v>
      </c>
      <c r="H537" s="44" t="s">
        <v>317</v>
      </c>
      <c r="I537" s="45" t="s">
        <v>576</v>
      </c>
      <c r="J537" s="36"/>
      <c r="K537" s="36"/>
      <c r="L537" s="45"/>
      <c r="M537" s="36" t="s">
        <v>521</v>
      </c>
      <c r="N537" s="40" t="n">
        <v>3000</v>
      </c>
      <c r="O537" s="35"/>
      <c r="P537" s="35" t="s">
        <v>265</v>
      </c>
      <c r="Q537" s="35" t="s">
        <v>67</v>
      </c>
      <c r="R537" s="35" t="s">
        <v>144</v>
      </c>
      <c r="S537" s="42" t="n">
        <v>3</v>
      </c>
      <c r="T537" s="35" t="s">
        <v>632</v>
      </c>
      <c r="U537" s="35" t="s">
        <v>537</v>
      </c>
      <c r="V537" s="36" t="s">
        <v>205</v>
      </c>
      <c r="W537" s="36" t="s">
        <v>524</v>
      </c>
      <c r="X537" s="44" t="s">
        <v>210</v>
      </c>
      <c r="Y537" s="41" t="s">
        <v>1762</v>
      </c>
      <c r="Z537" s="47" t="n">
        <v>44560</v>
      </c>
      <c r="AA537" s="35" t="s">
        <v>526</v>
      </c>
    </row>
    <row r="538" customFormat="false" ht="49.5" hidden="false" customHeight="true" outlineLevel="0" collapsed="false">
      <c r="A538" s="34" t="n">
        <v>537</v>
      </c>
      <c r="B538" s="37" t="s">
        <v>303</v>
      </c>
      <c r="C538" s="45" t="s">
        <v>318</v>
      </c>
      <c r="D538" s="43" t="s">
        <v>319</v>
      </c>
      <c r="E538" s="35" t="s">
        <v>268</v>
      </c>
      <c r="F538" s="39" t="s">
        <v>1763</v>
      </c>
      <c r="G538" s="43" t="s">
        <v>1465</v>
      </c>
      <c r="H538" s="44" t="s">
        <v>317</v>
      </c>
      <c r="I538" s="45" t="s">
        <v>576</v>
      </c>
      <c r="J538" s="36"/>
      <c r="K538" s="36"/>
      <c r="L538" s="45"/>
      <c r="M538" s="36" t="s">
        <v>521</v>
      </c>
      <c r="N538" s="40" t="n">
        <v>3000</v>
      </c>
      <c r="O538" s="35"/>
      <c r="P538" s="35" t="s">
        <v>265</v>
      </c>
      <c r="Q538" s="35" t="s">
        <v>67</v>
      </c>
      <c r="R538" s="35" t="s">
        <v>144</v>
      </c>
      <c r="S538" s="42" t="n">
        <v>3</v>
      </c>
      <c r="T538" s="35" t="s">
        <v>90</v>
      </c>
      <c r="U538" s="35" t="s">
        <v>204</v>
      </c>
      <c r="V538" s="36" t="s">
        <v>205</v>
      </c>
      <c r="W538" s="36" t="s">
        <v>524</v>
      </c>
      <c r="X538" s="44" t="s">
        <v>856</v>
      </c>
      <c r="Y538" s="41" t="s">
        <v>1764</v>
      </c>
      <c r="Z538" s="47" t="n">
        <v>44456</v>
      </c>
      <c r="AA538" s="35" t="s">
        <v>526</v>
      </c>
    </row>
    <row r="539" customFormat="false" ht="49.5" hidden="false" customHeight="true" outlineLevel="0" collapsed="false">
      <c r="A539" s="34" t="n">
        <v>538</v>
      </c>
      <c r="B539" s="37" t="s">
        <v>303</v>
      </c>
      <c r="C539" s="45" t="s">
        <v>318</v>
      </c>
      <c r="D539" s="43" t="s">
        <v>319</v>
      </c>
      <c r="E539" s="35" t="s">
        <v>268</v>
      </c>
      <c r="F539" s="39" t="s">
        <v>1765</v>
      </c>
      <c r="G539" s="43" t="s">
        <v>1465</v>
      </c>
      <c r="H539" s="44" t="s">
        <v>317</v>
      </c>
      <c r="I539" s="45" t="s">
        <v>576</v>
      </c>
      <c r="J539" s="36"/>
      <c r="K539" s="36"/>
      <c r="L539" s="45"/>
      <c r="M539" s="36" t="s">
        <v>521</v>
      </c>
      <c r="N539" s="40" t="n">
        <v>3000</v>
      </c>
      <c r="O539" s="35"/>
      <c r="P539" s="35" t="s">
        <v>265</v>
      </c>
      <c r="Q539" s="35" t="s">
        <v>67</v>
      </c>
      <c r="R539" s="35" t="s">
        <v>144</v>
      </c>
      <c r="S539" s="42" t="n">
        <v>3</v>
      </c>
      <c r="T539" s="35" t="s">
        <v>90</v>
      </c>
      <c r="U539" s="35" t="s">
        <v>204</v>
      </c>
      <c r="V539" s="36" t="s">
        <v>205</v>
      </c>
      <c r="W539" s="36" t="s">
        <v>524</v>
      </c>
      <c r="X539" s="43" t="s">
        <v>895</v>
      </c>
      <c r="Y539" s="41" t="s">
        <v>1766</v>
      </c>
      <c r="Z539" s="47" t="n">
        <v>43578</v>
      </c>
      <c r="AA539" s="35" t="s">
        <v>526</v>
      </c>
    </row>
    <row r="540" customFormat="false" ht="49.5" hidden="false" customHeight="true" outlineLevel="0" collapsed="false">
      <c r="A540" s="34" t="n">
        <v>539</v>
      </c>
      <c r="B540" s="37" t="s">
        <v>303</v>
      </c>
      <c r="C540" s="45" t="s">
        <v>318</v>
      </c>
      <c r="D540" s="43" t="s">
        <v>319</v>
      </c>
      <c r="E540" s="35" t="s">
        <v>211</v>
      </c>
      <c r="F540" s="39" t="s">
        <v>1767</v>
      </c>
      <c r="G540" s="43" t="s">
        <v>1465</v>
      </c>
      <c r="H540" s="44" t="s">
        <v>317</v>
      </c>
      <c r="I540" s="45" t="s">
        <v>576</v>
      </c>
      <c r="J540" s="36"/>
      <c r="K540" s="36"/>
      <c r="L540" s="45"/>
      <c r="M540" s="36" t="s">
        <v>521</v>
      </c>
      <c r="N540" s="40" t="n">
        <v>3000</v>
      </c>
      <c r="O540" s="35"/>
      <c r="P540" s="35" t="s">
        <v>265</v>
      </c>
      <c r="Q540" s="35" t="s">
        <v>67</v>
      </c>
      <c r="R540" s="35" t="s">
        <v>144</v>
      </c>
      <c r="S540" s="42" t="n">
        <v>3</v>
      </c>
      <c r="T540" s="35" t="s">
        <v>90</v>
      </c>
      <c r="U540" s="35" t="s">
        <v>204</v>
      </c>
      <c r="V540" s="36" t="s">
        <v>205</v>
      </c>
      <c r="W540" s="36" t="s">
        <v>524</v>
      </c>
      <c r="X540" s="43" t="s">
        <v>878</v>
      </c>
      <c r="Y540" s="41" t="s">
        <v>1768</v>
      </c>
      <c r="Z540" s="47" t="n">
        <v>44992</v>
      </c>
      <c r="AA540" s="35" t="s">
        <v>526</v>
      </c>
    </row>
    <row r="541" customFormat="false" ht="49.5" hidden="false" customHeight="true" outlineLevel="0" collapsed="false">
      <c r="A541" s="34" t="n">
        <v>540</v>
      </c>
      <c r="B541" s="37" t="s">
        <v>303</v>
      </c>
      <c r="C541" s="45" t="s">
        <v>318</v>
      </c>
      <c r="D541" s="43" t="s">
        <v>319</v>
      </c>
      <c r="E541" s="35" t="s">
        <v>211</v>
      </c>
      <c r="F541" s="39" t="s">
        <v>1769</v>
      </c>
      <c r="G541" s="43" t="s">
        <v>1465</v>
      </c>
      <c r="H541" s="44" t="s">
        <v>317</v>
      </c>
      <c r="I541" s="45" t="s">
        <v>576</v>
      </c>
      <c r="J541" s="36"/>
      <c r="K541" s="36"/>
      <c r="L541" s="45"/>
      <c r="M541" s="36" t="s">
        <v>521</v>
      </c>
      <c r="N541" s="40" t="n">
        <v>3000</v>
      </c>
      <c r="O541" s="35"/>
      <c r="P541" s="35" t="s">
        <v>265</v>
      </c>
      <c r="Q541" s="35" t="s">
        <v>67</v>
      </c>
      <c r="R541" s="35" t="s">
        <v>144</v>
      </c>
      <c r="S541" s="42" t="n">
        <v>3</v>
      </c>
      <c r="T541" s="35" t="s">
        <v>90</v>
      </c>
      <c r="U541" s="35" t="s">
        <v>204</v>
      </c>
      <c r="V541" s="36" t="s">
        <v>205</v>
      </c>
      <c r="W541" s="36" t="s">
        <v>826</v>
      </c>
      <c r="X541" s="44" t="s">
        <v>889</v>
      </c>
      <c r="Y541" s="41" t="s">
        <v>1770</v>
      </c>
      <c r="Z541" s="47" t="n">
        <v>45720</v>
      </c>
      <c r="AA541" s="35" t="s">
        <v>526</v>
      </c>
    </row>
    <row r="542" customFormat="false" ht="49.5" hidden="false" customHeight="true" outlineLevel="0" collapsed="false">
      <c r="A542" s="34" t="n">
        <v>541</v>
      </c>
      <c r="B542" s="37" t="s">
        <v>303</v>
      </c>
      <c r="C542" s="45" t="s">
        <v>318</v>
      </c>
      <c r="D542" s="43" t="s">
        <v>319</v>
      </c>
      <c r="E542" s="35" t="s">
        <v>268</v>
      </c>
      <c r="F542" s="39" t="s">
        <v>1771</v>
      </c>
      <c r="G542" s="43" t="s">
        <v>1746</v>
      </c>
      <c r="H542" s="44" t="s">
        <v>317</v>
      </c>
      <c r="I542" s="45" t="s">
        <v>529</v>
      </c>
      <c r="J542" s="36"/>
      <c r="K542" s="36"/>
      <c r="L542" s="45"/>
      <c r="M542" s="36" t="s">
        <v>521</v>
      </c>
      <c r="N542" s="40"/>
      <c r="O542" s="41" t="s">
        <v>569</v>
      </c>
      <c r="P542" s="35" t="s">
        <v>523</v>
      </c>
      <c r="Q542" s="35" t="s">
        <v>189</v>
      </c>
      <c r="R542" s="35" t="s">
        <v>202</v>
      </c>
      <c r="S542" s="42" t="n">
        <v>1</v>
      </c>
      <c r="T542" s="35" t="s">
        <v>127</v>
      </c>
      <c r="U542" s="35" t="s">
        <v>204</v>
      </c>
      <c r="V542" s="36" t="s">
        <v>205</v>
      </c>
      <c r="W542" s="36" t="s">
        <v>524</v>
      </c>
      <c r="X542" s="43" t="s">
        <v>272</v>
      </c>
      <c r="Y542" s="41" t="s">
        <v>1772</v>
      </c>
      <c r="Z542" s="47" t="n">
        <v>43664</v>
      </c>
      <c r="AA542" s="35" t="s">
        <v>526</v>
      </c>
    </row>
    <row r="543" customFormat="false" ht="49.5" hidden="false" customHeight="true" outlineLevel="0" collapsed="false">
      <c r="A543" s="34" t="n">
        <v>542</v>
      </c>
      <c r="B543" s="37" t="s">
        <v>303</v>
      </c>
      <c r="C543" s="45" t="s">
        <v>318</v>
      </c>
      <c r="D543" s="43" t="s">
        <v>319</v>
      </c>
      <c r="E543" s="35" t="s">
        <v>268</v>
      </c>
      <c r="F543" s="39" t="s">
        <v>1773</v>
      </c>
      <c r="G543" s="43" t="s">
        <v>1465</v>
      </c>
      <c r="H543" s="44" t="s">
        <v>317</v>
      </c>
      <c r="I543" s="45" t="s">
        <v>576</v>
      </c>
      <c r="J543" s="36"/>
      <c r="K543" s="36"/>
      <c r="L543" s="45"/>
      <c r="M543" s="36" t="s">
        <v>521</v>
      </c>
      <c r="N543" s="40" t="n">
        <v>3000</v>
      </c>
      <c r="O543" s="35"/>
      <c r="P543" s="35" t="s">
        <v>265</v>
      </c>
      <c r="Q543" s="35" t="s">
        <v>67</v>
      </c>
      <c r="R543" s="35" t="s">
        <v>144</v>
      </c>
      <c r="S543" s="42" t="n">
        <v>3</v>
      </c>
      <c r="T543" s="35" t="s">
        <v>90</v>
      </c>
      <c r="U543" s="35" t="s">
        <v>204</v>
      </c>
      <c r="V543" s="36" t="s">
        <v>205</v>
      </c>
      <c r="W543" s="36" t="s">
        <v>524</v>
      </c>
      <c r="X543" s="44" t="s">
        <v>221</v>
      </c>
      <c r="Y543" s="41" t="s">
        <v>1774</v>
      </c>
      <c r="Z543" s="47" t="n">
        <v>43362</v>
      </c>
      <c r="AA543" s="35" t="s">
        <v>526</v>
      </c>
    </row>
    <row r="544" customFormat="false" ht="49.5" hidden="false" customHeight="true" outlineLevel="0" collapsed="false">
      <c r="A544" s="34" t="n">
        <v>543</v>
      </c>
      <c r="B544" s="37" t="s">
        <v>303</v>
      </c>
      <c r="C544" s="45" t="s">
        <v>318</v>
      </c>
      <c r="D544" s="43" t="s">
        <v>319</v>
      </c>
      <c r="E544" s="35" t="s">
        <v>268</v>
      </c>
      <c r="F544" s="39" t="s">
        <v>1775</v>
      </c>
      <c r="G544" s="43" t="s">
        <v>1465</v>
      </c>
      <c r="H544" s="44" t="s">
        <v>317</v>
      </c>
      <c r="I544" s="45" t="s">
        <v>576</v>
      </c>
      <c r="J544" s="36"/>
      <c r="K544" s="36"/>
      <c r="L544" s="45"/>
      <c r="M544" s="36" t="s">
        <v>521</v>
      </c>
      <c r="N544" s="40" t="n">
        <v>3000</v>
      </c>
      <c r="O544" s="35"/>
      <c r="P544" s="35" t="s">
        <v>265</v>
      </c>
      <c r="Q544" s="35" t="s">
        <v>67</v>
      </c>
      <c r="R544" s="35" t="s">
        <v>144</v>
      </c>
      <c r="S544" s="42" t="n">
        <v>3</v>
      </c>
      <c r="T544" s="35" t="s">
        <v>90</v>
      </c>
      <c r="U544" s="35" t="s">
        <v>204</v>
      </c>
      <c r="V544" s="36" t="s">
        <v>205</v>
      </c>
      <c r="W544" s="36" t="s">
        <v>524</v>
      </c>
      <c r="X544" s="43" t="s">
        <v>906</v>
      </c>
      <c r="Y544" s="41" t="s">
        <v>1776</v>
      </c>
      <c r="Z544" s="47" t="n">
        <v>43325</v>
      </c>
      <c r="AA544" s="35" t="s">
        <v>526</v>
      </c>
    </row>
    <row r="545" customFormat="false" ht="49.5" hidden="false" customHeight="true" outlineLevel="0" collapsed="false">
      <c r="A545" s="34" t="n">
        <v>544</v>
      </c>
      <c r="B545" s="37" t="s">
        <v>303</v>
      </c>
      <c r="C545" s="45" t="s">
        <v>318</v>
      </c>
      <c r="D545" s="43" t="s">
        <v>319</v>
      </c>
      <c r="E545" s="35" t="s">
        <v>268</v>
      </c>
      <c r="F545" s="39" t="s">
        <v>1777</v>
      </c>
      <c r="G545" s="43" t="s">
        <v>1778</v>
      </c>
      <c r="H545" s="44" t="s">
        <v>317</v>
      </c>
      <c r="I545" s="45" t="s">
        <v>1741</v>
      </c>
      <c r="J545" s="36"/>
      <c r="K545" s="36"/>
      <c r="L545" s="45"/>
      <c r="M545" s="36" t="s">
        <v>521</v>
      </c>
      <c r="N545" s="40" t="n">
        <v>10000</v>
      </c>
      <c r="O545" s="35"/>
      <c r="P545" s="35" t="s">
        <v>265</v>
      </c>
      <c r="Q545" s="35" t="s">
        <v>67</v>
      </c>
      <c r="R545" s="35" t="s">
        <v>68</v>
      </c>
      <c r="S545" s="42" t="n">
        <v>2</v>
      </c>
      <c r="T545" s="35" t="s">
        <v>1779</v>
      </c>
      <c r="U545" s="35" t="s">
        <v>204</v>
      </c>
      <c r="V545" s="36" t="s">
        <v>205</v>
      </c>
      <c r="W545" s="36" t="s">
        <v>826</v>
      </c>
      <c r="X545" s="44" t="s">
        <v>230</v>
      </c>
      <c r="Y545" s="41" t="s">
        <v>1780</v>
      </c>
      <c r="Z545" s="47" t="n">
        <v>43061</v>
      </c>
      <c r="AA545" s="35" t="s">
        <v>526</v>
      </c>
    </row>
    <row r="546" customFormat="false" ht="49.5" hidden="false" customHeight="true" outlineLevel="0" collapsed="false">
      <c r="A546" s="34" t="n">
        <v>545</v>
      </c>
      <c r="B546" s="37" t="s">
        <v>303</v>
      </c>
      <c r="C546" s="45" t="s">
        <v>318</v>
      </c>
      <c r="D546" s="43" t="s">
        <v>319</v>
      </c>
      <c r="E546" s="35" t="s">
        <v>268</v>
      </c>
      <c r="F546" s="39" t="s">
        <v>1777</v>
      </c>
      <c r="G546" s="43" t="s">
        <v>1778</v>
      </c>
      <c r="H546" s="44" t="s">
        <v>317</v>
      </c>
      <c r="I546" s="45" t="s">
        <v>1741</v>
      </c>
      <c r="J546" s="36"/>
      <c r="K546" s="36"/>
      <c r="L546" s="45"/>
      <c r="M546" s="36" t="s">
        <v>521</v>
      </c>
      <c r="N546" s="40" t="n">
        <v>10000</v>
      </c>
      <c r="O546" s="35"/>
      <c r="P546" s="35" t="s">
        <v>265</v>
      </c>
      <c r="Q546" s="35" t="s">
        <v>67</v>
      </c>
      <c r="R546" s="35" t="s">
        <v>68</v>
      </c>
      <c r="S546" s="42" t="n">
        <v>2</v>
      </c>
      <c r="T546" s="35" t="s">
        <v>1779</v>
      </c>
      <c r="U546" s="35" t="s">
        <v>204</v>
      </c>
      <c r="V546" s="36" t="s">
        <v>205</v>
      </c>
      <c r="W546" s="36" t="s">
        <v>826</v>
      </c>
      <c r="X546" s="44" t="s">
        <v>321</v>
      </c>
      <c r="Y546" s="41" t="s">
        <v>1781</v>
      </c>
      <c r="Z546" s="47" t="n">
        <v>40631</v>
      </c>
      <c r="AA546" s="35" t="s">
        <v>526</v>
      </c>
    </row>
    <row r="547" customFormat="false" ht="49.5" hidden="false" customHeight="true" outlineLevel="0" collapsed="false">
      <c r="A547" s="34" t="n">
        <v>546</v>
      </c>
      <c r="B547" s="37" t="s">
        <v>303</v>
      </c>
      <c r="C547" s="45" t="s">
        <v>318</v>
      </c>
      <c r="D547" s="43" t="s">
        <v>319</v>
      </c>
      <c r="E547" s="35" t="s">
        <v>211</v>
      </c>
      <c r="F547" s="39" t="s">
        <v>1777</v>
      </c>
      <c r="G547" s="43" t="s">
        <v>1778</v>
      </c>
      <c r="H547" s="44" t="s">
        <v>317</v>
      </c>
      <c r="I547" s="45" t="s">
        <v>1741</v>
      </c>
      <c r="J547" s="36"/>
      <c r="K547" s="36"/>
      <c r="L547" s="45"/>
      <c r="M547" s="36" t="s">
        <v>521</v>
      </c>
      <c r="N547" s="40" t="n">
        <v>10000</v>
      </c>
      <c r="O547" s="41" t="s">
        <v>1711</v>
      </c>
      <c r="P547" s="35" t="s">
        <v>265</v>
      </c>
      <c r="Q547" s="35" t="s">
        <v>112</v>
      </c>
      <c r="R547" s="35" t="s">
        <v>68</v>
      </c>
      <c r="S547" s="42" t="n">
        <v>2</v>
      </c>
      <c r="T547" s="35" t="s">
        <v>1779</v>
      </c>
      <c r="U547" s="35" t="s">
        <v>204</v>
      </c>
      <c r="V547" s="36" t="s">
        <v>205</v>
      </c>
      <c r="W547" s="36" t="s">
        <v>826</v>
      </c>
      <c r="X547" s="44" t="s">
        <v>230</v>
      </c>
      <c r="Y547" s="41" t="s">
        <v>1780</v>
      </c>
      <c r="Z547" s="47" t="n">
        <v>43061</v>
      </c>
      <c r="AA547" s="35" t="s">
        <v>526</v>
      </c>
    </row>
    <row r="548" customFormat="false" ht="64.5" hidden="false" customHeight="true" outlineLevel="0" collapsed="false">
      <c r="A548" s="34" t="n">
        <v>547</v>
      </c>
      <c r="B548" s="37" t="s">
        <v>303</v>
      </c>
      <c r="C548" s="45" t="s">
        <v>1782</v>
      </c>
      <c r="D548" s="43" t="s">
        <v>1783</v>
      </c>
      <c r="E548" s="35" t="s">
        <v>211</v>
      </c>
      <c r="F548" s="39" t="s">
        <v>1784</v>
      </c>
      <c r="G548" s="43" t="s">
        <v>1785</v>
      </c>
      <c r="H548" s="44" t="s">
        <v>1786</v>
      </c>
      <c r="I548" s="45" t="s">
        <v>1705</v>
      </c>
      <c r="J548" s="36"/>
      <c r="K548" s="36"/>
      <c r="L548" s="45"/>
      <c r="M548" s="36" t="s">
        <v>521</v>
      </c>
      <c r="N548" s="40" t="n">
        <v>3000</v>
      </c>
      <c r="O548" s="35"/>
      <c r="P548" s="35" t="s">
        <v>265</v>
      </c>
      <c r="Q548" s="35" t="s">
        <v>67</v>
      </c>
      <c r="R548" s="35" t="s">
        <v>91</v>
      </c>
      <c r="S548" s="42" t="n">
        <v>3</v>
      </c>
      <c r="T548" s="35" t="s">
        <v>90</v>
      </c>
      <c r="U548" s="35" t="s">
        <v>204</v>
      </c>
      <c r="V548" s="36" t="s">
        <v>205</v>
      </c>
      <c r="W548" s="36" t="s">
        <v>524</v>
      </c>
      <c r="X548" s="43" t="s">
        <v>272</v>
      </c>
      <c r="Y548" s="41" t="s">
        <v>1787</v>
      </c>
      <c r="Z548" s="47" t="n">
        <v>44204</v>
      </c>
      <c r="AA548" s="35" t="s">
        <v>526</v>
      </c>
    </row>
    <row r="549" customFormat="false" ht="64.5" hidden="false" customHeight="true" outlineLevel="0" collapsed="false">
      <c r="A549" s="34" t="n">
        <v>548</v>
      </c>
      <c r="B549" s="37" t="s">
        <v>303</v>
      </c>
      <c r="C549" s="45" t="s">
        <v>1788</v>
      </c>
      <c r="D549" s="43" t="s">
        <v>1789</v>
      </c>
      <c r="E549" s="35" t="s">
        <v>268</v>
      </c>
      <c r="F549" s="39" t="s">
        <v>1790</v>
      </c>
      <c r="G549" s="43" t="s">
        <v>1791</v>
      </c>
      <c r="H549" s="44" t="s">
        <v>1792</v>
      </c>
      <c r="I549" s="45" t="s">
        <v>1793</v>
      </c>
      <c r="J549" s="36"/>
      <c r="K549" s="36"/>
      <c r="L549" s="45"/>
      <c r="M549" s="36" t="s">
        <v>521</v>
      </c>
      <c r="N549" s="40" t="n">
        <v>3000</v>
      </c>
      <c r="O549" s="35"/>
      <c r="P549" s="35" t="s">
        <v>265</v>
      </c>
      <c r="Q549" s="35" t="s">
        <v>67</v>
      </c>
      <c r="R549" s="35" t="s">
        <v>68</v>
      </c>
      <c r="S549" s="42" t="n">
        <v>2</v>
      </c>
      <c r="T549" s="35" t="s">
        <v>90</v>
      </c>
      <c r="U549" s="35" t="s">
        <v>204</v>
      </c>
      <c r="V549" s="36" t="s">
        <v>205</v>
      </c>
      <c r="W549" s="36" t="s">
        <v>524</v>
      </c>
      <c r="X549" s="43" t="s">
        <v>272</v>
      </c>
      <c r="Y549" s="41" t="s">
        <v>1794</v>
      </c>
      <c r="Z549" s="47" t="n">
        <v>42761</v>
      </c>
      <c r="AA549" s="35" t="s">
        <v>526</v>
      </c>
    </row>
    <row r="550" customFormat="false" ht="64.5" hidden="false" customHeight="true" outlineLevel="0" collapsed="false">
      <c r="A550" s="34" t="n">
        <v>549</v>
      </c>
      <c r="B550" s="37" t="s">
        <v>303</v>
      </c>
      <c r="C550" s="45" t="s">
        <v>1795</v>
      </c>
      <c r="D550" s="43" t="s">
        <v>1796</v>
      </c>
      <c r="E550" s="35" t="s">
        <v>268</v>
      </c>
      <c r="F550" s="39" t="s">
        <v>1797</v>
      </c>
      <c r="G550" s="43" t="s">
        <v>1798</v>
      </c>
      <c r="H550" s="44" t="s">
        <v>1799</v>
      </c>
      <c r="I550" s="45" t="s">
        <v>1800</v>
      </c>
      <c r="J550" s="36"/>
      <c r="K550" s="36"/>
      <c r="L550" s="45"/>
      <c r="M550" s="36" t="s">
        <v>521</v>
      </c>
      <c r="N550" s="40" t="n">
        <v>2000</v>
      </c>
      <c r="O550" s="35"/>
      <c r="P550" s="35" t="s">
        <v>265</v>
      </c>
      <c r="Q550" s="35" t="s">
        <v>67</v>
      </c>
      <c r="R550" s="35" t="s">
        <v>68</v>
      </c>
      <c r="S550" s="42" t="n">
        <v>3</v>
      </c>
      <c r="T550" s="35" t="s">
        <v>90</v>
      </c>
      <c r="U550" s="35" t="s">
        <v>204</v>
      </c>
      <c r="V550" s="36" t="s">
        <v>205</v>
      </c>
      <c r="W550" s="36" t="s">
        <v>524</v>
      </c>
      <c r="X550" s="43" t="s">
        <v>300</v>
      </c>
      <c r="Y550" s="41" t="s">
        <v>1801</v>
      </c>
      <c r="Z550" s="47" t="n">
        <v>41310</v>
      </c>
      <c r="AA550" s="35" t="s">
        <v>526</v>
      </c>
    </row>
    <row r="551" customFormat="false" ht="64.5" hidden="false" customHeight="true" outlineLevel="0" collapsed="false">
      <c r="A551" s="34" t="n">
        <v>550</v>
      </c>
      <c r="B551" s="37" t="s">
        <v>303</v>
      </c>
      <c r="C551" s="45" t="s">
        <v>1802</v>
      </c>
      <c r="D551" s="43" t="s">
        <v>1803</v>
      </c>
      <c r="E551" s="35" t="s">
        <v>268</v>
      </c>
      <c r="F551" s="39" t="s">
        <v>1804</v>
      </c>
      <c r="G551" s="43" t="s">
        <v>1805</v>
      </c>
      <c r="H551" s="44" t="s">
        <v>1806</v>
      </c>
      <c r="I551" s="45" t="s">
        <v>1807</v>
      </c>
      <c r="J551" s="36"/>
      <c r="K551" s="36"/>
      <c r="L551" s="45"/>
      <c r="M551" s="36" t="s">
        <v>521</v>
      </c>
      <c r="N551" s="40" t="n">
        <v>2000</v>
      </c>
      <c r="O551" s="35"/>
      <c r="P551" s="35" t="s">
        <v>265</v>
      </c>
      <c r="Q551" s="35" t="s">
        <v>67</v>
      </c>
      <c r="R551" s="35" t="s">
        <v>113</v>
      </c>
      <c r="S551" s="42" t="n">
        <v>2</v>
      </c>
      <c r="T551" s="35" t="s">
        <v>644</v>
      </c>
      <c r="U551" s="35" t="s">
        <v>204</v>
      </c>
      <c r="V551" s="36" t="s">
        <v>205</v>
      </c>
      <c r="W551" s="36" t="s">
        <v>524</v>
      </c>
      <c r="X551" s="43" t="s">
        <v>272</v>
      </c>
      <c r="Y551" s="41" t="s">
        <v>1808</v>
      </c>
      <c r="Z551" s="47" t="n">
        <v>43350</v>
      </c>
      <c r="AA551" s="35" t="s">
        <v>526</v>
      </c>
    </row>
    <row r="552" customFormat="false" ht="79.5" hidden="false" customHeight="true" outlineLevel="0" collapsed="false">
      <c r="A552" s="34" t="n">
        <v>551</v>
      </c>
      <c r="B552" s="37" t="s">
        <v>303</v>
      </c>
      <c r="C552" s="45" t="s">
        <v>276</v>
      </c>
      <c r="D552" s="43" t="s">
        <v>277</v>
      </c>
      <c r="E552" s="35" t="s">
        <v>211</v>
      </c>
      <c r="F552" s="39" t="s">
        <v>274</v>
      </c>
      <c r="G552" s="43" t="s">
        <v>1090</v>
      </c>
      <c r="H552" s="44" t="s">
        <v>275</v>
      </c>
      <c r="I552" s="45" t="s">
        <v>1091</v>
      </c>
      <c r="J552" s="36" t="s">
        <v>80</v>
      </c>
      <c r="K552" s="36"/>
      <c r="L552" s="45" t="s">
        <v>530</v>
      </c>
      <c r="M552" s="36" t="s">
        <v>521</v>
      </c>
      <c r="N552" s="40" t="n">
        <v>1000</v>
      </c>
      <c r="O552" s="35"/>
      <c r="P552" s="35" t="s">
        <v>265</v>
      </c>
      <c r="Q552" s="35" t="s">
        <v>67</v>
      </c>
      <c r="R552" s="35" t="s">
        <v>144</v>
      </c>
      <c r="S552" s="42" t="n">
        <v>2</v>
      </c>
      <c r="T552" s="35" t="s">
        <v>246</v>
      </c>
      <c r="U552" s="35" t="s">
        <v>204</v>
      </c>
      <c r="V552" s="36" t="s">
        <v>226</v>
      </c>
      <c r="W552" s="36" t="s">
        <v>524</v>
      </c>
      <c r="X552" s="44" t="s">
        <v>267</v>
      </c>
      <c r="Y552" s="41" t="s">
        <v>279</v>
      </c>
      <c r="Z552" s="47" t="n">
        <v>45516</v>
      </c>
      <c r="AA552" s="35" t="s">
        <v>578</v>
      </c>
    </row>
    <row r="553" customFormat="false" ht="34.5" hidden="false" customHeight="true" outlineLevel="0" collapsed="false">
      <c r="A553" s="34" t="n">
        <v>552</v>
      </c>
      <c r="B553" s="37" t="s">
        <v>303</v>
      </c>
      <c r="C553" s="45" t="s">
        <v>261</v>
      </c>
      <c r="D553" s="43" t="s">
        <v>262</v>
      </c>
      <c r="E553" s="35" t="s">
        <v>211</v>
      </c>
      <c r="F553" s="39" t="s">
        <v>258</v>
      </c>
      <c r="G553" s="43" t="s">
        <v>660</v>
      </c>
      <c r="H553" s="43" t="s">
        <v>260</v>
      </c>
      <c r="I553" s="45" t="s">
        <v>661</v>
      </c>
      <c r="J553" s="36" t="s">
        <v>80</v>
      </c>
      <c r="K553" s="36"/>
      <c r="L553" s="45"/>
      <c r="M553" s="36" t="s">
        <v>521</v>
      </c>
      <c r="N553" s="40"/>
      <c r="O553" s="35"/>
      <c r="P553" s="35"/>
      <c r="Q553" s="35"/>
      <c r="R553" s="35"/>
      <c r="S553" s="42"/>
      <c r="T553" s="35" t="s">
        <v>246</v>
      </c>
      <c r="U553" s="35"/>
      <c r="V553" s="36"/>
      <c r="W553" s="36"/>
      <c r="X553" s="43"/>
      <c r="Y553" s="35"/>
      <c r="Z553" s="47"/>
      <c r="AA553" s="41" t="s">
        <v>1225</v>
      </c>
    </row>
    <row r="554" customFormat="false" ht="34.5" hidden="false" customHeight="true" outlineLevel="0" collapsed="false">
      <c r="A554" s="34" t="n">
        <v>553</v>
      </c>
      <c r="B554" s="37" t="s">
        <v>303</v>
      </c>
      <c r="C554" s="45" t="s">
        <v>261</v>
      </c>
      <c r="D554" s="43" t="s">
        <v>262</v>
      </c>
      <c r="E554" s="35" t="s">
        <v>268</v>
      </c>
      <c r="F554" s="39" t="s">
        <v>1809</v>
      </c>
      <c r="G554" s="43" t="s">
        <v>1810</v>
      </c>
      <c r="H554" s="44" t="s">
        <v>348</v>
      </c>
      <c r="I554" s="45" t="s">
        <v>661</v>
      </c>
      <c r="J554" s="36"/>
      <c r="K554" s="36"/>
      <c r="L554" s="45"/>
      <c r="M554" s="36" t="s">
        <v>521</v>
      </c>
      <c r="N554" s="40" t="n">
        <v>1000</v>
      </c>
      <c r="O554" s="35"/>
      <c r="P554" s="35" t="s">
        <v>265</v>
      </c>
      <c r="Q554" s="35" t="s">
        <v>67</v>
      </c>
      <c r="R554" s="35" t="s">
        <v>144</v>
      </c>
      <c r="S554" s="42" t="n">
        <v>3</v>
      </c>
      <c r="T554" s="35" t="s">
        <v>246</v>
      </c>
      <c r="U554" s="35" t="s">
        <v>537</v>
      </c>
      <c r="V554" s="36" t="s">
        <v>284</v>
      </c>
      <c r="W554" s="36" t="s">
        <v>524</v>
      </c>
      <c r="X554" s="44" t="s">
        <v>341</v>
      </c>
      <c r="Y554" s="41" t="s">
        <v>1811</v>
      </c>
      <c r="Z554" s="47" t="n">
        <v>31882</v>
      </c>
      <c r="AA554" s="35" t="s">
        <v>526</v>
      </c>
    </row>
    <row r="555" customFormat="false" ht="34.5" hidden="false" customHeight="true" outlineLevel="0" collapsed="false">
      <c r="A555" s="34" t="n">
        <v>554</v>
      </c>
      <c r="B555" s="37" t="s">
        <v>303</v>
      </c>
      <c r="C555" s="45" t="s">
        <v>261</v>
      </c>
      <c r="D555" s="43" t="s">
        <v>262</v>
      </c>
      <c r="E555" s="35" t="s">
        <v>268</v>
      </c>
      <c r="F555" s="39" t="s">
        <v>1812</v>
      </c>
      <c r="G555" s="43" t="s">
        <v>1810</v>
      </c>
      <c r="H555" s="44" t="s">
        <v>348</v>
      </c>
      <c r="I555" s="45" t="s">
        <v>661</v>
      </c>
      <c r="J555" s="36"/>
      <c r="K555" s="36"/>
      <c r="L555" s="45"/>
      <c r="M555" s="36" t="s">
        <v>521</v>
      </c>
      <c r="N555" s="40" t="n">
        <v>1000</v>
      </c>
      <c r="O555" s="35"/>
      <c r="P555" s="35" t="s">
        <v>265</v>
      </c>
      <c r="Q555" s="35" t="s">
        <v>67</v>
      </c>
      <c r="R555" s="35" t="s">
        <v>144</v>
      </c>
      <c r="S555" s="42" t="n">
        <v>3</v>
      </c>
      <c r="T555" s="35" t="s">
        <v>246</v>
      </c>
      <c r="U555" s="35" t="s">
        <v>537</v>
      </c>
      <c r="V555" s="36" t="s">
        <v>284</v>
      </c>
      <c r="W555" s="36" t="s">
        <v>524</v>
      </c>
      <c r="X555" s="43" t="s">
        <v>864</v>
      </c>
      <c r="Y555" s="41" t="s">
        <v>1813</v>
      </c>
      <c r="Z555" s="47" t="n">
        <v>43201</v>
      </c>
      <c r="AA555" s="35" t="s">
        <v>526</v>
      </c>
    </row>
    <row r="556" customFormat="false" ht="34.5" hidden="false" customHeight="true" outlineLevel="0" collapsed="false">
      <c r="A556" s="34" t="n">
        <v>555</v>
      </c>
      <c r="B556" s="37" t="s">
        <v>303</v>
      </c>
      <c r="C556" s="45" t="s">
        <v>261</v>
      </c>
      <c r="D556" s="43" t="s">
        <v>262</v>
      </c>
      <c r="E556" s="35" t="s">
        <v>268</v>
      </c>
      <c r="F556" s="39" t="s">
        <v>1814</v>
      </c>
      <c r="G556" s="43" t="s">
        <v>1810</v>
      </c>
      <c r="H556" s="44" t="s">
        <v>348</v>
      </c>
      <c r="I556" s="45" t="s">
        <v>661</v>
      </c>
      <c r="J556" s="36"/>
      <c r="K556" s="36"/>
      <c r="L556" s="45"/>
      <c r="M556" s="36" t="s">
        <v>521</v>
      </c>
      <c r="N556" s="40" t="n">
        <v>1000</v>
      </c>
      <c r="O556" s="35"/>
      <c r="P556" s="35" t="s">
        <v>265</v>
      </c>
      <c r="Q556" s="35" t="s">
        <v>67</v>
      </c>
      <c r="R556" s="35" t="s">
        <v>144</v>
      </c>
      <c r="S556" s="42" t="n">
        <v>3</v>
      </c>
      <c r="T556" s="35" t="s">
        <v>246</v>
      </c>
      <c r="U556" s="35" t="s">
        <v>537</v>
      </c>
      <c r="V556" s="36" t="s">
        <v>284</v>
      </c>
      <c r="W556" s="36" t="s">
        <v>826</v>
      </c>
      <c r="X556" s="43" t="s">
        <v>1541</v>
      </c>
      <c r="Y556" s="41" t="s">
        <v>1815</v>
      </c>
      <c r="Z556" s="47" t="n">
        <v>43796</v>
      </c>
      <c r="AA556" s="35" t="s">
        <v>526</v>
      </c>
    </row>
    <row r="557" customFormat="false" ht="34.5" hidden="false" customHeight="true" outlineLevel="0" collapsed="false">
      <c r="A557" s="34" t="n">
        <v>556</v>
      </c>
      <c r="B557" s="37" t="s">
        <v>303</v>
      </c>
      <c r="C557" s="45" t="s">
        <v>261</v>
      </c>
      <c r="D557" s="43" t="s">
        <v>262</v>
      </c>
      <c r="E557" s="35" t="s">
        <v>268</v>
      </c>
      <c r="F557" s="39" t="s">
        <v>1816</v>
      </c>
      <c r="G557" s="43" t="s">
        <v>1810</v>
      </c>
      <c r="H557" s="44" t="s">
        <v>348</v>
      </c>
      <c r="I557" s="45" t="s">
        <v>661</v>
      </c>
      <c r="J557" s="36"/>
      <c r="K557" s="36"/>
      <c r="L557" s="45"/>
      <c r="M557" s="36" t="s">
        <v>521</v>
      </c>
      <c r="N557" s="40" t="n">
        <v>1000</v>
      </c>
      <c r="O557" s="35"/>
      <c r="P557" s="35" t="s">
        <v>265</v>
      </c>
      <c r="Q557" s="35" t="s">
        <v>67</v>
      </c>
      <c r="R557" s="35" t="s">
        <v>144</v>
      </c>
      <c r="S557" s="42" t="n">
        <v>3</v>
      </c>
      <c r="T557" s="35" t="s">
        <v>246</v>
      </c>
      <c r="U557" s="35" t="s">
        <v>537</v>
      </c>
      <c r="V557" s="36" t="s">
        <v>284</v>
      </c>
      <c r="W557" s="36" t="s">
        <v>524</v>
      </c>
      <c r="X557" s="43" t="s">
        <v>900</v>
      </c>
      <c r="Y557" s="41" t="s">
        <v>1817</v>
      </c>
      <c r="Z557" s="47" t="n">
        <v>44671</v>
      </c>
      <c r="AA557" s="35" t="s">
        <v>526</v>
      </c>
    </row>
    <row r="558" customFormat="false" ht="34.5" hidden="false" customHeight="true" outlineLevel="0" collapsed="false">
      <c r="A558" s="34" t="n">
        <v>557</v>
      </c>
      <c r="B558" s="37" t="s">
        <v>303</v>
      </c>
      <c r="C558" s="45" t="s">
        <v>261</v>
      </c>
      <c r="D558" s="43" t="s">
        <v>262</v>
      </c>
      <c r="E558" s="35" t="s">
        <v>268</v>
      </c>
      <c r="F558" s="39" t="s">
        <v>1818</v>
      </c>
      <c r="G558" s="43" t="s">
        <v>1819</v>
      </c>
      <c r="H558" s="44" t="s">
        <v>1820</v>
      </c>
      <c r="I558" s="45" t="s">
        <v>584</v>
      </c>
      <c r="J558" s="36"/>
      <c r="K558" s="36"/>
      <c r="L558" s="45"/>
      <c r="M558" s="36" t="s">
        <v>521</v>
      </c>
      <c r="N558" s="40" t="n">
        <v>1000</v>
      </c>
      <c r="O558" s="35"/>
      <c r="P558" s="35" t="s">
        <v>265</v>
      </c>
      <c r="Q558" s="35" t="s">
        <v>67</v>
      </c>
      <c r="R558" s="35" t="s">
        <v>68</v>
      </c>
      <c r="S558" s="42" t="n">
        <v>2</v>
      </c>
      <c r="T558" s="35" t="s">
        <v>246</v>
      </c>
      <c r="U558" s="35" t="s">
        <v>537</v>
      </c>
      <c r="V558" s="36" t="s">
        <v>226</v>
      </c>
      <c r="W558" s="36" t="s">
        <v>524</v>
      </c>
      <c r="X558" s="44" t="s">
        <v>553</v>
      </c>
      <c r="Y558" s="41" t="s">
        <v>1821</v>
      </c>
      <c r="Z558" s="47" t="n">
        <v>29647</v>
      </c>
      <c r="AA558" s="35" t="s">
        <v>526</v>
      </c>
    </row>
    <row r="559" customFormat="false" ht="34.5" hidden="false" customHeight="true" outlineLevel="0" collapsed="false">
      <c r="A559" s="34" t="n">
        <v>558</v>
      </c>
      <c r="B559" s="37" t="s">
        <v>303</v>
      </c>
      <c r="C559" s="45" t="s">
        <v>261</v>
      </c>
      <c r="D559" s="43" t="s">
        <v>262</v>
      </c>
      <c r="E559" s="35" t="s">
        <v>268</v>
      </c>
      <c r="F559" s="39" t="s">
        <v>1822</v>
      </c>
      <c r="G559" s="43" t="s">
        <v>1810</v>
      </c>
      <c r="H559" s="44" t="s">
        <v>348</v>
      </c>
      <c r="I559" s="45" t="s">
        <v>661</v>
      </c>
      <c r="J559" s="36"/>
      <c r="K559" s="36"/>
      <c r="L559" s="45"/>
      <c r="M559" s="36" t="s">
        <v>521</v>
      </c>
      <c r="N559" s="40" t="n">
        <v>1000</v>
      </c>
      <c r="O559" s="35"/>
      <c r="P559" s="35" t="s">
        <v>265</v>
      </c>
      <c r="Q559" s="35" t="s">
        <v>67</v>
      </c>
      <c r="R559" s="35" t="s">
        <v>144</v>
      </c>
      <c r="S559" s="42" t="n">
        <v>3</v>
      </c>
      <c r="T559" s="35" t="s">
        <v>246</v>
      </c>
      <c r="U559" s="35" t="s">
        <v>537</v>
      </c>
      <c r="V559" s="36" t="s">
        <v>284</v>
      </c>
      <c r="W559" s="36" t="s">
        <v>524</v>
      </c>
      <c r="X559" s="44" t="s">
        <v>221</v>
      </c>
      <c r="Y559" s="41" t="s">
        <v>1823</v>
      </c>
      <c r="Z559" s="47" t="n">
        <v>41247</v>
      </c>
      <c r="AA559" s="35" t="s">
        <v>526</v>
      </c>
    </row>
    <row r="560" customFormat="false" ht="34.5" hidden="false" customHeight="true" outlineLevel="0" collapsed="false">
      <c r="A560" s="34" t="n">
        <v>559</v>
      </c>
      <c r="B560" s="37" t="s">
        <v>303</v>
      </c>
      <c r="C560" s="45" t="s">
        <v>261</v>
      </c>
      <c r="D560" s="43" t="s">
        <v>262</v>
      </c>
      <c r="E560" s="35" t="s">
        <v>268</v>
      </c>
      <c r="F560" s="39" t="s">
        <v>346</v>
      </c>
      <c r="G560" s="43" t="s">
        <v>1810</v>
      </c>
      <c r="H560" s="44" t="s">
        <v>348</v>
      </c>
      <c r="I560" s="45" t="s">
        <v>661</v>
      </c>
      <c r="J560" s="36"/>
      <c r="K560" s="36"/>
      <c r="L560" s="45"/>
      <c r="M560" s="36" t="s">
        <v>521</v>
      </c>
      <c r="N560" s="40" t="n">
        <v>1000</v>
      </c>
      <c r="O560" s="35"/>
      <c r="P560" s="35" t="s">
        <v>265</v>
      </c>
      <c r="Q560" s="35" t="s">
        <v>67</v>
      </c>
      <c r="R560" s="35" t="s">
        <v>144</v>
      </c>
      <c r="S560" s="42" t="n">
        <v>3</v>
      </c>
      <c r="T560" s="35" t="s">
        <v>246</v>
      </c>
      <c r="U560" s="35" t="s">
        <v>537</v>
      </c>
      <c r="V560" s="36" t="s">
        <v>284</v>
      </c>
      <c r="W560" s="36" t="s">
        <v>524</v>
      </c>
      <c r="X560" s="43" t="s">
        <v>369</v>
      </c>
      <c r="Y560" s="41" t="s">
        <v>1824</v>
      </c>
      <c r="Z560" s="47" t="n">
        <v>36187</v>
      </c>
      <c r="AA560" s="35" t="s">
        <v>526</v>
      </c>
    </row>
    <row r="561" customFormat="false" ht="34.5" hidden="false" customHeight="true" outlineLevel="0" collapsed="false">
      <c r="A561" s="34" t="n">
        <v>560</v>
      </c>
      <c r="B561" s="37" t="s">
        <v>303</v>
      </c>
      <c r="C561" s="45" t="s">
        <v>261</v>
      </c>
      <c r="D561" s="43" t="s">
        <v>262</v>
      </c>
      <c r="E561" s="35" t="s">
        <v>268</v>
      </c>
      <c r="F561" s="39" t="s">
        <v>1825</v>
      </c>
      <c r="G561" s="43" t="s">
        <v>1810</v>
      </c>
      <c r="H561" s="44" t="s">
        <v>348</v>
      </c>
      <c r="I561" s="45" t="s">
        <v>661</v>
      </c>
      <c r="J561" s="36"/>
      <c r="K561" s="36"/>
      <c r="L561" s="45"/>
      <c r="M561" s="36" t="s">
        <v>521</v>
      </c>
      <c r="N561" s="40" t="n">
        <v>1000</v>
      </c>
      <c r="O561" s="35"/>
      <c r="P561" s="35" t="s">
        <v>265</v>
      </c>
      <c r="Q561" s="35" t="s">
        <v>67</v>
      </c>
      <c r="R561" s="35" t="s">
        <v>144</v>
      </c>
      <c r="S561" s="42" t="n">
        <v>3</v>
      </c>
      <c r="T561" s="35" t="s">
        <v>246</v>
      </c>
      <c r="U561" s="35" t="s">
        <v>537</v>
      </c>
      <c r="V561" s="36" t="s">
        <v>284</v>
      </c>
      <c r="W561" s="36" t="s">
        <v>524</v>
      </c>
      <c r="X561" s="43" t="s">
        <v>1522</v>
      </c>
      <c r="Y561" s="41" t="s">
        <v>1826</v>
      </c>
      <c r="Z561" s="47" t="n">
        <v>46048</v>
      </c>
      <c r="AA561" s="35" t="s">
        <v>526</v>
      </c>
    </row>
    <row r="562" customFormat="false" ht="34.5" hidden="false" customHeight="true" outlineLevel="0" collapsed="false">
      <c r="A562" s="34" t="n">
        <v>561</v>
      </c>
      <c r="B562" s="37" t="s">
        <v>303</v>
      </c>
      <c r="C562" s="45" t="s">
        <v>261</v>
      </c>
      <c r="D562" s="43" t="s">
        <v>262</v>
      </c>
      <c r="E562" s="35" t="s">
        <v>268</v>
      </c>
      <c r="F562" s="39" t="s">
        <v>1827</v>
      </c>
      <c r="G562" s="43" t="s">
        <v>1810</v>
      </c>
      <c r="H562" s="44" t="s">
        <v>348</v>
      </c>
      <c r="I562" s="45" t="s">
        <v>661</v>
      </c>
      <c r="J562" s="36"/>
      <c r="K562" s="36"/>
      <c r="L562" s="45"/>
      <c r="M562" s="36" t="s">
        <v>521</v>
      </c>
      <c r="N562" s="40" t="n">
        <v>1000</v>
      </c>
      <c r="O562" s="35"/>
      <c r="P562" s="35" t="s">
        <v>265</v>
      </c>
      <c r="Q562" s="35" t="s">
        <v>67</v>
      </c>
      <c r="R562" s="35" t="s">
        <v>144</v>
      </c>
      <c r="S562" s="42" t="n">
        <v>3</v>
      </c>
      <c r="T562" s="35" t="s">
        <v>246</v>
      </c>
      <c r="U562" s="35" t="s">
        <v>537</v>
      </c>
      <c r="V562" s="36" t="s">
        <v>284</v>
      </c>
      <c r="W562" s="36" t="s">
        <v>524</v>
      </c>
      <c r="X562" s="44" t="s">
        <v>210</v>
      </c>
      <c r="Y562" s="41" t="s">
        <v>1828</v>
      </c>
      <c r="Z562" s="47" t="n">
        <v>31890</v>
      </c>
      <c r="AA562" s="35" t="s">
        <v>526</v>
      </c>
    </row>
    <row r="563" customFormat="false" ht="34.5" hidden="false" customHeight="true" outlineLevel="0" collapsed="false">
      <c r="A563" s="34" t="n">
        <v>562</v>
      </c>
      <c r="B563" s="37" t="s">
        <v>303</v>
      </c>
      <c r="C563" s="45" t="s">
        <v>261</v>
      </c>
      <c r="D563" s="43" t="s">
        <v>262</v>
      </c>
      <c r="E563" s="35" t="s">
        <v>268</v>
      </c>
      <c r="F563" s="39" t="s">
        <v>1829</v>
      </c>
      <c r="G563" s="43" t="s">
        <v>1810</v>
      </c>
      <c r="H563" s="44" t="s">
        <v>348</v>
      </c>
      <c r="I563" s="45" t="s">
        <v>661</v>
      </c>
      <c r="J563" s="36"/>
      <c r="K563" s="36"/>
      <c r="L563" s="45"/>
      <c r="M563" s="36" t="s">
        <v>521</v>
      </c>
      <c r="N563" s="40" t="n">
        <v>1000</v>
      </c>
      <c r="O563" s="35"/>
      <c r="P563" s="35" t="s">
        <v>265</v>
      </c>
      <c r="Q563" s="35" t="s">
        <v>67</v>
      </c>
      <c r="R563" s="35" t="s">
        <v>144</v>
      </c>
      <c r="S563" s="42" t="n">
        <v>3</v>
      </c>
      <c r="T563" s="35" t="s">
        <v>246</v>
      </c>
      <c r="U563" s="35" t="s">
        <v>537</v>
      </c>
      <c r="V563" s="36" t="s">
        <v>284</v>
      </c>
      <c r="W563" s="36" t="s">
        <v>524</v>
      </c>
      <c r="X563" s="43" t="s">
        <v>272</v>
      </c>
      <c r="Y563" s="41" t="s">
        <v>1830</v>
      </c>
      <c r="Z563" s="47" t="n">
        <v>41326</v>
      </c>
      <c r="AA563" s="35" t="s">
        <v>526</v>
      </c>
    </row>
    <row r="564" customFormat="false" ht="34.5" hidden="false" customHeight="true" outlineLevel="0" collapsed="false">
      <c r="A564" s="34" t="n">
        <v>563</v>
      </c>
      <c r="B564" s="37" t="s">
        <v>303</v>
      </c>
      <c r="C564" s="45" t="s">
        <v>261</v>
      </c>
      <c r="D564" s="43" t="s">
        <v>262</v>
      </c>
      <c r="E564" s="35" t="s">
        <v>268</v>
      </c>
      <c r="F564" s="39" t="s">
        <v>1831</v>
      </c>
      <c r="G564" s="43" t="s">
        <v>1819</v>
      </c>
      <c r="H564" s="44" t="s">
        <v>1820</v>
      </c>
      <c r="I564" s="45" t="s">
        <v>584</v>
      </c>
      <c r="J564" s="36"/>
      <c r="K564" s="36"/>
      <c r="L564" s="45"/>
      <c r="M564" s="36" t="s">
        <v>521</v>
      </c>
      <c r="N564" s="40" t="n">
        <v>1000</v>
      </c>
      <c r="O564" s="35"/>
      <c r="P564" s="35" t="s">
        <v>265</v>
      </c>
      <c r="Q564" s="35" t="s">
        <v>67</v>
      </c>
      <c r="R564" s="35" t="s">
        <v>68</v>
      </c>
      <c r="S564" s="42" t="n">
        <v>2</v>
      </c>
      <c r="T564" s="35" t="s">
        <v>246</v>
      </c>
      <c r="U564" s="35" t="s">
        <v>537</v>
      </c>
      <c r="V564" s="36" t="s">
        <v>226</v>
      </c>
      <c r="W564" s="36" t="s">
        <v>524</v>
      </c>
      <c r="X564" s="44" t="s">
        <v>834</v>
      </c>
      <c r="Y564" s="41" t="s">
        <v>1832</v>
      </c>
      <c r="Z564" s="47" t="n">
        <v>36011</v>
      </c>
      <c r="AA564" s="35" t="s">
        <v>526</v>
      </c>
    </row>
    <row r="565" customFormat="false" ht="34.5" hidden="false" customHeight="true" outlineLevel="0" collapsed="false">
      <c r="A565" s="34" t="n">
        <v>564</v>
      </c>
      <c r="B565" s="37" t="s">
        <v>303</v>
      </c>
      <c r="C565" s="45" t="s">
        <v>261</v>
      </c>
      <c r="D565" s="43" t="s">
        <v>262</v>
      </c>
      <c r="E565" s="35" t="s">
        <v>268</v>
      </c>
      <c r="F565" s="39" t="s">
        <v>1833</v>
      </c>
      <c r="G565" s="43" t="s">
        <v>1810</v>
      </c>
      <c r="H565" s="44" t="s">
        <v>348</v>
      </c>
      <c r="I565" s="45" t="s">
        <v>661</v>
      </c>
      <c r="J565" s="36"/>
      <c r="K565" s="36"/>
      <c r="L565" s="45"/>
      <c r="M565" s="36" t="s">
        <v>521</v>
      </c>
      <c r="N565" s="40" t="n">
        <v>1000</v>
      </c>
      <c r="O565" s="35"/>
      <c r="P565" s="35" t="s">
        <v>1834</v>
      </c>
      <c r="Q565" s="35" t="s">
        <v>67</v>
      </c>
      <c r="R565" s="35" t="s">
        <v>144</v>
      </c>
      <c r="S565" s="42" t="n">
        <v>3</v>
      </c>
      <c r="T565" s="35" t="s">
        <v>246</v>
      </c>
      <c r="U565" s="35" t="s">
        <v>537</v>
      </c>
      <c r="V565" s="36" t="s">
        <v>284</v>
      </c>
      <c r="W565" s="36" t="s">
        <v>524</v>
      </c>
      <c r="X565" s="43" t="s">
        <v>827</v>
      </c>
      <c r="Y565" s="41" t="s">
        <v>1835</v>
      </c>
      <c r="Z565" s="47" t="n">
        <v>41684</v>
      </c>
      <c r="AA565" s="35" t="s">
        <v>526</v>
      </c>
    </row>
    <row r="566" customFormat="false" ht="34.5" hidden="false" customHeight="true" outlineLevel="0" collapsed="false">
      <c r="A566" s="34" t="n">
        <v>565</v>
      </c>
      <c r="B566" s="37" t="s">
        <v>303</v>
      </c>
      <c r="C566" s="45" t="s">
        <v>261</v>
      </c>
      <c r="D566" s="43" t="s">
        <v>262</v>
      </c>
      <c r="E566" s="35" t="s">
        <v>268</v>
      </c>
      <c r="F566" s="39" t="s">
        <v>487</v>
      </c>
      <c r="G566" s="43" t="s">
        <v>1836</v>
      </c>
      <c r="H566" s="44" t="s">
        <v>1837</v>
      </c>
      <c r="I566" s="45" t="s">
        <v>653</v>
      </c>
      <c r="J566" s="36"/>
      <c r="K566" s="36"/>
      <c r="L566" s="45"/>
      <c r="M566" s="36" t="s">
        <v>521</v>
      </c>
      <c r="N566" s="40"/>
      <c r="O566" s="41" t="s">
        <v>1838</v>
      </c>
      <c r="P566" s="35" t="s">
        <v>265</v>
      </c>
      <c r="Q566" s="35" t="s">
        <v>1839</v>
      </c>
      <c r="R566" s="35" t="s">
        <v>144</v>
      </c>
      <c r="S566" s="42" t="n">
        <v>2</v>
      </c>
      <c r="T566" s="35" t="s">
        <v>1840</v>
      </c>
      <c r="U566" s="35" t="s">
        <v>204</v>
      </c>
      <c r="V566" s="36" t="s">
        <v>284</v>
      </c>
      <c r="W566" s="36" t="s">
        <v>524</v>
      </c>
      <c r="X566" s="44" t="s">
        <v>210</v>
      </c>
      <c r="Y566" s="41" t="s">
        <v>1841</v>
      </c>
      <c r="Z566" s="47" t="n">
        <v>33837</v>
      </c>
      <c r="AA566" s="35" t="s">
        <v>526</v>
      </c>
    </row>
    <row r="567" customFormat="false" ht="34.5" hidden="false" customHeight="true" outlineLevel="0" collapsed="false">
      <c r="A567" s="34" t="n">
        <v>566</v>
      </c>
      <c r="B567" s="37" t="s">
        <v>303</v>
      </c>
      <c r="C567" s="45" t="s">
        <v>261</v>
      </c>
      <c r="D567" s="43" t="s">
        <v>262</v>
      </c>
      <c r="E567" s="35" t="s">
        <v>268</v>
      </c>
      <c r="F567" s="39" t="s">
        <v>1842</v>
      </c>
      <c r="G567" s="43" t="s">
        <v>1819</v>
      </c>
      <c r="H567" s="44" t="s">
        <v>1820</v>
      </c>
      <c r="I567" s="45" t="s">
        <v>584</v>
      </c>
      <c r="J567" s="36"/>
      <c r="K567" s="36"/>
      <c r="L567" s="45"/>
      <c r="M567" s="36" t="s">
        <v>521</v>
      </c>
      <c r="N567" s="40" t="n">
        <v>1000</v>
      </c>
      <c r="O567" s="35"/>
      <c r="P567" s="35" t="s">
        <v>265</v>
      </c>
      <c r="Q567" s="35" t="s">
        <v>67</v>
      </c>
      <c r="R567" s="35" t="s">
        <v>68</v>
      </c>
      <c r="S567" s="42" t="n">
        <v>2</v>
      </c>
      <c r="T567" s="35" t="s">
        <v>246</v>
      </c>
      <c r="U567" s="35" t="s">
        <v>537</v>
      </c>
      <c r="V567" s="36" t="s">
        <v>226</v>
      </c>
      <c r="W567" s="36" t="s">
        <v>524</v>
      </c>
      <c r="X567" s="43" t="s">
        <v>272</v>
      </c>
      <c r="Y567" s="41" t="s">
        <v>1843</v>
      </c>
      <c r="Z567" s="47" t="n">
        <v>35405</v>
      </c>
      <c r="AA567" s="35" t="s">
        <v>526</v>
      </c>
    </row>
    <row r="568" customFormat="false" ht="34.5" hidden="false" customHeight="true" outlineLevel="0" collapsed="false">
      <c r="A568" s="34" t="n">
        <v>567</v>
      </c>
      <c r="B568" s="37" t="s">
        <v>303</v>
      </c>
      <c r="C568" s="45" t="s">
        <v>261</v>
      </c>
      <c r="D568" s="43" t="s">
        <v>262</v>
      </c>
      <c r="E568" s="35" t="s">
        <v>268</v>
      </c>
      <c r="F568" s="39" t="s">
        <v>1844</v>
      </c>
      <c r="G568" s="43" t="s">
        <v>1810</v>
      </c>
      <c r="H568" s="44" t="s">
        <v>348</v>
      </c>
      <c r="I568" s="45" t="s">
        <v>661</v>
      </c>
      <c r="J568" s="36"/>
      <c r="K568" s="36"/>
      <c r="L568" s="45"/>
      <c r="M568" s="36" t="s">
        <v>521</v>
      </c>
      <c r="N568" s="40" t="n">
        <v>1000</v>
      </c>
      <c r="O568" s="35"/>
      <c r="P568" s="35" t="s">
        <v>265</v>
      </c>
      <c r="Q568" s="35" t="s">
        <v>67</v>
      </c>
      <c r="R568" s="35" t="s">
        <v>144</v>
      </c>
      <c r="S568" s="42" t="n">
        <v>3</v>
      </c>
      <c r="T568" s="35" t="s">
        <v>246</v>
      </c>
      <c r="U568" s="35" t="s">
        <v>537</v>
      </c>
      <c r="V568" s="36" t="s">
        <v>284</v>
      </c>
      <c r="W568" s="36" t="s">
        <v>524</v>
      </c>
      <c r="X568" s="43" t="s">
        <v>861</v>
      </c>
      <c r="Y568" s="41" t="s">
        <v>1845</v>
      </c>
      <c r="Z568" s="47" t="n">
        <v>41355</v>
      </c>
      <c r="AA568" s="35" t="s">
        <v>526</v>
      </c>
    </row>
    <row r="569" customFormat="false" ht="64.5" hidden="false" customHeight="true" outlineLevel="0" collapsed="false">
      <c r="A569" s="34" t="n">
        <v>568</v>
      </c>
      <c r="B569" s="37" t="s">
        <v>303</v>
      </c>
      <c r="C569" s="45" t="s">
        <v>1846</v>
      </c>
      <c r="D569" s="43" t="s">
        <v>1847</v>
      </c>
      <c r="E569" s="35" t="s">
        <v>268</v>
      </c>
      <c r="F569" s="39" t="s">
        <v>1848</v>
      </c>
      <c r="G569" s="43" t="s">
        <v>1849</v>
      </c>
      <c r="H569" s="44" t="s">
        <v>1850</v>
      </c>
      <c r="I569" s="45" t="s">
        <v>1851</v>
      </c>
      <c r="J569" s="36"/>
      <c r="K569" s="36"/>
      <c r="L569" s="45"/>
      <c r="M569" s="36" t="s">
        <v>521</v>
      </c>
      <c r="N569" s="40"/>
      <c r="O569" s="41" t="s">
        <v>1852</v>
      </c>
      <c r="P569" s="35" t="s">
        <v>265</v>
      </c>
      <c r="Q569" s="35" t="s">
        <v>1839</v>
      </c>
      <c r="R569" s="35" t="s">
        <v>91</v>
      </c>
      <c r="S569" s="42" t="n">
        <v>2</v>
      </c>
      <c r="T569" s="35" t="s">
        <v>1840</v>
      </c>
      <c r="U569" s="35" t="s">
        <v>204</v>
      </c>
      <c r="V569" s="36" t="s">
        <v>284</v>
      </c>
      <c r="W569" s="36" t="s">
        <v>524</v>
      </c>
      <c r="X569" s="44" t="s">
        <v>553</v>
      </c>
      <c r="Y569" s="41" t="s">
        <v>1853</v>
      </c>
      <c r="Z569" s="47" t="n">
        <v>42395</v>
      </c>
      <c r="AA569" s="35" t="s">
        <v>526</v>
      </c>
    </row>
    <row r="570" customFormat="false" ht="64.5" hidden="false" customHeight="true" outlineLevel="0" collapsed="false">
      <c r="A570" s="34" t="n">
        <v>569</v>
      </c>
      <c r="B570" s="37" t="s">
        <v>303</v>
      </c>
      <c r="C570" s="45" t="s">
        <v>1854</v>
      </c>
      <c r="D570" s="43" t="s">
        <v>1855</v>
      </c>
      <c r="E570" s="35" t="s">
        <v>211</v>
      </c>
      <c r="F570" s="39" t="s">
        <v>1856</v>
      </c>
      <c r="G570" s="43" t="s">
        <v>1857</v>
      </c>
      <c r="H570" s="44" t="s">
        <v>1858</v>
      </c>
      <c r="I570" s="45" t="s">
        <v>1859</v>
      </c>
      <c r="J570" s="36"/>
      <c r="K570" s="36"/>
      <c r="L570" s="45"/>
      <c r="M570" s="36" t="s">
        <v>521</v>
      </c>
      <c r="N570" s="40" t="n">
        <v>2000</v>
      </c>
      <c r="O570" s="35"/>
      <c r="P570" s="35" t="s">
        <v>265</v>
      </c>
      <c r="Q570" s="35" t="s">
        <v>67</v>
      </c>
      <c r="R570" s="35" t="s">
        <v>144</v>
      </c>
      <c r="S570" s="42" t="n">
        <v>3</v>
      </c>
      <c r="T570" s="35" t="s">
        <v>64</v>
      </c>
      <c r="U570" s="35" t="s">
        <v>204</v>
      </c>
      <c r="V570" s="36" t="s">
        <v>284</v>
      </c>
      <c r="W570" s="36" t="s">
        <v>524</v>
      </c>
      <c r="X570" s="44" t="s">
        <v>230</v>
      </c>
      <c r="Y570" s="41" t="s">
        <v>1860</v>
      </c>
      <c r="Z570" s="47" t="n">
        <v>45238</v>
      </c>
      <c r="AA570" s="35" t="s">
        <v>526</v>
      </c>
    </row>
    <row r="571" customFormat="false" ht="64.5" hidden="false" customHeight="true" outlineLevel="0" collapsed="false">
      <c r="A571" s="34" t="n">
        <v>570</v>
      </c>
      <c r="B571" s="37" t="s">
        <v>303</v>
      </c>
      <c r="C571" s="45" t="s">
        <v>1854</v>
      </c>
      <c r="D571" s="43" t="s">
        <v>1855</v>
      </c>
      <c r="E571" s="35" t="s">
        <v>211</v>
      </c>
      <c r="F571" s="39" t="s">
        <v>1861</v>
      </c>
      <c r="G571" s="43" t="s">
        <v>1862</v>
      </c>
      <c r="H571" s="44" t="s">
        <v>1863</v>
      </c>
      <c r="I571" s="45" t="s">
        <v>1864</v>
      </c>
      <c r="J571" s="36"/>
      <c r="K571" s="36"/>
      <c r="L571" s="45"/>
      <c r="M571" s="36" t="s">
        <v>521</v>
      </c>
      <c r="N571" s="40" t="n">
        <v>2000</v>
      </c>
      <c r="O571" s="35"/>
      <c r="P571" s="35" t="s">
        <v>265</v>
      </c>
      <c r="Q571" s="35" t="s">
        <v>67</v>
      </c>
      <c r="R571" s="35" t="s">
        <v>144</v>
      </c>
      <c r="S571" s="42" t="n">
        <v>3</v>
      </c>
      <c r="T571" s="35" t="s">
        <v>64</v>
      </c>
      <c r="U571" s="35" t="s">
        <v>204</v>
      </c>
      <c r="V571" s="36" t="s">
        <v>284</v>
      </c>
      <c r="W571" s="36" t="s">
        <v>524</v>
      </c>
      <c r="X571" s="43" t="s">
        <v>272</v>
      </c>
      <c r="Y571" s="41" t="s">
        <v>1865</v>
      </c>
      <c r="Z571" s="47" t="n">
        <v>44966</v>
      </c>
      <c r="AA571" s="35" t="s">
        <v>526</v>
      </c>
    </row>
    <row r="572" customFormat="false" ht="64.5" hidden="false" customHeight="true" outlineLevel="0" collapsed="false">
      <c r="A572" s="34" t="n">
        <v>571</v>
      </c>
      <c r="B572" s="37" t="s">
        <v>303</v>
      </c>
      <c r="C572" s="45" t="s">
        <v>1866</v>
      </c>
      <c r="D572" s="43" t="s">
        <v>1867</v>
      </c>
      <c r="E572" s="35" t="s">
        <v>211</v>
      </c>
      <c r="F572" s="39" t="s">
        <v>1868</v>
      </c>
      <c r="G572" s="43" t="s">
        <v>1869</v>
      </c>
      <c r="H572" s="44" t="s">
        <v>1870</v>
      </c>
      <c r="I572" s="45" t="s">
        <v>1871</v>
      </c>
      <c r="J572" s="36"/>
      <c r="K572" s="36"/>
      <c r="L572" s="45"/>
      <c r="M572" s="36" t="s">
        <v>521</v>
      </c>
      <c r="N572" s="40" t="n">
        <v>3000</v>
      </c>
      <c r="O572" s="35"/>
      <c r="P572" s="35" t="s">
        <v>265</v>
      </c>
      <c r="Q572" s="35" t="s">
        <v>67</v>
      </c>
      <c r="R572" s="35" t="s">
        <v>144</v>
      </c>
      <c r="S572" s="42" t="n">
        <v>2</v>
      </c>
      <c r="T572" s="35" t="s">
        <v>90</v>
      </c>
      <c r="U572" s="35" t="s">
        <v>204</v>
      </c>
      <c r="V572" s="36" t="s">
        <v>284</v>
      </c>
      <c r="W572" s="36" t="s">
        <v>524</v>
      </c>
      <c r="X572" s="44" t="s">
        <v>221</v>
      </c>
      <c r="Y572" s="41" t="s">
        <v>1872</v>
      </c>
      <c r="Z572" s="47" t="n">
        <v>44406</v>
      </c>
      <c r="AA572" s="35" t="s">
        <v>526</v>
      </c>
    </row>
    <row r="573" customFormat="false" ht="64.5" hidden="false" customHeight="true" outlineLevel="0" collapsed="false">
      <c r="A573" s="34" t="n">
        <v>572</v>
      </c>
      <c r="B573" s="37" t="s">
        <v>303</v>
      </c>
      <c r="C573" s="45" t="s">
        <v>1115</v>
      </c>
      <c r="D573" s="43" t="s">
        <v>1116</v>
      </c>
      <c r="E573" s="35" t="s">
        <v>268</v>
      </c>
      <c r="F573" s="39" t="s">
        <v>1873</v>
      </c>
      <c r="G573" s="43" t="s">
        <v>1874</v>
      </c>
      <c r="H573" s="44" t="s">
        <v>1119</v>
      </c>
      <c r="I573" s="45" t="s">
        <v>1875</v>
      </c>
      <c r="J573" s="36"/>
      <c r="K573" s="36"/>
      <c r="L573" s="45"/>
      <c r="M573" s="36" t="s">
        <v>521</v>
      </c>
      <c r="N573" s="40"/>
      <c r="O573" s="41" t="s">
        <v>569</v>
      </c>
      <c r="P573" s="35" t="s">
        <v>523</v>
      </c>
      <c r="Q573" s="35" t="s">
        <v>189</v>
      </c>
      <c r="R573" s="35" t="s">
        <v>202</v>
      </c>
      <c r="S573" s="42" t="n">
        <v>1</v>
      </c>
      <c r="T573" s="35" t="s">
        <v>127</v>
      </c>
      <c r="U573" s="35" t="s">
        <v>204</v>
      </c>
      <c r="V573" s="36" t="s">
        <v>284</v>
      </c>
      <c r="W573" s="36" t="s">
        <v>524</v>
      </c>
      <c r="X573" s="43" t="s">
        <v>861</v>
      </c>
      <c r="Y573" s="41" t="s">
        <v>1876</v>
      </c>
      <c r="Z573" s="47" t="n">
        <v>42305</v>
      </c>
      <c r="AA573" s="35" t="s">
        <v>526</v>
      </c>
    </row>
    <row r="574" customFormat="false" ht="64.5" hidden="false" customHeight="true" outlineLevel="0" collapsed="false">
      <c r="A574" s="34" t="n">
        <v>573</v>
      </c>
      <c r="B574" s="37" t="s">
        <v>303</v>
      </c>
      <c r="C574" s="45" t="s">
        <v>1115</v>
      </c>
      <c r="D574" s="43" t="s">
        <v>1116</v>
      </c>
      <c r="E574" s="35" t="s">
        <v>268</v>
      </c>
      <c r="F574" s="39" t="s">
        <v>1877</v>
      </c>
      <c r="G574" s="43" t="s">
        <v>1878</v>
      </c>
      <c r="H574" s="44" t="s">
        <v>1879</v>
      </c>
      <c r="I574" s="45" t="s">
        <v>1880</v>
      </c>
      <c r="J574" s="36"/>
      <c r="K574" s="36"/>
      <c r="L574" s="45"/>
      <c r="M574" s="36" t="s">
        <v>521</v>
      </c>
      <c r="N574" s="40" t="n">
        <v>2000</v>
      </c>
      <c r="O574" s="35"/>
      <c r="P574" s="35" t="s">
        <v>265</v>
      </c>
      <c r="Q574" s="35" t="s">
        <v>67</v>
      </c>
      <c r="R574" s="35" t="s">
        <v>91</v>
      </c>
      <c r="S574" s="42" t="n">
        <v>3</v>
      </c>
      <c r="T574" s="35" t="s">
        <v>1779</v>
      </c>
      <c r="U574" s="35" t="s">
        <v>204</v>
      </c>
      <c r="V574" s="36" t="s">
        <v>284</v>
      </c>
      <c r="W574" s="36" t="s">
        <v>524</v>
      </c>
      <c r="X574" s="43" t="s">
        <v>369</v>
      </c>
      <c r="Y574" s="41" t="s">
        <v>1881</v>
      </c>
      <c r="Z574" s="47" t="n">
        <v>38805</v>
      </c>
      <c r="AA574" s="35" t="s">
        <v>526</v>
      </c>
    </row>
    <row r="575" customFormat="false" ht="64.5" hidden="false" customHeight="true" outlineLevel="0" collapsed="false">
      <c r="A575" s="34" t="n">
        <v>574</v>
      </c>
      <c r="B575" s="37" t="s">
        <v>303</v>
      </c>
      <c r="C575" s="45" t="s">
        <v>1115</v>
      </c>
      <c r="D575" s="43" t="s">
        <v>1116</v>
      </c>
      <c r="E575" s="35" t="s">
        <v>268</v>
      </c>
      <c r="F575" s="39" t="s">
        <v>1117</v>
      </c>
      <c r="G575" s="43" t="s">
        <v>1118</v>
      </c>
      <c r="H575" s="44" t="s">
        <v>1119</v>
      </c>
      <c r="I575" s="45" t="s">
        <v>1120</v>
      </c>
      <c r="J575" s="36" t="s">
        <v>80</v>
      </c>
      <c r="K575" s="36"/>
      <c r="L575" s="45"/>
      <c r="M575" s="36" t="s">
        <v>521</v>
      </c>
      <c r="N575" s="40" t="n">
        <v>2000</v>
      </c>
      <c r="O575" s="35"/>
      <c r="P575" s="35" t="s">
        <v>265</v>
      </c>
      <c r="Q575" s="35" t="s">
        <v>67</v>
      </c>
      <c r="R575" s="35" t="s">
        <v>144</v>
      </c>
      <c r="S575" s="42" t="n">
        <v>2</v>
      </c>
      <c r="T575" s="35" t="s">
        <v>98</v>
      </c>
      <c r="U575" s="35" t="s">
        <v>204</v>
      </c>
      <c r="V575" s="36" t="s">
        <v>226</v>
      </c>
      <c r="W575" s="36" t="s">
        <v>524</v>
      </c>
      <c r="X575" s="44" t="s">
        <v>210</v>
      </c>
      <c r="Y575" s="41" t="s">
        <v>1121</v>
      </c>
      <c r="Z575" s="47" t="n">
        <v>38805</v>
      </c>
      <c r="AA575" s="35" t="s">
        <v>578</v>
      </c>
    </row>
    <row r="576" customFormat="false" ht="64.5" hidden="false" customHeight="true" outlineLevel="0" collapsed="false">
      <c r="A576" s="34" t="n">
        <v>575</v>
      </c>
      <c r="B576" s="37" t="s">
        <v>303</v>
      </c>
      <c r="C576" s="45" t="s">
        <v>1115</v>
      </c>
      <c r="D576" s="43" t="s">
        <v>1116</v>
      </c>
      <c r="E576" s="35" t="s">
        <v>268</v>
      </c>
      <c r="F576" s="39" t="s">
        <v>1882</v>
      </c>
      <c r="G576" s="43" t="s">
        <v>1883</v>
      </c>
      <c r="H576" s="44" t="s">
        <v>1884</v>
      </c>
      <c r="I576" s="45" t="s">
        <v>1885</v>
      </c>
      <c r="J576" s="36"/>
      <c r="K576" s="36"/>
      <c r="L576" s="45"/>
      <c r="M576" s="36" t="s">
        <v>521</v>
      </c>
      <c r="N576" s="40"/>
      <c r="O576" s="41" t="s">
        <v>522</v>
      </c>
      <c r="P576" s="35" t="s">
        <v>523</v>
      </c>
      <c r="Q576" s="35" t="s">
        <v>189</v>
      </c>
      <c r="R576" s="35" t="s">
        <v>202</v>
      </c>
      <c r="S576" s="42" t="n">
        <v>1</v>
      </c>
      <c r="T576" s="35" t="s">
        <v>127</v>
      </c>
      <c r="U576" s="35" t="s">
        <v>204</v>
      </c>
      <c r="V576" s="36" t="s">
        <v>226</v>
      </c>
      <c r="W576" s="36" t="s">
        <v>524</v>
      </c>
      <c r="X576" s="43" t="s">
        <v>369</v>
      </c>
      <c r="Y576" s="41" t="s">
        <v>1886</v>
      </c>
      <c r="Z576" s="47" t="n">
        <v>39170</v>
      </c>
      <c r="AA576" s="35" t="s">
        <v>526</v>
      </c>
    </row>
    <row r="577" customFormat="false" ht="64.5" hidden="false" customHeight="true" outlineLevel="0" collapsed="false">
      <c r="A577" s="34" t="n">
        <v>576</v>
      </c>
      <c r="B577" s="37" t="s">
        <v>303</v>
      </c>
      <c r="C577" s="45" t="s">
        <v>1115</v>
      </c>
      <c r="D577" s="43" t="s">
        <v>1116</v>
      </c>
      <c r="E577" s="35" t="s">
        <v>268</v>
      </c>
      <c r="F577" s="39" t="s">
        <v>1887</v>
      </c>
      <c r="G577" s="43" t="s">
        <v>1888</v>
      </c>
      <c r="H577" s="44" t="s">
        <v>1889</v>
      </c>
      <c r="I577" s="45" t="s">
        <v>1890</v>
      </c>
      <c r="J577" s="36"/>
      <c r="K577" s="36"/>
      <c r="L577" s="45"/>
      <c r="M577" s="36" t="s">
        <v>521</v>
      </c>
      <c r="N577" s="40" t="n">
        <v>2000</v>
      </c>
      <c r="O577" s="35"/>
      <c r="P577" s="35" t="s">
        <v>265</v>
      </c>
      <c r="Q577" s="35" t="s">
        <v>67</v>
      </c>
      <c r="R577" s="35" t="s">
        <v>68</v>
      </c>
      <c r="S577" s="42" t="n">
        <v>3</v>
      </c>
      <c r="T577" s="35" t="s">
        <v>64</v>
      </c>
      <c r="U577" s="35" t="s">
        <v>537</v>
      </c>
      <c r="V577" s="36" t="s">
        <v>284</v>
      </c>
      <c r="W577" s="36" t="s">
        <v>524</v>
      </c>
      <c r="X577" s="44" t="s">
        <v>267</v>
      </c>
      <c r="Y577" s="41" t="s">
        <v>1891</v>
      </c>
      <c r="Z577" s="47" t="n">
        <v>41302</v>
      </c>
      <c r="AA577" s="35" t="s">
        <v>526</v>
      </c>
    </row>
    <row r="578" customFormat="false" ht="64.5" hidden="false" customHeight="true" outlineLevel="0" collapsed="false">
      <c r="A578" s="34" t="n">
        <v>577</v>
      </c>
      <c r="B578" s="37" t="s">
        <v>303</v>
      </c>
      <c r="C578" s="45" t="s">
        <v>1892</v>
      </c>
      <c r="D578" s="43" t="s">
        <v>1893</v>
      </c>
      <c r="E578" s="35" t="s">
        <v>268</v>
      </c>
      <c r="F578" s="39" t="s">
        <v>1894</v>
      </c>
      <c r="G578" s="43" t="s">
        <v>1895</v>
      </c>
      <c r="H578" s="44" t="s">
        <v>1896</v>
      </c>
      <c r="I578" s="45" t="s">
        <v>1897</v>
      </c>
      <c r="J578" s="36"/>
      <c r="K578" s="36"/>
      <c r="L578" s="45"/>
      <c r="M578" s="36" t="s">
        <v>521</v>
      </c>
      <c r="N578" s="40" t="n">
        <v>2000</v>
      </c>
      <c r="O578" s="35"/>
      <c r="P578" s="35" t="s">
        <v>265</v>
      </c>
      <c r="Q578" s="35" t="s">
        <v>67</v>
      </c>
      <c r="R578" s="35" t="s">
        <v>68</v>
      </c>
      <c r="S578" s="42" t="n">
        <v>3</v>
      </c>
      <c r="T578" s="35" t="s">
        <v>780</v>
      </c>
      <c r="U578" s="35" t="s">
        <v>537</v>
      </c>
      <c r="V578" s="36" t="s">
        <v>284</v>
      </c>
      <c r="W578" s="36" t="s">
        <v>524</v>
      </c>
      <c r="X578" s="44" t="s">
        <v>210</v>
      </c>
      <c r="Y578" s="41" t="s">
        <v>1898</v>
      </c>
      <c r="Z578" s="47" t="n">
        <v>42117</v>
      </c>
      <c r="AA578" s="35" t="s">
        <v>526</v>
      </c>
    </row>
    <row r="579" customFormat="false" ht="79.5" hidden="false" customHeight="true" outlineLevel="0" collapsed="false">
      <c r="A579" s="34" t="n">
        <v>578</v>
      </c>
      <c r="B579" s="37" t="s">
        <v>303</v>
      </c>
      <c r="C579" s="45" t="s">
        <v>1899</v>
      </c>
      <c r="D579" s="43" t="s">
        <v>1900</v>
      </c>
      <c r="E579" s="35" t="s">
        <v>268</v>
      </c>
      <c r="F579" s="39" t="s">
        <v>1901</v>
      </c>
      <c r="G579" s="43" t="s">
        <v>1902</v>
      </c>
      <c r="H579" s="44" t="s">
        <v>1903</v>
      </c>
      <c r="I579" s="45" t="s">
        <v>1904</v>
      </c>
      <c r="J579" s="36"/>
      <c r="K579" s="36"/>
      <c r="L579" s="45"/>
      <c r="M579" s="36" t="s">
        <v>521</v>
      </c>
      <c r="N579" s="40" t="n">
        <v>1000</v>
      </c>
      <c r="O579" s="35"/>
      <c r="P579" s="35" t="s">
        <v>265</v>
      </c>
      <c r="Q579" s="35" t="s">
        <v>67</v>
      </c>
      <c r="R579" s="35" t="s">
        <v>68</v>
      </c>
      <c r="S579" s="42" t="n">
        <v>2</v>
      </c>
      <c r="T579" s="35" t="s">
        <v>644</v>
      </c>
      <c r="U579" s="35" t="s">
        <v>204</v>
      </c>
      <c r="V579" s="36" t="s">
        <v>226</v>
      </c>
      <c r="W579" s="36" t="s">
        <v>524</v>
      </c>
      <c r="X579" s="43" t="s">
        <v>872</v>
      </c>
      <c r="Y579" s="41" t="s">
        <v>910</v>
      </c>
      <c r="Z579" s="47" t="n">
        <v>43350</v>
      </c>
      <c r="AA579" s="35" t="s">
        <v>526</v>
      </c>
    </row>
    <row r="580" customFormat="false" ht="79.5" hidden="false" customHeight="true" outlineLevel="0" collapsed="false">
      <c r="A580" s="34" t="n">
        <v>579</v>
      </c>
      <c r="B580" s="37" t="s">
        <v>303</v>
      </c>
      <c r="C580" s="45" t="s">
        <v>1899</v>
      </c>
      <c r="D580" s="43" t="s">
        <v>1900</v>
      </c>
      <c r="E580" s="35" t="s">
        <v>211</v>
      </c>
      <c r="F580" s="39" t="s">
        <v>1905</v>
      </c>
      <c r="G580" s="43" t="s">
        <v>1902</v>
      </c>
      <c r="H580" s="44" t="s">
        <v>1903</v>
      </c>
      <c r="I580" s="45" t="s">
        <v>1904</v>
      </c>
      <c r="J580" s="36"/>
      <c r="K580" s="36"/>
      <c r="L580" s="45"/>
      <c r="M580" s="36" t="s">
        <v>521</v>
      </c>
      <c r="N580" s="40" t="n">
        <v>1000</v>
      </c>
      <c r="O580" s="35"/>
      <c r="P580" s="35" t="s">
        <v>265</v>
      </c>
      <c r="Q580" s="35" t="s">
        <v>67</v>
      </c>
      <c r="R580" s="35" t="s">
        <v>68</v>
      </c>
      <c r="S580" s="42" t="n">
        <v>2</v>
      </c>
      <c r="T580" s="35" t="s">
        <v>644</v>
      </c>
      <c r="U580" s="35" t="s">
        <v>204</v>
      </c>
      <c r="V580" s="36" t="s">
        <v>226</v>
      </c>
      <c r="W580" s="36" t="s">
        <v>524</v>
      </c>
      <c r="X580" s="44" t="s">
        <v>867</v>
      </c>
      <c r="Y580" s="41" t="s">
        <v>1906</v>
      </c>
      <c r="Z580" s="47" t="n">
        <v>44260</v>
      </c>
      <c r="AA580" s="35" t="s">
        <v>526</v>
      </c>
    </row>
    <row r="581" customFormat="false" ht="34.5" hidden="false" customHeight="true" outlineLevel="0" collapsed="false">
      <c r="A581" s="34" t="n">
        <v>580</v>
      </c>
      <c r="B581" s="37" t="s">
        <v>303</v>
      </c>
      <c r="C581" s="45" t="s">
        <v>238</v>
      </c>
      <c r="D581" s="43" t="s">
        <v>239</v>
      </c>
      <c r="E581" s="35" t="s">
        <v>268</v>
      </c>
      <c r="F581" s="39" t="s">
        <v>1907</v>
      </c>
      <c r="G581" s="43" t="s">
        <v>1908</v>
      </c>
      <c r="H581" s="44" t="s">
        <v>339</v>
      </c>
      <c r="I581" s="45" t="s">
        <v>709</v>
      </c>
      <c r="J581" s="36"/>
      <c r="K581" s="36"/>
      <c r="L581" s="45"/>
      <c r="M581" s="36" t="s">
        <v>521</v>
      </c>
      <c r="N581" s="40"/>
      <c r="O581" s="41" t="s">
        <v>569</v>
      </c>
      <c r="P581" s="35" t="s">
        <v>523</v>
      </c>
      <c r="Q581" s="35" t="s">
        <v>189</v>
      </c>
      <c r="R581" s="35" t="s">
        <v>202</v>
      </c>
      <c r="S581" s="42" t="n">
        <v>1</v>
      </c>
      <c r="T581" s="35" t="s">
        <v>1909</v>
      </c>
      <c r="U581" s="35" t="s">
        <v>204</v>
      </c>
      <c r="V581" s="36" t="s">
        <v>205</v>
      </c>
      <c r="W581" s="36" t="s">
        <v>524</v>
      </c>
      <c r="X581" s="43" t="s">
        <v>272</v>
      </c>
      <c r="Y581" s="41" t="s">
        <v>1910</v>
      </c>
      <c r="Z581" s="47" t="n">
        <v>42584</v>
      </c>
      <c r="AA581" s="35" t="s">
        <v>526</v>
      </c>
    </row>
    <row r="582" customFormat="false" ht="34.5" hidden="false" customHeight="true" outlineLevel="0" collapsed="false">
      <c r="A582" s="34" t="n">
        <v>581</v>
      </c>
      <c r="B582" s="37" t="s">
        <v>303</v>
      </c>
      <c r="C582" s="45" t="s">
        <v>238</v>
      </c>
      <c r="D582" s="43" t="s">
        <v>239</v>
      </c>
      <c r="E582" s="35" t="s">
        <v>268</v>
      </c>
      <c r="F582" s="39" t="s">
        <v>1911</v>
      </c>
      <c r="G582" s="43" t="s">
        <v>1912</v>
      </c>
      <c r="H582" s="44" t="s">
        <v>1913</v>
      </c>
      <c r="I582" s="45" t="s">
        <v>576</v>
      </c>
      <c r="J582" s="36"/>
      <c r="K582" s="36"/>
      <c r="L582" s="45"/>
      <c r="M582" s="36" t="s">
        <v>521</v>
      </c>
      <c r="N582" s="40" t="n">
        <v>2000</v>
      </c>
      <c r="O582" s="35"/>
      <c r="P582" s="35" t="s">
        <v>265</v>
      </c>
      <c r="Q582" s="35" t="s">
        <v>67</v>
      </c>
      <c r="R582" s="35" t="s">
        <v>68</v>
      </c>
      <c r="S582" s="42" t="n">
        <v>3</v>
      </c>
      <c r="T582" s="35" t="s">
        <v>64</v>
      </c>
      <c r="U582" s="35" t="s">
        <v>537</v>
      </c>
      <c r="V582" s="36" t="s">
        <v>205</v>
      </c>
      <c r="W582" s="36" t="s">
        <v>524</v>
      </c>
      <c r="X582" s="43" t="s">
        <v>864</v>
      </c>
      <c r="Y582" s="41" t="s">
        <v>1914</v>
      </c>
      <c r="Z582" s="47" t="n">
        <v>43531</v>
      </c>
      <c r="AA582" s="35" t="s">
        <v>526</v>
      </c>
    </row>
    <row r="583" customFormat="false" ht="34.5" hidden="false" customHeight="true" outlineLevel="0" collapsed="false">
      <c r="A583" s="34" t="n">
        <v>582</v>
      </c>
      <c r="B583" s="37" t="s">
        <v>303</v>
      </c>
      <c r="C583" s="45" t="s">
        <v>238</v>
      </c>
      <c r="D583" s="43" t="s">
        <v>239</v>
      </c>
      <c r="E583" s="35" t="s">
        <v>268</v>
      </c>
      <c r="F583" s="39" t="s">
        <v>1915</v>
      </c>
      <c r="G583" s="43" t="s">
        <v>1916</v>
      </c>
      <c r="H583" s="44" t="s">
        <v>1126</v>
      </c>
      <c r="I583" s="45" t="s">
        <v>529</v>
      </c>
      <c r="J583" s="36"/>
      <c r="K583" s="36"/>
      <c r="L583" s="45"/>
      <c r="M583" s="36" t="s">
        <v>521</v>
      </c>
      <c r="N583" s="40"/>
      <c r="O583" s="41" t="s">
        <v>1494</v>
      </c>
      <c r="P583" s="35" t="s">
        <v>1917</v>
      </c>
      <c r="Q583" s="35" t="s">
        <v>1918</v>
      </c>
      <c r="R583" s="35" t="s">
        <v>202</v>
      </c>
      <c r="S583" s="42" t="n">
        <v>1</v>
      </c>
      <c r="T583" s="35" t="s">
        <v>127</v>
      </c>
      <c r="U583" s="35" t="s">
        <v>204</v>
      </c>
      <c r="V583" s="36" t="s">
        <v>205</v>
      </c>
      <c r="W583" s="36" t="s">
        <v>524</v>
      </c>
      <c r="X583" s="43" t="s">
        <v>300</v>
      </c>
      <c r="Y583" s="41" t="s">
        <v>1919</v>
      </c>
      <c r="Z583" s="47" t="n">
        <v>37636</v>
      </c>
      <c r="AA583" s="35" t="s">
        <v>526</v>
      </c>
    </row>
    <row r="584" customFormat="false" ht="34.5" hidden="false" customHeight="true" outlineLevel="0" collapsed="false">
      <c r="A584" s="34" t="n">
        <v>583</v>
      </c>
      <c r="B584" s="37" t="s">
        <v>303</v>
      </c>
      <c r="C584" s="45" t="s">
        <v>238</v>
      </c>
      <c r="D584" s="43" t="s">
        <v>239</v>
      </c>
      <c r="E584" s="35" t="s">
        <v>268</v>
      </c>
      <c r="F584" s="39" t="s">
        <v>1920</v>
      </c>
      <c r="G584" s="43" t="s">
        <v>1921</v>
      </c>
      <c r="H584" s="44" t="s">
        <v>1493</v>
      </c>
      <c r="I584" s="45" t="s">
        <v>688</v>
      </c>
      <c r="J584" s="36"/>
      <c r="K584" s="36"/>
      <c r="L584" s="45"/>
      <c r="M584" s="36" t="s">
        <v>521</v>
      </c>
      <c r="N584" s="40" t="n">
        <v>2000</v>
      </c>
      <c r="O584" s="35"/>
      <c r="P584" s="35" t="s">
        <v>265</v>
      </c>
      <c r="Q584" s="35" t="s">
        <v>67</v>
      </c>
      <c r="R584" s="35" t="s">
        <v>68</v>
      </c>
      <c r="S584" s="42" t="n">
        <v>3</v>
      </c>
      <c r="T584" s="35" t="s">
        <v>1779</v>
      </c>
      <c r="U584" s="35" t="s">
        <v>204</v>
      </c>
      <c r="V584" s="36" t="s">
        <v>205</v>
      </c>
      <c r="W584" s="36" t="s">
        <v>524</v>
      </c>
      <c r="X584" s="44" t="s">
        <v>553</v>
      </c>
      <c r="Y584" s="41" t="s">
        <v>1922</v>
      </c>
      <c r="Z584" s="47" t="n">
        <v>40989</v>
      </c>
      <c r="AA584" s="35" t="s">
        <v>526</v>
      </c>
    </row>
    <row r="585" customFormat="false" ht="34.5" hidden="false" customHeight="true" outlineLevel="0" collapsed="false">
      <c r="A585" s="34" t="n">
        <v>584</v>
      </c>
      <c r="B585" s="37" t="s">
        <v>303</v>
      </c>
      <c r="C585" s="45" t="s">
        <v>238</v>
      </c>
      <c r="D585" s="43" t="s">
        <v>239</v>
      </c>
      <c r="E585" s="35" t="s">
        <v>268</v>
      </c>
      <c r="F585" s="39" t="s">
        <v>234</v>
      </c>
      <c r="G585" s="43" t="s">
        <v>1122</v>
      </c>
      <c r="H585" s="44" t="s">
        <v>1123</v>
      </c>
      <c r="I585" s="45" t="s">
        <v>688</v>
      </c>
      <c r="J585" s="36" t="s">
        <v>80</v>
      </c>
      <c r="K585" s="36"/>
      <c r="L585" s="45" t="s">
        <v>527</v>
      </c>
      <c r="M585" s="36" t="s">
        <v>521</v>
      </c>
      <c r="N585" s="40" t="n">
        <v>2000</v>
      </c>
      <c r="O585" s="35"/>
      <c r="P585" s="35" t="s">
        <v>265</v>
      </c>
      <c r="Q585" s="35" t="s">
        <v>67</v>
      </c>
      <c r="R585" s="35" t="s">
        <v>91</v>
      </c>
      <c r="S585" s="42" t="n">
        <v>3</v>
      </c>
      <c r="T585" s="35" t="s">
        <v>98</v>
      </c>
      <c r="U585" s="35" t="s">
        <v>204</v>
      </c>
      <c r="V585" s="36" t="s">
        <v>205</v>
      </c>
      <c r="W585" s="36" t="s">
        <v>524</v>
      </c>
      <c r="X585" s="44" t="s">
        <v>267</v>
      </c>
      <c r="Y585" s="41" t="s">
        <v>269</v>
      </c>
      <c r="Z585" s="47" t="n">
        <v>36187</v>
      </c>
      <c r="AA585" s="35" t="s">
        <v>578</v>
      </c>
    </row>
    <row r="586" customFormat="false" ht="34.5" hidden="false" customHeight="true" outlineLevel="0" collapsed="false">
      <c r="A586" s="34" t="n">
        <v>585</v>
      </c>
      <c r="B586" s="37" t="s">
        <v>303</v>
      </c>
      <c r="C586" s="45" t="s">
        <v>238</v>
      </c>
      <c r="D586" s="43" t="s">
        <v>239</v>
      </c>
      <c r="E586" s="35" t="s">
        <v>211</v>
      </c>
      <c r="F586" s="39" t="s">
        <v>234</v>
      </c>
      <c r="G586" s="43" t="s">
        <v>1122</v>
      </c>
      <c r="H586" s="44" t="s">
        <v>1123</v>
      </c>
      <c r="I586" s="45" t="s">
        <v>688</v>
      </c>
      <c r="J586" s="36" t="s">
        <v>80</v>
      </c>
      <c r="K586" s="36"/>
      <c r="L586" s="45" t="s">
        <v>527</v>
      </c>
      <c r="M586" s="36" t="s">
        <v>521</v>
      </c>
      <c r="N586" s="40" t="n">
        <v>2000</v>
      </c>
      <c r="O586" s="35"/>
      <c r="P586" s="35" t="s">
        <v>265</v>
      </c>
      <c r="Q586" s="35" t="s">
        <v>314</v>
      </c>
      <c r="R586" s="41" t="s">
        <v>1481</v>
      </c>
      <c r="S586" s="42" t="n">
        <v>2</v>
      </c>
      <c r="T586" s="35" t="s">
        <v>98</v>
      </c>
      <c r="U586" s="35" t="s">
        <v>204</v>
      </c>
      <c r="V586" s="36" t="s">
        <v>205</v>
      </c>
      <c r="W586" s="36" t="s">
        <v>524</v>
      </c>
      <c r="X586" s="44" t="s">
        <v>267</v>
      </c>
      <c r="Y586" s="41" t="s">
        <v>269</v>
      </c>
      <c r="Z586" s="47" t="n">
        <v>36187</v>
      </c>
      <c r="AA586" s="35" t="s">
        <v>526</v>
      </c>
    </row>
    <row r="587" customFormat="false" ht="34.5" hidden="false" customHeight="true" outlineLevel="0" collapsed="false">
      <c r="A587" s="34" t="n">
        <v>586</v>
      </c>
      <c r="B587" s="37" t="s">
        <v>303</v>
      </c>
      <c r="C587" s="45" t="s">
        <v>238</v>
      </c>
      <c r="D587" s="43" t="s">
        <v>239</v>
      </c>
      <c r="E587" s="35" t="s">
        <v>268</v>
      </c>
      <c r="F587" s="39" t="s">
        <v>234</v>
      </c>
      <c r="G587" s="43" t="s">
        <v>1923</v>
      </c>
      <c r="H587" s="44" t="s">
        <v>1123</v>
      </c>
      <c r="I587" s="45" t="s">
        <v>709</v>
      </c>
      <c r="J587" s="36" t="s">
        <v>80</v>
      </c>
      <c r="K587" s="36"/>
      <c r="L587" s="45" t="s">
        <v>527</v>
      </c>
      <c r="M587" s="36" t="s">
        <v>521</v>
      </c>
      <c r="N587" s="40"/>
      <c r="O587" s="41" t="s">
        <v>569</v>
      </c>
      <c r="P587" s="35" t="s">
        <v>523</v>
      </c>
      <c r="Q587" s="35" t="s">
        <v>189</v>
      </c>
      <c r="R587" s="35" t="s">
        <v>202</v>
      </c>
      <c r="S587" s="42" t="n">
        <v>1</v>
      </c>
      <c r="T587" s="35" t="s">
        <v>127</v>
      </c>
      <c r="U587" s="35" t="s">
        <v>204</v>
      </c>
      <c r="V587" s="36" t="s">
        <v>205</v>
      </c>
      <c r="W587" s="36" t="s">
        <v>524</v>
      </c>
      <c r="X587" s="44" t="s">
        <v>267</v>
      </c>
      <c r="Y587" s="41" t="s">
        <v>1924</v>
      </c>
      <c r="Z587" s="47" t="n">
        <v>38625</v>
      </c>
      <c r="AA587" s="35" t="s">
        <v>526</v>
      </c>
    </row>
    <row r="588" customFormat="false" ht="34.5" hidden="false" customHeight="true" outlineLevel="0" collapsed="false">
      <c r="A588" s="34" t="n">
        <v>587</v>
      </c>
      <c r="B588" s="37" t="s">
        <v>303</v>
      </c>
      <c r="C588" s="45" t="s">
        <v>238</v>
      </c>
      <c r="D588" s="43" t="s">
        <v>239</v>
      </c>
      <c r="E588" s="35" t="s">
        <v>268</v>
      </c>
      <c r="F588" s="39" t="s">
        <v>1925</v>
      </c>
      <c r="G588" s="43" t="s">
        <v>1926</v>
      </c>
      <c r="H588" s="44" t="s">
        <v>1123</v>
      </c>
      <c r="I588" s="45" t="s">
        <v>688</v>
      </c>
      <c r="J588" s="36"/>
      <c r="K588" s="36"/>
      <c r="L588" s="45"/>
      <c r="M588" s="36" t="s">
        <v>521</v>
      </c>
      <c r="N588" s="40" t="n">
        <v>2000</v>
      </c>
      <c r="O588" s="35"/>
      <c r="P588" s="35" t="s">
        <v>265</v>
      </c>
      <c r="Q588" s="35" t="s">
        <v>67</v>
      </c>
      <c r="R588" s="35" t="s">
        <v>144</v>
      </c>
      <c r="S588" s="42" t="n">
        <v>3</v>
      </c>
      <c r="T588" s="35" t="s">
        <v>1779</v>
      </c>
      <c r="U588" s="35" t="s">
        <v>204</v>
      </c>
      <c r="V588" s="36" t="s">
        <v>205</v>
      </c>
      <c r="W588" s="36" t="s">
        <v>524</v>
      </c>
      <c r="X588" s="43" t="s">
        <v>1380</v>
      </c>
      <c r="Y588" s="41" t="s">
        <v>1927</v>
      </c>
      <c r="Z588" s="47" t="n">
        <v>43515</v>
      </c>
      <c r="AA588" s="35" t="s">
        <v>526</v>
      </c>
    </row>
    <row r="589" customFormat="false" ht="34.5" hidden="false" customHeight="true" outlineLevel="0" collapsed="false">
      <c r="A589" s="34" t="n">
        <v>588</v>
      </c>
      <c r="B589" s="37" t="s">
        <v>303</v>
      </c>
      <c r="C589" s="45" t="s">
        <v>238</v>
      </c>
      <c r="D589" s="43" t="s">
        <v>239</v>
      </c>
      <c r="E589" s="35" t="s">
        <v>268</v>
      </c>
      <c r="F589" s="39" t="s">
        <v>1928</v>
      </c>
      <c r="G589" s="43" t="s">
        <v>1929</v>
      </c>
      <c r="H589" s="44" t="s">
        <v>1493</v>
      </c>
      <c r="I589" s="45" t="s">
        <v>688</v>
      </c>
      <c r="J589" s="36"/>
      <c r="K589" s="36"/>
      <c r="L589" s="45"/>
      <c r="M589" s="36" t="s">
        <v>521</v>
      </c>
      <c r="N589" s="40" t="n">
        <v>2000</v>
      </c>
      <c r="O589" s="35"/>
      <c r="P589" s="35" t="s">
        <v>265</v>
      </c>
      <c r="Q589" s="35" t="s">
        <v>67</v>
      </c>
      <c r="R589" s="35" t="s">
        <v>68</v>
      </c>
      <c r="S589" s="42" t="n">
        <v>3</v>
      </c>
      <c r="T589" s="35" t="s">
        <v>64</v>
      </c>
      <c r="U589" s="35" t="s">
        <v>204</v>
      </c>
      <c r="V589" s="36" t="s">
        <v>205</v>
      </c>
      <c r="W589" s="36" t="s">
        <v>524</v>
      </c>
      <c r="X589" s="43" t="s">
        <v>300</v>
      </c>
      <c r="Y589" s="41" t="s">
        <v>1930</v>
      </c>
      <c r="Z589" s="47" t="n">
        <v>40989</v>
      </c>
      <c r="AA589" s="35" t="s">
        <v>526</v>
      </c>
    </row>
    <row r="590" customFormat="false" ht="34.5" hidden="false" customHeight="true" outlineLevel="0" collapsed="false">
      <c r="A590" s="34" t="n">
        <v>589</v>
      </c>
      <c r="B590" s="37" t="s">
        <v>303</v>
      </c>
      <c r="C590" s="45" t="s">
        <v>238</v>
      </c>
      <c r="D590" s="43" t="s">
        <v>239</v>
      </c>
      <c r="E590" s="35" t="s">
        <v>268</v>
      </c>
      <c r="F590" s="39" t="s">
        <v>1931</v>
      </c>
      <c r="G590" s="43" t="s">
        <v>1932</v>
      </c>
      <c r="H590" s="44" t="s">
        <v>1123</v>
      </c>
      <c r="I590" s="45" t="s">
        <v>688</v>
      </c>
      <c r="J590" s="36"/>
      <c r="K590" s="36"/>
      <c r="L590" s="45"/>
      <c r="M590" s="36" t="s">
        <v>521</v>
      </c>
      <c r="N590" s="40" t="n">
        <v>2000</v>
      </c>
      <c r="O590" s="35"/>
      <c r="P590" s="35" t="s">
        <v>265</v>
      </c>
      <c r="Q590" s="35" t="s">
        <v>67</v>
      </c>
      <c r="R590" s="35" t="s">
        <v>144</v>
      </c>
      <c r="S590" s="42" t="n">
        <v>3</v>
      </c>
      <c r="T590" s="35" t="s">
        <v>610</v>
      </c>
      <c r="U590" s="35" t="s">
        <v>537</v>
      </c>
      <c r="V590" s="36" t="s">
        <v>205</v>
      </c>
      <c r="W590" s="36" t="s">
        <v>524</v>
      </c>
      <c r="X590" s="43" t="s">
        <v>932</v>
      </c>
      <c r="Y590" s="41" t="s">
        <v>1933</v>
      </c>
      <c r="Z590" s="47" t="n">
        <v>42117</v>
      </c>
      <c r="AA590" s="35" t="s">
        <v>526</v>
      </c>
    </row>
    <row r="591" customFormat="false" ht="34.5" hidden="false" customHeight="true" outlineLevel="0" collapsed="false">
      <c r="A591" s="34" t="n">
        <v>590</v>
      </c>
      <c r="B591" s="37" t="s">
        <v>303</v>
      </c>
      <c r="C591" s="45" t="s">
        <v>238</v>
      </c>
      <c r="D591" s="43" t="s">
        <v>239</v>
      </c>
      <c r="E591" s="35" t="s">
        <v>268</v>
      </c>
      <c r="F591" s="39" t="s">
        <v>728</v>
      </c>
      <c r="G591" s="43" t="s">
        <v>1122</v>
      </c>
      <c r="H591" s="44" t="s">
        <v>1123</v>
      </c>
      <c r="I591" s="45" t="s">
        <v>688</v>
      </c>
      <c r="J591" s="36" t="s">
        <v>80</v>
      </c>
      <c r="K591" s="36"/>
      <c r="L591" s="45"/>
      <c r="M591" s="36" t="s">
        <v>521</v>
      </c>
      <c r="N591" s="40" t="n">
        <v>2000</v>
      </c>
      <c r="O591" s="35"/>
      <c r="P591" s="35" t="s">
        <v>265</v>
      </c>
      <c r="Q591" s="35" t="s">
        <v>67</v>
      </c>
      <c r="R591" s="35" t="s">
        <v>91</v>
      </c>
      <c r="S591" s="42" t="n">
        <v>3</v>
      </c>
      <c r="T591" s="35" t="s">
        <v>98</v>
      </c>
      <c r="U591" s="35" t="s">
        <v>204</v>
      </c>
      <c r="V591" s="36" t="s">
        <v>205</v>
      </c>
      <c r="W591" s="36" t="s">
        <v>524</v>
      </c>
      <c r="X591" s="44" t="s">
        <v>875</v>
      </c>
      <c r="Y591" s="41" t="s">
        <v>1471</v>
      </c>
      <c r="Z591" s="47" t="n">
        <v>41512</v>
      </c>
      <c r="AA591" s="35" t="s">
        <v>578</v>
      </c>
    </row>
    <row r="592" customFormat="false" ht="34.5" hidden="false" customHeight="true" outlineLevel="0" collapsed="false">
      <c r="A592" s="34" t="n">
        <v>591</v>
      </c>
      <c r="B592" s="37" t="s">
        <v>303</v>
      </c>
      <c r="C592" s="45" t="s">
        <v>238</v>
      </c>
      <c r="D592" s="43" t="s">
        <v>239</v>
      </c>
      <c r="E592" s="35" t="s">
        <v>268</v>
      </c>
      <c r="F592" s="39" t="s">
        <v>1934</v>
      </c>
      <c r="G592" s="43" t="s">
        <v>1935</v>
      </c>
      <c r="H592" s="44" t="s">
        <v>1493</v>
      </c>
      <c r="I592" s="45" t="s">
        <v>688</v>
      </c>
      <c r="J592" s="36"/>
      <c r="K592" s="36"/>
      <c r="L592" s="45"/>
      <c r="M592" s="36" t="s">
        <v>521</v>
      </c>
      <c r="N592" s="40" t="n">
        <v>2000</v>
      </c>
      <c r="O592" s="35"/>
      <c r="P592" s="35" t="s">
        <v>265</v>
      </c>
      <c r="Q592" s="35" t="s">
        <v>67</v>
      </c>
      <c r="R592" s="35" t="s">
        <v>68</v>
      </c>
      <c r="S592" s="42" t="n">
        <v>3</v>
      </c>
      <c r="T592" s="35" t="s">
        <v>98</v>
      </c>
      <c r="U592" s="35" t="s">
        <v>204</v>
      </c>
      <c r="V592" s="36" t="s">
        <v>205</v>
      </c>
      <c r="W592" s="36" t="s">
        <v>524</v>
      </c>
      <c r="X592" s="43" t="s">
        <v>932</v>
      </c>
      <c r="Y592" s="41" t="s">
        <v>1936</v>
      </c>
      <c r="Z592" s="47" t="n">
        <v>40989</v>
      </c>
      <c r="AA592" s="35" t="s">
        <v>526</v>
      </c>
    </row>
    <row r="593" customFormat="false" ht="34.5" hidden="false" customHeight="true" outlineLevel="0" collapsed="false">
      <c r="A593" s="34" t="n">
        <v>592</v>
      </c>
      <c r="B593" s="37" t="s">
        <v>303</v>
      </c>
      <c r="C593" s="45" t="s">
        <v>238</v>
      </c>
      <c r="D593" s="43" t="s">
        <v>239</v>
      </c>
      <c r="E593" s="35" t="s">
        <v>268</v>
      </c>
      <c r="F593" s="39" t="s">
        <v>1937</v>
      </c>
      <c r="G593" s="43" t="s">
        <v>1926</v>
      </c>
      <c r="H593" s="44" t="s">
        <v>1123</v>
      </c>
      <c r="I593" s="45" t="s">
        <v>688</v>
      </c>
      <c r="J593" s="36"/>
      <c r="K593" s="36"/>
      <c r="L593" s="45"/>
      <c r="M593" s="36" t="s">
        <v>521</v>
      </c>
      <c r="N593" s="40" t="n">
        <v>2000</v>
      </c>
      <c r="O593" s="35"/>
      <c r="P593" s="35" t="s">
        <v>265</v>
      </c>
      <c r="Q593" s="35" t="s">
        <v>67</v>
      </c>
      <c r="R593" s="35" t="s">
        <v>144</v>
      </c>
      <c r="S593" s="42" t="n">
        <v>3</v>
      </c>
      <c r="T593" s="35" t="s">
        <v>1779</v>
      </c>
      <c r="U593" s="35" t="s">
        <v>204</v>
      </c>
      <c r="V593" s="36" t="s">
        <v>205</v>
      </c>
      <c r="W593" s="36" t="s">
        <v>524</v>
      </c>
      <c r="X593" s="43" t="s">
        <v>906</v>
      </c>
      <c r="Y593" s="41" t="s">
        <v>1938</v>
      </c>
      <c r="Z593" s="47" t="n">
        <v>43228</v>
      </c>
      <c r="AA593" s="35" t="s">
        <v>526</v>
      </c>
    </row>
    <row r="594" customFormat="false" ht="34.5" hidden="false" customHeight="true" outlineLevel="0" collapsed="false">
      <c r="A594" s="34" t="n">
        <v>593</v>
      </c>
      <c r="B594" s="37" t="s">
        <v>303</v>
      </c>
      <c r="C594" s="45" t="s">
        <v>238</v>
      </c>
      <c r="D594" s="43" t="s">
        <v>239</v>
      </c>
      <c r="E594" s="35" t="s">
        <v>268</v>
      </c>
      <c r="F594" s="39" t="s">
        <v>1124</v>
      </c>
      <c r="G594" s="43" t="s">
        <v>1125</v>
      </c>
      <c r="H594" s="44" t="s">
        <v>1126</v>
      </c>
      <c r="I594" s="45" t="s">
        <v>576</v>
      </c>
      <c r="J594" s="36"/>
      <c r="K594" s="36"/>
      <c r="L594" s="45"/>
      <c r="M594" s="36" t="s">
        <v>521</v>
      </c>
      <c r="N594" s="40" t="n">
        <v>1000</v>
      </c>
      <c r="O594" s="35"/>
      <c r="P594" s="35" t="s">
        <v>265</v>
      </c>
      <c r="Q594" s="35" t="s">
        <v>67</v>
      </c>
      <c r="R594" s="35" t="s">
        <v>144</v>
      </c>
      <c r="S594" s="42" t="n">
        <v>3</v>
      </c>
      <c r="T594" s="35" t="s">
        <v>780</v>
      </c>
      <c r="U594" s="35" t="s">
        <v>204</v>
      </c>
      <c r="V594" s="36" t="s">
        <v>205</v>
      </c>
      <c r="W594" s="36" t="s">
        <v>524</v>
      </c>
      <c r="X594" s="44" t="s">
        <v>230</v>
      </c>
      <c r="Y594" s="41" t="s">
        <v>1127</v>
      </c>
      <c r="Z594" s="47" t="n">
        <v>39170</v>
      </c>
      <c r="AA594" s="35" t="s">
        <v>526</v>
      </c>
    </row>
    <row r="595" customFormat="false" ht="34.5" hidden="false" customHeight="true" outlineLevel="0" collapsed="false">
      <c r="A595" s="34" t="n">
        <v>594</v>
      </c>
      <c r="B595" s="37" t="s">
        <v>303</v>
      </c>
      <c r="C595" s="45" t="s">
        <v>238</v>
      </c>
      <c r="D595" s="43" t="s">
        <v>239</v>
      </c>
      <c r="E595" s="35" t="s">
        <v>268</v>
      </c>
      <c r="F595" s="39" t="s">
        <v>1939</v>
      </c>
      <c r="G595" s="43" t="s">
        <v>1926</v>
      </c>
      <c r="H595" s="44" t="s">
        <v>1123</v>
      </c>
      <c r="I595" s="45" t="s">
        <v>688</v>
      </c>
      <c r="J595" s="36"/>
      <c r="K595" s="36"/>
      <c r="L595" s="45"/>
      <c r="M595" s="36" t="s">
        <v>521</v>
      </c>
      <c r="N595" s="40" t="n">
        <v>2000</v>
      </c>
      <c r="O595" s="35"/>
      <c r="P595" s="35" t="s">
        <v>265</v>
      </c>
      <c r="Q595" s="35" t="s">
        <v>67</v>
      </c>
      <c r="R595" s="35" t="s">
        <v>144</v>
      </c>
      <c r="S595" s="42" t="n">
        <v>3</v>
      </c>
      <c r="T595" s="35" t="s">
        <v>1779</v>
      </c>
      <c r="U595" s="35" t="s">
        <v>204</v>
      </c>
      <c r="V595" s="36" t="s">
        <v>205</v>
      </c>
      <c r="W595" s="36" t="s">
        <v>524</v>
      </c>
      <c r="X595" s="43" t="s">
        <v>272</v>
      </c>
      <c r="Y595" s="41" t="s">
        <v>1940</v>
      </c>
      <c r="Z595" s="47" t="n">
        <v>41008</v>
      </c>
      <c r="AA595" s="35" t="s">
        <v>526</v>
      </c>
    </row>
    <row r="596" customFormat="false" ht="34.5" hidden="false" customHeight="true" outlineLevel="0" collapsed="false">
      <c r="A596" s="34" t="n">
        <v>595</v>
      </c>
      <c r="B596" s="37" t="s">
        <v>303</v>
      </c>
      <c r="C596" s="45" t="s">
        <v>238</v>
      </c>
      <c r="D596" s="43" t="s">
        <v>239</v>
      </c>
      <c r="E596" s="35" t="s">
        <v>268</v>
      </c>
      <c r="F596" s="39" t="s">
        <v>1941</v>
      </c>
      <c r="G596" s="43" t="s">
        <v>1942</v>
      </c>
      <c r="H596" s="44" t="s">
        <v>328</v>
      </c>
      <c r="I596" s="45" t="s">
        <v>576</v>
      </c>
      <c r="J596" s="36"/>
      <c r="K596" s="36"/>
      <c r="L596" s="45"/>
      <c r="M596" s="36" t="s">
        <v>521</v>
      </c>
      <c r="N596" s="40" t="n">
        <v>2000</v>
      </c>
      <c r="O596" s="35"/>
      <c r="P596" s="35" t="s">
        <v>265</v>
      </c>
      <c r="Q596" s="35" t="s">
        <v>67</v>
      </c>
      <c r="R596" s="35" t="s">
        <v>68</v>
      </c>
      <c r="S596" s="42" t="n">
        <v>3</v>
      </c>
      <c r="T596" s="35" t="s">
        <v>98</v>
      </c>
      <c r="U596" s="35" t="s">
        <v>204</v>
      </c>
      <c r="V596" s="36" t="s">
        <v>205</v>
      </c>
      <c r="W596" s="36" t="s">
        <v>524</v>
      </c>
      <c r="X596" s="44" t="s">
        <v>230</v>
      </c>
      <c r="Y596" s="41" t="s">
        <v>1943</v>
      </c>
      <c r="Z596" s="47" t="n">
        <v>36887</v>
      </c>
      <c r="AA596" s="35" t="s">
        <v>526</v>
      </c>
    </row>
    <row r="597" customFormat="false" ht="34.5" hidden="false" customHeight="true" outlineLevel="0" collapsed="false">
      <c r="A597" s="34" t="n">
        <v>596</v>
      </c>
      <c r="B597" s="37" t="s">
        <v>303</v>
      </c>
      <c r="C597" s="45" t="s">
        <v>238</v>
      </c>
      <c r="D597" s="43" t="s">
        <v>239</v>
      </c>
      <c r="E597" s="35" t="s">
        <v>268</v>
      </c>
      <c r="F597" s="39" t="s">
        <v>1473</v>
      </c>
      <c r="G597" s="43" t="s">
        <v>1472</v>
      </c>
      <c r="H597" s="44" t="s">
        <v>339</v>
      </c>
      <c r="I597" s="45" t="s">
        <v>576</v>
      </c>
      <c r="J597" s="36"/>
      <c r="K597" s="36"/>
      <c r="L597" s="45"/>
      <c r="M597" s="36" t="s">
        <v>521</v>
      </c>
      <c r="N597" s="40" t="n">
        <v>4000</v>
      </c>
      <c r="O597" s="35"/>
      <c r="P597" s="35" t="s">
        <v>265</v>
      </c>
      <c r="Q597" s="35" t="s">
        <v>67</v>
      </c>
      <c r="R597" s="35" t="s">
        <v>68</v>
      </c>
      <c r="S597" s="42" t="n">
        <v>3</v>
      </c>
      <c r="T597" s="35" t="s">
        <v>90</v>
      </c>
      <c r="U597" s="35" t="s">
        <v>204</v>
      </c>
      <c r="V597" s="36" t="s">
        <v>205</v>
      </c>
      <c r="W597" s="36" t="s">
        <v>524</v>
      </c>
      <c r="X597" s="43" t="s">
        <v>369</v>
      </c>
      <c r="Y597" s="41" t="s">
        <v>1474</v>
      </c>
      <c r="Z597" s="47" t="n">
        <v>39814</v>
      </c>
      <c r="AA597" s="35" t="s">
        <v>526</v>
      </c>
    </row>
    <row r="598" customFormat="false" ht="34.5" hidden="false" customHeight="true" outlineLevel="0" collapsed="false">
      <c r="A598" s="34" t="n">
        <v>597</v>
      </c>
      <c r="B598" s="37" t="s">
        <v>303</v>
      </c>
      <c r="C598" s="45" t="s">
        <v>238</v>
      </c>
      <c r="D598" s="43" t="s">
        <v>239</v>
      </c>
      <c r="E598" s="35" t="s">
        <v>211</v>
      </c>
      <c r="F598" s="39" t="s">
        <v>1473</v>
      </c>
      <c r="G598" s="43" t="s">
        <v>1472</v>
      </c>
      <c r="H598" s="44" t="s">
        <v>339</v>
      </c>
      <c r="I598" s="45" t="s">
        <v>576</v>
      </c>
      <c r="J598" s="36"/>
      <c r="K598" s="36"/>
      <c r="L598" s="45"/>
      <c r="M598" s="36" t="s">
        <v>521</v>
      </c>
      <c r="N598" s="40" t="n">
        <v>6000</v>
      </c>
      <c r="O598" s="41" t="s">
        <v>1503</v>
      </c>
      <c r="P598" s="35" t="s">
        <v>265</v>
      </c>
      <c r="Q598" s="35" t="s">
        <v>314</v>
      </c>
      <c r="R598" s="41" t="s">
        <v>1481</v>
      </c>
      <c r="S598" s="42" t="n">
        <v>2</v>
      </c>
      <c r="T598" s="35" t="s">
        <v>90</v>
      </c>
      <c r="U598" s="35" t="s">
        <v>204</v>
      </c>
      <c r="V598" s="36" t="s">
        <v>205</v>
      </c>
      <c r="W598" s="36" t="s">
        <v>524</v>
      </c>
      <c r="X598" s="43" t="s">
        <v>369</v>
      </c>
      <c r="Y598" s="41" t="s">
        <v>1474</v>
      </c>
      <c r="Z598" s="47" t="n">
        <v>39814</v>
      </c>
      <c r="AA598" s="35" t="s">
        <v>526</v>
      </c>
    </row>
    <row r="599" customFormat="false" ht="34.5" hidden="false" customHeight="true" outlineLevel="0" collapsed="false">
      <c r="A599" s="34" t="n">
        <v>598</v>
      </c>
      <c r="B599" s="37" t="s">
        <v>303</v>
      </c>
      <c r="C599" s="45" t="s">
        <v>238</v>
      </c>
      <c r="D599" s="43" t="s">
        <v>239</v>
      </c>
      <c r="E599" s="35" t="s">
        <v>268</v>
      </c>
      <c r="F599" s="39" t="s">
        <v>1473</v>
      </c>
      <c r="G599" s="43" t="s">
        <v>1944</v>
      </c>
      <c r="H599" s="44" t="s">
        <v>339</v>
      </c>
      <c r="I599" s="45" t="s">
        <v>709</v>
      </c>
      <c r="J599" s="36"/>
      <c r="K599" s="36"/>
      <c r="L599" s="45"/>
      <c r="M599" s="36" t="s">
        <v>521</v>
      </c>
      <c r="N599" s="40"/>
      <c r="O599" s="41" t="s">
        <v>569</v>
      </c>
      <c r="P599" s="35" t="s">
        <v>523</v>
      </c>
      <c r="Q599" s="35" t="s">
        <v>189</v>
      </c>
      <c r="R599" s="35" t="s">
        <v>202</v>
      </c>
      <c r="S599" s="42" t="n">
        <v>1</v>
      </c>
      <c r="T599" s="35" t="s">
        <v>127</v>
      </c>
      <c r="U599" s="35" t="s">
        <v>204</v>
      </c>
      <c r="V599" s="36" t="s">
        <v>205</v>
      </c>
      <c r="W599" s="36" t="s">
        <v>524</v>
      </c>
      <c r="X599" s="43" t="s">
        <v>369</v>
      </c>
      <c r="Y599" s="41" t="s">
        <v>1945</v>
      </c>
      <c r="Z599" s="47" t="n">
        <v>36523</v>
      </c>
      <c r="AA599" s="35" t="s">
        <v>526</v>
      </c>
    </row>
    <row r="600" customFormat="false" ht="34.5" hidden="false" customHeight="true" outlineLevel="0" collapsed="false">
      <c r="A600" s="34" t="n">
        <v>599</v>
      </c>
      <c r="B600" s="37" t="s">
        <v>303</v>
      </c>
      <c r="C600" s="45" t="s">
        <v>238</v>
      </c>
      <c r="D600" s="43" t="s">
        <v>239</v>
      </c>
      <c r="E600" s="35" t="s">
        <v>268</v>
      </c>
      <c r="F600" s="39" t="s">
        <v>729</v>
      </c>
      <c r="G600" s="43" t="s">
        <v>1122</v>
      </c>
      <c r="H600" s="44" t="s">
        <v>1123</v>
      </c>
      <c r="I600" s="45" t="s">
        <v>688</v>
      </c>
      <c r="J600" s="36"/>
      <c r="K600" s="36"/>
      <c r="L600" s="45"/>
      <c r="M600" s="36" t="s">
        <v>521</v>
      </c>
      <c r="N600" s="40" t="n">
        <v>2000</v>
      </c>
      <c r="O600" s="35"/>
      <c r="P600" s="35" t="s">
        <v>265</v>
      </c>
      <c r="Q600" s="35" t="s">
        <v>67</v>
      </c>
      <c r="R600" s="35" t="s">
        <v>91</v>
      </c>
      <c r="S600" s="42" t="n">
        <v>3</v>
      </c>
      <c r="T600" s="35" t="s">
        <v>98</v>
      </c>
      <c r="U600" s="35" t="s">
        <v>204</v>
      </c>
      <c r="V600" s="36" t="s">
        <v>205</v>
      </c>
      <c r="W600" s="36" t="s">
        <v>524</v>
      </c>
      <c r="X600" s="44" t="s">
        <v>221</v>
      </c>
      <c r="Y600" s="41" t="s">
        <v>1475</v>
      </c>
      <c r="Z600" s="47" t="n">
        <v>36187</v>
      </c>
      <c r="AA600" s="35" t="s">
        <v>526</v>
      </c>
    </row>
    <row r="601" customFormat="false" ht="34.5" hidden="false" customHeight="true" outlineLevel="0" collapsed="false">
      <c r="A601" s="34" t="n">
        <v>600</v>
      </c>
      <c r="B601" s="37" t="s">
        <v>303</v>
      </c>
      <c r="C601" s="45" t="s">
        <v>238</v>
      </c>
      <c r="D601" s="43" t="s">
        <v>239</v>
      </c>
      <c r="E601" s="35" t="s">
        <v>268</v>
      </c>
      <c r="F601" s="39" t="s">
        <v>1476</v>
      </c>
      <c r="G601" s="43" t="s">
        <v>1477</v>
      </c>
      <c r="H601" s="44" t="s">
        <v>328</v>
      </c>
      <c r="I601" s="45" t="s">
        <v>688</v>
      </c>
      <c r="J601" s="36"/>
      <c r="K601" s="36"/>
      <c r="L601" s="45"/>
      <c r="M601" s="36" t="s">
        <v>521</v>
      </c>
      <c r="N601" s="40" t="n">
        <v>2000</v>
      </c>
      <c r="O601" s="35"/>
      <c r="P601" s="35" t="s">
        <v>265</v>
      </c>
      <c r="Q601" s="35" t="s">
        <v>67</v>
      </c>
      <c r="R601" s="35" t="s">
        <v>91</v>
      </c>
      <c r="S601" s="42" t="n">
        <v>3</v>
      </c>
      <c r="T601" s="35" t="s">
        <v>64</v>
      </c>
      <c r="U601" s="35" t="s">
        <v>537</v>
      </c>
      <c r="V601" s="36" t="s">
        <v>205</v>
      </c>
      <c r="W601" s="36" t="s">
        <v>524</v>
      </c>
      <c r="X601" s="43" t="s">
        <v>906</v>
      </c>
      <c r="Y601" s="41" t="s">
        <v>1478</v>
      </c>
      <c r="Z601" s="47" t="n">
        <v>44188</v>
      </c>
      <c r="AA601" s="35" t="s">
        <v>526</v>
      </c>
    </row>
    <row r="602" customFormat="false" ht="34.5" hidden="false" customHeight="true" outlineLevel="0" collapsed="false">
      <c r="A602" s="34" t="n">
        <v>601</v>
      </c>
      <c r="B602" s="37" t="s">
        <v>303</v>
      </c>
      <c r="C602" s="45" t="s">
        <v>238</v>
      </c>
      <c r="D602" s="43" t="s">
        <v>239</v>
      </c>
      <c r="E602" s="35" t="s">
        <v>268</v>
      </c>
      <c r="F602" s="39" t="s">
        <v>1479</v>
      </c>
      <c r="G602" s="43" t="s">
        <v>1480</v>
      </c>
      <c r="H602" s="44" t="s">
        <v>1126</v>
      </c>
      <c r="I602" s="45" t="s">
        <v>576</v>
      </c>
      <c r="J602" s="36" t="s">
        <v>80</v>
      </c>
      <c r="K602" s="36"/>
      <c r="L602" s="45"/>
      <c r="M602" s="36" t="s">
        <v>521</v>
      </c>
      <c r="N602" s="40" t="n">
        <v>1000</v>
      </c>
      <c r="O602" s="35"/>
      <c r="P602" s="35" t="s">
        <v>265</v>
      </c>
      <c r="Q602" s="35" t="s">
        <v>67</v>
      </c>
      <c r="R602" s="35" t="s">
        <v>68</v>
      </c>
      <c r="S602" s="42" t="n">
        <v>3</v>
      </c>
      <c r="T602" s="35" t="s">
        <v>98</v>
      </c>
      <c r="U602" s="35" t="s">
        <v>204</v>
      </c>
      <c r="V602" s="36" t="s">
        <v>205</v>
      </c>
      <c r="W602" s="36" t="s">
        <v>524</v>
      </c>
      <c r="X602" s="44" t="s">
        <v>210</v>
      </c>
      <c r="Y602" s="41" t="s">
        <v>1482</v>
      </c>
      <c r="Z602" s="47" t="n">
        <v>37636</v>
      </c>
      <c r="AA602" s="35" t="s">
        <v>578</v>
      </c>
    </row>
    <row r="603" customFormat="false" ht="34.5" hidden="false" customHeight="true" outlineLevel="0" collapsed="false">
      <c r="A603" s="34" t="n">
        <v>602</v>
      </c>
      <c r="B603" s="37" t="s">
        <v>303</v>
      </c>
      <c r="C603" s="45" t="s">
        <v>238</v>
      </c>
      <c r="D603" s="43" t="s">
        <v>239</v>
      </c>
      <c r="E603" s="35" t="s">
        <v>268</v>
      </c>
      <c r="F603" s="39" t="s">
        <v>1479</v>
      </c>
      <c r="G603" s="43" t="s">
        <v>1480</v>
      </c>
      <c r="H603" s="44" t="s">
        <v>1126</v>
      </c>
      <c r="I603" s="45" t="s">
        <v>576</v>
      </c>
      <c r="J603" s="36" t="s">
        <v>80</v>
      </c>
      <c r="K603" s="36"/>
      <c r="L603" s="45"/>
      <c r="M603" s="36" t="s">
        <v>521</v>
      </c>
      <c r="N603" s="40" t="n">
        <v>50</v>
      </c>
      <c r="O603" s="41" t="s">
        <v>1946</v>
      </c>
      <c r="P603" s="35" t="s">
        <v>523</v>
      </c>
      <c r="Q603" s="35" t="s">
        <v>1650</v>
      </c>
      <c r="R603" s="35" t="s">
        <v>202</v>
      </c>
      <c r="S603" s="42" t="n">
        <v>1</v>
      </c>
      <c r="T603" s="35" t="s">
        <v>98</v>
      </c>
      <c r="U603" s="35" t="s">
        <v>204</v>
      </c>
      <c r="V603" s="36" t="s">
        <v>205</v>
      </c>
      <c r="W603" s="36" t="s">
        <v>524</v>
      </c>
      <c r="X603" s="44" t="s">
        <v>210</v>
      </c>
      <c r="Y603" s="41" t="s">
        <v>1482</v>
      </c>
      <c r="Z603" s="47" t="n">
        <v>37636</v>
      </c>
      <c r="AA603" s="35" t="s">
        <v>578</v>
      </c>
    </row>
    <row r="604" customFormat="false" ht="34.5" hidden="false" customHeight="true" outlineLevel="0" collapsed="false">
      <c r="A604" s="34" t="n">
        <v>603</v>
      </c>
      <c r="B604" s="37" t="s">
        <v>303</v>
      </c>
      <c r="C604" s="45" t="s">
        <v>238</v>
      </c>
      <c r="D604" s="43" t="s">
        <v>239</v>
      </c>
      <c r="E604" s="35" t="s">
        <v>268</v>
      </c>
      <c r="F604" s="39" t="s">
        <v>1947</v>
      </c>
      <c r="G604" s="43" t="s">
        <v>1942</v>
      </c>
      <c r="H604" s="44" t="s">
        <v>328</v>
      </c>
      <c r="I604" s="45" t="s">
        <v>576</v>
      </c>
      <c r="J604" s="36"/>
      <c r="K604" s="36"/>
      <c r="L604" s="45"/>
      <c r="M604" s="36" t="s">
        <v>521</v>
      </c>
      <c r="N604" s="40" t="n">
        <v>2000</v>
      </c>
      <c r="O604" s="35"/>
      <c r="P604" s="35" t="s">
        <v>265</v>
      </c>
      <c r="Q604" s="35" t="s">
        <v>67</v>
      </c>
      <c r="R604" s="35" t="s">
        <v>68</v>
      </c>
      <c r="S604" s="42" t="n">
        <v>3</v>
      </c>
      <c r="T604" s="35" t="s">
        <v>98</v>
      </c>
      <c r="U604" s="35" t="s">
        <v>204</v>
      </c>
      <c r="V604" s="36" t="s">
        <v>205</v>
      </c>
      <c r="W604" s="36" t="s">
        <v>524</v>
      </c>
      <c r="X604" s="43" t="s">
        <v>1380</v>
      </c>
      <c r="Y604" s="41" t="s">
        <v>1948</v>
      </c>
      <c r="Z604" s="47" t="n">
        <v>40954</v>
      </c>
      <c r="AA604" s="35" t="s">
        <v>526</v>
      </c>
    </row>
    <row r="605" customFormat="false" ht="34.5" hidden="false" customHeight="true" outlineLevel="0" collapsed="false">
      <c r="A605" s="34" t="n">
        <v>604</v>
      </c>
      <c r="B605" s="37" t="s">
        <v>303</v>
      </c>
      <c r="C605" s="45" t="s">
        <v>238</v>
      </c>
      <c r="D605" s="43" t="s">
        <v>239</v>
      </c>
      <c r="E605" s="35" t="s">
        <v>211</v>
      </c>
      <c r="F605" s="39" t="s">
        <v>1949</v>
      </c>
      <c r="G605" s="43" t="s">
        <v>1912</v>
      </c>
      <c r="H605" s="44" t="s">
        <v>1913</v>
      </c>
      <c r="I605" s="45" t="s">
        <v>576</v>
      </c>
      <c r="J605" s="36" t="s">
        <v>80</v>
      </c>
      <c r="K605" s="36"/>
      <c r="L605" s="45"/>
      <c r="M605" s="36" t="s">
        <v>521</v>
      </c>
      <c r="N605" s="40" t="n">
        <v>2000</v>
      </c>
      <c r="O605" s="35"/>
      <c r="P605" s="35" t="s">
        <v>265</v>
      </c>
      <c r="Q605" s="35" t="s">
        <v>67</v>
      </c>
      <c r="R605" s="35" t="s">
        <v>68</v>
      </c>
      <c r="S605" s="42" t="n">
        <v>3</v>
      </c>
      <c r="T605" s="35" t="s">
        <v>64</v>
      </c>
      <c r="U605" s="35" t="s">
        <v>537</v>
      </c>
      <c r="V605" s="36" t="s">
        <v>205</v>
      </c>
      <c r="W605" s="36" t="s">
        <v>524</v>
      </c>
      <c r="X605" s="43" t="s">
        <v>272</v>
      </c>
      <c r="Y605" s="41" t="s">
        <v>1950</v>
      </c>
      <c r="Z605" s="47" t="n">
        <v>42570</v>
      </c>
      <c r="AA605" s="35" t="s">
        <v>578</v>
      </c>
    </row>
    <row r="606" customFormat="false" ht="34.5" hidden="false" customHeight="true" outlineLevel="0" collapsed="false">
      <c r="A606" s="34" t="n">
        <v>605</v>
      </c>
      <c r="B606" s="37" t="s">
        <v>303</v>
      </c>
      <c r="C606" s="45" t="s">
        <v>238</v>
      </c>
      <c r="D606" s="43" t="s">
        <v>239</v>
      </c>
      <c r="E606" s="35" t="s">
        <v>268</v>
      </c>
      <c r="F606" s="39" t="s">
        <v>1951</v>
      </c>
      <c r="G606" s="43" t="s">
        <v>1942</v>
      </c>
      <c r="H606" s="44" t="s">
        <v>328</v>
      </c>
      <c r="I606" s="45" t="s">
        <v>576</v>
      </c>
      <c r="J606" s="36"/>
      <c r="K606" s="36"/>
      <c r="L606" s="45"/>
      <c r="M606" s="36" t="s">
        <v>521</v>
      </c>
      <c r="N606" s="40" t="n">
        <v>2000</v>
      </c>
      <c r="O606" s="35"/>
      <c r="P606" s="35" t="s">
        <v>265</v>
      </c>
      <c r="Q606" s="35" t="s">
        <v>67</v>
      </c>
      <c r="R606" s="35" t="s">
        <v>68</v>
      </c>
      <c r="S606" s="42" t="n">
        <v>3</v>
      </c>
      <c r="T606" s="35" t="s">
        <v>98</v>
      </c>
      <c r="U606" s="35" t="s">
        <v>204</v>
      </c>
      <c r="V606" s="36" t="s">
        <v>205</v>
      </c>
      <c r="W606" s="36" t="s">
        <v>524</v>
      </c>
      <c r="X606" s="43" t="s">
        <v>861</v>
      </c>
      <c r="Y606" s="41" t="s">
        <v>1952</v>
      </c>
      <c r="Z606" s="47" t="n">
        <v>40890</v>
      </c>
      <c r="AA606" s="35" t="s">
        <v>526</v>
      </c>
    </row>
    <row r="607" customFormat="false" ht="34.5" hidden="false" customHeight="true" outlineLevel="0" collapsed="false">
      <c r="A607" s="34" t="n">
        <v>606</v>
      </c>
      <c r="B607" s="37" t="s">
        <v>303</v>
      </c>
      <c r="C607" s="45" t="s">
        <v>238</v>
      </c>
      <c r="D607" s="43" t="s">
        <v>239</v>
      </c>
      <c r="E607" s="35" t="s">
        <v>211</v>
      </c>
      <c r="F607" s="39" t="s">
        <v>731</v>
      </c>
      <c r="G607" s="43" t="s">
        <v>1122</v>
      </c>
      <c r="H607" s="44" t="s">
        <v>1123</v>
      </c>
      <c r="I607" s="45" t="s">
        <v>688</v>
      </c>
      <c r="J607" s="36"/>
      <c r="K607" s="36"/>
      <c r="L607" s="45"/>
      <c r="M607" s="36" t="s">
        <v>521</v>
      </c>
      <c r="N607" s="40" t="n">
        <v>2000</v>
      </c>
      <c r="O607" s="35"/>
      <c r="P607" s="35" t="s">
        <v>265</v>
      </c>
      <c r="Q607" s="35" t="s">
        <v>67</v>
      </c>
      <c r="R607" s="35" t="s">
        <v>68</v>
      </c>
      <c r="S607" s="42" t="n">
        <v>3</v>
      </c>
      <c r="T607" s="35" t="s">
        <v>98</v>
      </c>
      <c r="U607" s="35" t="s">
        <v>204</v>
      </c>
      <c r="V607" s="36" t="s">
        <v>205</v>
      </c>
      <c r="W607" s="36" t="s">
        <v>524</v>
      </c>
      <c r="X607" s="44" t="s">
        <v>834</v>
      </c>
      <c r="Y607" s="41" t="s">
        <v>1484</v>
      </c>
      <c r="Z607" s="47" t="n">
        <v>45363</v>
      </c>
      <c r="AA607" s="35" t="s">
        <v>526</v>
      </c>
    </row>
    <row r="608" customFormat="false" ht="34.5" hidden="false" customHeight="true" outlineLevel="0" collapsed="false">
      <c r="A608" s="34" t="n">
        <v>607</v>
      </c>
      <c r="B608" s="37" t="s">
        <v>303</v>
      </c>
      <c r="C608" s="45" t="s">
        <v>238</v>
      </c>
      <c r="D608" s="43" t="s">
        <v>239</v>
      </c>
      <c r="E608" s="35" t="s">
        <v>211</v>
      </c>
      <c r="F608" s="39" t="s">
        <v>1953</v>
      </c>
      <c r="G608" s="43" t="s">
        <v>1502</v>
      </c>
      <c r="H608" s="44" t="s">
        <v>1126</v>
      </c>
      <c r="I608" s="45" t="s">
        <v>679</v>
      </c>
      <c r="J608" s="36"/>
      <c r="K608" s="36"/>
      <c r="L608" s="45"/>
      <c r="M608" s="36" t="s">
        <v>521</v>
      </c>
      <c r="N608" s="40" t="n">
        <v>100</v>
      </c>
      <c r="O608" s="41" t="s">
        <v>1649</v>
      </c>
      <c r="P608" s="35" t="s">
        <v>523</v>
      </c>
      <c r="Q608" s="35" t="s">
        <v>112</v>
      </c>
      <c r="R608" s="35" t="s">
        <v>202</v>
      </c>
      <c r="S608" s="42" t="n">
        <v>1</v>
      </c>
      <c r="T608" s="35" t="s">
        <v>90</v>
      </c>
      <c r="U608" s="35" t="s">
        <v>204</v>
      </c>
      <c r="V608" s="36" t="s">
        <v>205</v>
      </c>
      <c r="W608" s="36" t="s">
        <v>524</v>
      </c>
      <c r="X608" s="44" t="s">
        <v>341</v>
      </c>
      <c r="Y608" s="41" t="s">
        <v>1954</v>
      </c>
      <c r="Z608" s="47" t="n">
        <v>43454</v>
      </c>
      <c r="AA608" s="35" t="s">
        <v>526</v>
      </c>
    </row>
    <row r="609" customFormat="false" ht="34.5" hidden="false" customHeight="true" outlineLevel="0" collapsed="false">
      <c r="A609" s="34" t="n">
        <v>608</v>
      </c>
      <c r="B609" s="37" t="s">
        <v>303</v>
      </c>
      <c r="C609" s="45" t="s">
        <v>238</v>
      </c>
      <c r="D609" s="43" t="s">
        <v>239</v>
      </c>
      <c r="E609" s="35" t="s">
        <v>268</v>
      </c>
      <c r="F609" s="39" t="s">
        <v>1955</v>
      </c>
      <c r="G609" s="43" t="s">
        <v>1942</v>
      </c>
      <c r="H609" s="44" t="s">
        <v>328</v>
      </c>
      <c r="I609" s="45" t="s">
        <v>576</v>
      </c>
      <c r="J609" s="36"/>
      <c r="K609" s="36"/>
      <c r="L609" s="45"/>
      <c r="M609" s="36" t="s">
        <v>521</v>
      </c>
      <c r="N609" s="40" t="n">
        <v>2000</v>
      </c>
      <c r="O609" s="35"/>
      <c r="P609" s="35" t="s">
        <v>265</v>
      </c>
      <c r="Q609" s="35" t="s">
        <v>67</v>
      </c>
      <c r="R609" s="35" t="s">
        <v>68</v>
      </c>
      <c r="S609" s="42" t="n">
        <v>3</v>
      </c>
      <c r="T609" s="35" t="s">
        <v>98</v>
      </c>
      <c r="U609" s="35" t="s">
        <v>204</v>
      </c>
      <c r="V609" s="36" t="s">
        <v>205</v>
      </c>
      <c r="W609" s="36" t="s">
        <v>524</v>
      </c>
      <c r="X609" s="44" t="s">
        <v>875</v>
      </c>
      <c r="Y609" s="41" t="s">
        <v>1956</v>
      </c>
      <c r="Z609" s="47" t="n">
        <v>41512</v>
      </c>
      <c r="AA609" s="35" t="s">
        <v>526</v>
      </c>
    </row>
    <row r="610" customFormat="false" ht="34.5" hidden="false" customHeight="true" outlineLevel="0" collapsed="false">
      <c r="A610" s="34" t="n">
        <v>609</v>
      </c>
      <c r="B610" s="37" t="s">
        <v>303</v>
      </c>
      <c r="C610" s="45" t="s">
        <v>238</v>
      </c>
      <c r="D610" s="43" t="s">
        <v>239</v>
      </c>
      <c r="E610" s="35" t="s">
        <v>211</v>
      </c>
      <c r="F610" s="39" t="s">
        <v>732</v>
      </c>
      <c r="G610" s="43" t="s">
        <v>1122</v>
      </c>
      <c r="H610" s="44" t="s">
        <v>1123</v>
      </c>
      <c r="I610" s="45" t="s">
        <v>688</v>
      </c>
      <c r="J610" s="36"/>
      <c r="K610" s="36"/>
      <c r="L610" s="45"/>
      <c r="M610" s="36" t="s">
        <v>521</v>
      </c>
      <c r="N610" s="40" t="n">
        <v>2000</v>
      </c>
      <c r="O610" s="35"/>
      <c r="P610" s="35" t="s">
        <v>265</v>
      </c>
      <c r="Q610" s="35" t="s">
        <v>67</v>
      </c>
      <c r="R610" s="35" t="s">
        <v>68</v>
      </c>
      <c r="S610" s="42" t="n">
        <v>3</v>
      </c>
      <c r="T610" s="35" t="s">
        <v>98</v>
      </c>
      <c r="U610" s="35" t="s">
        <v>204</v>
      </c>
      <c r="V610" s="36" t="s">
        <v>205</v>
      </c>
      <c r="W610" s="36" t="s">
        <v>524</v>
      </c>
      <c r="X610" s="44" t="s">
        <v>847</v>
      </c>
      <c r="Y610" s="41" t="s">
        <v>1487</v>
      </c>
      <c r="Z610" s="47" t="n">
        <v>45246</v>
      </c>
      <c r="AA610" s="35" t="s">
        <v>526</v>
      </c>
    </row>
    <row r="611" customFormat="false" ht="34.5" hidden="false" customHeight="true" outlineLevel="0" collapsed="false">
      <c r="A611" s="34" t="n">
        <v>610</v>
      </c>
      <c r="B611" s="37" t="s">
        <v>303</v>
      </c>
      <c r="C611" s="45" t="s">
        <v>238</v>
      </c>
      <c r="D611" s="43" t="s">
        <v>239</v>
      </c>
      <c r="E611" s="35" t="s">
        <v>211</v>
      </c>
      <c r="F611" s="39" t="s">
        <v>732</v>
      </c>
      <c r="G611" s="43" t="s">
        <v>1122</v>
      </c>
      <c r="H611" s="44" t="s">
        <v>1123</v>
      </c>
      <c r="I611" s="45" t="s">
        <v>688</v>
      </c>
      <c r="J611" s="36"/>
      <c r="K611" s="36"/>
      <c r="L611" s="45"/>
      <c r="M611" s="36" t="s">
        <v>521</v>
      </c>
      <c r="N611" s="40" t="n">
        <v>2000</v>
      </c>
      <c r="O611" s="35"/>
      <c r="P611" s="35" t="s">
        <v>265</v>
      </c>
      <c r="Q611" s="35" t="s">
        <v>67</v>
      </c>
      <c r="R611" s="35" t="s">
        <v>68</v>
      </c>
      <c r="S611" s="42" t="n">
        <v>3</v>
      </c>
      <c r="T611" s="35" t="s">
        <v>98</v>
      </c>
      <c r="U611" s="35" t="s">
        <v>204</v>
      </c>
      <c r="V611" s="36" t="s">
        <v>205</v>
      </c>
      <c r="W611" s="36" t="s">
        <v>524</v>
      </c>
      <c r="X611" s="44" t="s">
        <v>856</v>
      </c>
      <c r="Y611" s="41" t="s">
        <v>1486</v>
      </c>
      <c r="Z611" s="47" t="n">
        <v>44774</v>
      </c>
      <c r="AA611" s="35" t="s">
        <v>526</v>
      </c>
    </row>
    <row r="612" customFormat="false" ht="34.5" hidden="false" customHeight="true" outlineLevel="0" collapsed="false">
      <c r="A612" s="34" t="n">
        <v>611</v>
      </c>
      <c r="B612" s="37" t="s">
        <v>303</v>
      </c>
      <c r="C612" s="45" t="s">
        <v>238</v>
      </c>
      <c r="D612" s="43" t="s">
        <v>239</v>
      </c>
      <c r="E612" s="35" t="s">
        <v>211</v>
      </c>
      <c r="F612" s="39" t="s">
        <v>732</v>
      </c>
      <c r="G612" s="43" t="s">
        <v>1122</v>
      </c>
      <c r="H612" s="44" t="s">
        <v>1123</v>
      </c>
      <c r="I612" s="45" t="s">
        <v>688</v>
      </c>
      <c r="J612" s="36"/>
      <c r="K612" s="36"/>
      <c r="L612" s="45"/>
      <c r="M612" s="36" t="s">
        <v>521</v>
      </c>
      <c r="N612" s="40" t="n">
        <v>2000</v>
      </c>
      <c r="O612" s="35"/>
      <c r="P612" s="35" t="s">
        <v>265</v>
      </c>
      <c r="Q612" s="35" t="s">
        <v>67</v>
      </c>
      <c r="R612" s="35" t="s">
        <v>68</v>
      </c>
      <c r="S612" s="42" t="n">
        <v>3</v>
      </c>
      <c r="T612" s="35" t="s">
        <v>98</v>
      </c>
      <c r="U612" s="35" t="s">
        <v>204</v>
      </c>
      <c r="V612" s="36" t="s">
        <v>205</v>
      </c>
      <c r="W612" s="36" t="s">
        <v>826</v>
      </c>
      <c r="X612" s="44" t="s">
        <v>847</v>
      </c>
      <c r="Y612" s="41" t="s">
        <v>1485</v>
      </c>
      <c r="Z612" s="47" t="n">
        <v>45629</v>
      </c>
      <c r="AA612" s="35" t="s">
        <v>526</v>
      </c>
    </row>
    <row r="613" customFormat="false" ht="34.5" hidden="false" customHeight="true" outlineLevel="0" collapsed="false">
      <c r="A613" s="34" t="n">
        <v>612</v>
      </c>
      <c r="B613" s="37" t="s">
        <v>303</v>
      </c>
      <c r="C613" s="45" t="s">
        <v>238</v>
      </c>
      <c r="D613" s="43" t="s">
        <v>239</v>
      </c>
      <c r="E613" s="35" t="s">
        <v>268</v>
      </c>
      <c r="F613" s="39" t="s">
        <v>1488</v>
      </c>
      <c r="G613" s="43" t="s">
        <v>1477</v>
      </c>
      <c r="H613" s="44" t="s">
        <v>328</v>
      </c>
      <c r="I613" s="45" t="s">
        <v>688</v>
      </c>
      <c r="J613" s="36"/>
      <c r="K613" s="36"/>
      <c r="L613" s="45"/>
      <c r="M613" s="36" t="s">
        <v>521</v>
      </c>
      <c r="N613" s="40" t="n">
        <v>2000</v>
      </c>
      <c r="O613" s="35"/>
      <c r="P613" s="35" t="s">
        <v>265</v>
      </c>
      <c r="Q613" s="35" t="s">
        <v>67</v>
      </c>
      <c r="R613" s="35" t="s">
        <v>91</v>
      </c>
      <c r="S613" s="42" t="n">
        <v>3</v>
      </c>
      <c r="T613" s="35" t="s">
        <v>64</v>
      </c>
      <c r="U613" s="35" t="s">
        <v>537</v>
      </c>
      <c r="V613" s="36" t="s">
        <v>205</v>
      </c>
      <c r="W613" s="36" t="s">
        <v>524</v>
      </c>
      <c r="X613" s="43" t="s">
        <v>272</v>
      </c>
      <c r="Y613" s="41" t="s">
        <v>1489</v>
      </c>
      <c r="Z613" s="47" t="n">
        <v>41435</v>
      </c>
      <c r="AA613" s="35" t="s">
        <v>526</v>
      </c>
    </row>
    <row r="614" customFormat="false" ht="34.5" hidden="false" customHeight="true" outlineLevel="0" collapsed="false">
      <c r="A614" s="34" t="n">
        <v>613</v>
      </c>
      <c r="B614" s="37" t="s">
        <v>303</v>
      </c>
      <c r="C614" s="45" t="s">
        <v>238</v>
      </c>
      <c r="D614" s="43" t="s">
        <v>239</v>
      </c>
      <c r="E614" s="35" t="s">
        <v>211</v>
      </c>
      <c r="F614" s="39" t="s">
        <v>1957</v>
      </c>
      <c r="G614" s="43" t="s">
        <v>1912</v>
      </c>
      <c r="H614" s="44" t="s">
        <v>1913</v>
      </c>
      <c r="I614" s="45" t="s">
        <v>576</v>
      </c>
      <c r="J614" s="36"/>
      <c r="K614" s="36"/>
      <c r="L614" s="45"/>
      <c r="M614" s="36" t="s">
        <v>521</v>
      </c>
      <c r="N614" s="40" t="n">
        <v>2000</v>
      </c>
      <c r="O614" s="35"/>
      <c r="P614" s="35" t="s">
        <v>265</v>
      </c>
      <c r="Q614" s="35" t="s">
        <v>67</v>
      </c>
      <c r="R614" s="35" t="s">
        <v>68</v>
      </c>
      <c r="S614" s="42" t="n">
        <v>3</v>
      </c>
      <c r="T614" s="35" t="s">
        <v>64</v>
      </c>
      <c r="U614" s="35" t="s">
        <v>537</v>
      </c>
      <c r="V614" s="36" t="s">
        <v>205</v>
      </c>
      <c r="W614" s="36" t="s">
        <v>826</v>
      </c>
      <c r="X614" s="44" t="s">
        <v>341</v>
      </c>
      <c r="Y614" s="41" t="s">
        <v>1958</v>
      </c>
      <c r="Z614" s="47" t="n">
        <v>45338</v>
      </c>
      <c r="AA614" s="35" t="s">
        <v>526</v>
      </c>
    </row>
    <row r="615" customFormat="false" ht="34.5" hidden="false" customHeight="true" outlineLevel="0" collapsed="false">
      <c r="A615" s="34" t="n">
        <v>614</v>
      </c>
      <c r="B615" s="37" t="s">
        <v>303</v>
      </c>
      <c r="C615" s="45" t="s">
        <v>238</v>
      </c>
      <c r="D615" s="43" t="s">
        <v>239</v>
      </c>
      <c r="E615" s="35" t="s">
        <v>268</v>
      </c>
      <c r="F615" s="39" t="s">
        <v>1959</v>
      </c>
      <c r="G615" s="43" t="s">
        <v>1912</v>
      </c>
      <c r="H615" s="44" t="s">
        <v>1913</v>
      </c>
      <c r="I615" s="45" t="s">
        <v>576</v>
      </c>
      <c r="J615" s="36"/>
      <c r="K615" s="36"/>
      <c r="L615" s="45"/>
      <c r="M615" s="36" t="s">
        <v>521</v>
      </c>
      <c r="N615" s="40" t="n">
        <v>2000</v>
      </c>
      <c r="O615" s="35"/>
      <c r="P615" s="35" t="s">
        <v>265</v>
      </c>
      <c r="Q615" s="35" t="s">
        <v>67</v>
      </c>
      <c r="R615" s="35" t="s">
        <v>68</v>
      </c>
      <c r="S615" s="42" t="n">
        <v>3</v>
      </c>
      <c r="T615" s="35" t="s">
        <v>64</v>
      </c>
      <c r="U615" s="35" t="s">
        <v>537</v>
      </c>
      <c r="V615" s="36" t="s">
        <v>205</v>
      </c>
      <c r="W615" s="36" t="s">
        <v>524</v>
      </c>
      <c r="X615" s="43" t="s">
        <v>330</v>
      </c>
      <c r="Y615" s="41" t="s">
        <v>1960</v>
      </c>
      <c r="Z615" s="47" t="n">
        <v>37635</v>
      </c>
      <c r="AA615" s="35" t="s">
        <v>526</v>
      </c>
    </row>
    <row r="616" customFormat="false" ht="34.5" hidden="false" customHeight="true" outlineLevel="0" collapsed="false">
      <c r="A616" s="34" t="n">
        <v>615</v>
      </c>
      <c r="B616" s="37" t="s">
        <v>303</v>
      </c>
      <c r="C616" s="45" t="s">
        <v>238</v>
      </c>
      <c r="D616" s="43" t="s">
        <v>239</v>
      </c>
      <c r="E616" s="35" t="s">
        <v>211</v>
      </c>
      <c r="F616" s="39" t="s">
        <v>1959</v>
      </c>
      <c r="G616" s="43" t="s">
        <v>1912</v>
      </c>
      <c r="H616" s="44" t="s">
        <v>1913</v>
      </c>
      <c r="I616" s="45" t="s">
        <v>576</v>
      </c>
      <c r="J616" s="36"/>
      <c r="K616" s="36"/>
      <c r="L616" s="45"/>
      <c r="M616" s="36" t="s">
        <v>521</v>
      </c>
      <c r="N616" s="40"/>
      <c r="O616" s="41" t="s">
        <v>1961</v>
      </c>
      <c r="P616" s="35" t="s">
        <v>265</v>
      </c>
      <c r="Q616" s="35" t="s">
        <v>314</v>
      </c>
      <c r="R616" s="41" t="s">
        <v>1481</v>
      </c>
      <c r="S616" s="42" t="n">
        <v>2</v>
      </c>
      <c r="T616" s="35" t="s">
        <v>64</v>
      </c>
      <c r="U616" s="35" t="s">
        <v>537</v>
      </c>
      <c r="V616" s="36" t="s">
        <v>205</v>
      </c>
      <c r="W616" s="36" t="s">
        <v>524</v>
      </c>
      <c r="X616" s="43" t="s">
        <v>330</v>
      </c>
      <c r="Y616" s="41" t="s">
        <v>1960</v>
      </c>
      <c r="Z616" s="47" t="n">
        <v>37635</v>
      </c>
      <c r="AA616" s="35" t="s">
        <v>526</v>
      </c>
    </row>
    <row r="617" customFormat="false" ht="34.5" hidden="false" customHeight="true" outlineLevel="0" collapsed="false">
      <c r="A617" s="34" t="n">
        <v>616</v>
      </c>
      <c r="B617" s="37" t="s">
        <v>303</v>
      </c>
      <c r="C617" s="45" t="s">
        <v>238</v>
      </c>
      <c r="D617" s="43" t="s">
        <v>239</v>
      </c>
      <c r="E617" s="35" t="s">
        <v>268</v>
      </c>
      <c r="F617" s="39" t="s">
        <v>1131</v>
      </c>
      <c r="G617" s="43" t="s">
        <v>1132</v>
      </c>
      <c r="H617" s="44" t="s">
        <v>328</v>
      </c>
      <c r="I617" s="45" t="s">
        <v>679</v>
      </c>
      <c r="J617" s="36"/>
      <c r="K617" s="36"/>
      <c r="L617" s="45"/>
      <c r="M617" s="36" t="s">
        <v>521</v>
      </c>
      <c r="N617" s="40" t="n">
        <v>4000</v>
      </c>
      <c r="O617" s="35"/>
      <c r="P617" s="35" t="s">
        <v>265</v>
      </c>
      <c r="Q617" s="35" t="s">
        <v>67</v>
      </c>
      <c r="R617" s="35" t="s">
        <v>144</v>
      </c>
      <c r="S617" s="42" t="n">
        <v>2</v>
      </c>
      <c r="T617" s="35" t="s">
        <v>784</v>
      </c>
      <c r="U617" s="35" t="s">
        <v>537</v>
      </c>
      <c r="V617" s="36" t="s">
        <v>205</v>
      </c>
      <c r="W617" s="36" t="s">
        <v>826</v>
      </c>
      <c r="X617" s="44" t="s">
        <v>847</v>
      </c>
      <c r="Y617" s="41" t="s">
        <v>1133</v>
      </c>
      <c r="Z617" s="47" t="n">
        <v>40259</v>
      </c>
      <c r="AA617" s="35" t="s">
        <v>526</v>
      </c>
    </row>
    <row r="618" customFormat="false" ht="34.5" hidden="false" customHeight="true" outlineLevel="0" collapsed="false">
      <c r="A618" s="34" t="n">
        <v>617</v>
      </c>
      <c r="B618" s="37" t="s">
        <v>303</v>
      </c>
      <c r="C618" s="45" t="s">
        <v>238</v>
      </c>
      <c r="D618" s="43" t="s">
        <v>239</v>
      </c>
      <c r="E618" s="35" t="s">
        <v>268</v>
      </c>
      <c r="F618" s="39" t="s">
        <v>325</v>
      </c>
      <c r="G618" s="43" t="s">
        <v>1942</v>
      </c>
      <c r="H618" s="44" t="s">
        <v>328</v>
      </c>
      <c r="I618" s="45" t="s">
        <v>576</v>
      </c>
      <c r="J618" s="36"/>
      <c r="K618" s="36"/>
      <c r="L618" s="45"/>
      <c r="M618" s="36" t="s">
        <v>521</v>
      </c>
      <c r="N618" s="40" t="n">
        <v>2000</v>
      </c>
      <c r="O618" s="35"/>
      <c r="P618" s="35" t="s">
        <v>265</v>
      </c>
      <c r="Q618" s="35" t="s">
        <v>67</v>
      </c>
      <c r="R618" s="35" t="s">
        <v>68</v>
      </c>
      <c r="S618" s="42" t="n">
        <v>3</v>
      </c>
      <c r="T618" s="35" t="s">
        <v>98</v>
      </c>
      <c r="U618" s="35" t="s">
        <v>204</v>
      </c>
      <c r="V618" s="36" t="s">
        <v>205</v>
      </c>
      <c r="W618" s="36" t="s">
        <v>524</v>
      </c>
      <c r="X618" s="43" t="s">
        <v>330</v>
      </c>
      <c r="Y618" s="41" t="s">
        <v>1962</v>
      </c>
      <c r="Z618" s="47" t="n">
        <v>34941</v>
      </c>
      <c r="AA618" s="35" t="s">
        <v>526</v>
      </c>
    </row>
    <row r="619" customFormat="false" ht="34.5" hidden="false" customHeight="true" outlineLevel="0" collapsed="false">
      <c r="A619" s="34" t="n">
        <v>618</v>
      </c>
      <c r="B619" s="37" t="s">
        <v>303</v>
      </c>
      <c r="C619" s="45" t="s">
        <v>238</v>
      </c>
      <c r="D619" s="43" t="s">
        <v>239</v>
      </c>
      <c r="E619" s="35" t="s">
        <v>268</v>
      </c>
      <c r="F619" s="39" t="s">
        <v>325</v>
      </c>
      <c r="G619" s="43" t="s">
        <v>1942</v>
      </c>
      <c r="H619" s="44" t="s">
        <v>328</v>
      </c>
      <c r="I619" s="45" t="s">
        <v>576</v>
      </c>
      <c r="J619" s="36"/>
      <c r="K619" s="36"/>
      <c r="L619" s="45"/>
      <c r="M619" s="36" t="s">
        <v>521</v>
      </c>
      <c r="N619" s="40" t="n">
        <v>2000</v>
      </c>
      <c r="O619" s="35"/>
      <c r="P619" s="35" t="s">
        <v>265</v>
      </c>
      <c r="Q619" s="35" t="s">
        <v>67</v>
      </c>
      <c r="R619" s="35" t="s">
        <v>68</v>
      </c>
      <c r="S619" s="42" t="n">
        <v>3</v>
      </c>
      <c r="T619" s="35" t="s">
        <v>98</v>
      </c>
      <c r="U619" s="35" t="s">
        <v>204</v>
      </c>
      <c r="V619" s="36" t="s">
        <v>205</v>
      </c>
      <c r="W619" s="36" t="s">
        <v>524</v>
      </c>
      <c r="X619" s="44" t="s">
        <v>210</v>
      </c>
      <c r="Y619" s="41" t="s">
        <v>1963</v>
      </c>
      <c r="Z619" s="47" t="n">
        <v>34425</v>
      </c>
      <c r="AA619" s="35" t="s">
        <v>526</v>
      </c>
    </row>
    <row r="620" customFormat="false" ht="34.5" hidden="false" customHeight="true" outlineLevel="0" collapsed="false">
      <c r="A620" s="34" t="n">
        <v>619</v>
      </c>
      <c r="B620" s="37" t="s">
        <v>303</v>
      </c>
      <c r="C620" s="45" t="s">
        <v>238</v>
      </c>
      <c r="D620" s="43" t="s">
        <v>239</v>
      </c>
      <c r="E620" s="35" t="s">
        <v>268</v>
      </c>
      <c r="F620" s="39" t="s">
        <v>325</v>
      </c>
      <c r="G620" s="43" t="s">
        <v>1477</v>
      </c>
      <c r="H620" s="44" t="s">
        <v>328</v>
      </c>
      <c r="I620" s="45" t="s">
        <v>688</v>
      </c>
      <c r="J620" s="36"/>
      <c r="K620" s="36"/>
      <c r="L620" s="45"/>
      <c r="M620" s="36" t="s">
        <v>521</v>
      </c>
      <c r="N620" s="40" t="n">
        <v>2000</v>
      </c>
      <c r="O620" s="35"/>
      <c r="P620" s="35" t="s">
        <v>265</v>
      </c>
      <c r="Q620" s="35" t="s">
        <v>67</v>
      </c>
      <c r="R620" s="35" t="s">
        <v>91</v>
      </c>
      <c r="S620" s="42" t="n">
        <v>3</v>
      </c>
      <c r="T620" s="35" t="s">
        <v>64</v>
      </c>
      <c r="U620" s="35" t="s">
        <v>537</v>
      </c>
      <c r="V620" s="36" t="s">
        <v>205</v>
      </c>
      <c r="W620" s="36" t="s">
        <v>524</v>
      </c>
      <c r="X620" s="43" t="s">
        <v>330</v>
      </c>
      <c r="Y620" s="41" t="s">
        <v>1490</v>
      </c>
      <c r="Z620" s="47" t="n">
        <v>39814</v>
      </c>
      <c r="AA620" s="35" t="s">
        <v>526</v>
      </c>
    </row>
    <row r="621" customFormat="false" ht="34.5" hidden="false" customHeight="true" outlineLevel="0" collapsed="false">
      <c r="A621" s="34" t="n">
        <v>620</v>
      </c>
      <c r="B621" s="37" t="s">
        <v>303</v>
      </c>
      <c r="C621" s="45" t="s">
        <v>238</v>
      </c>
      <c r="D621" s="43" t="s">
        <v>239</v>
      </c>
      <c r="E621" s="35" t="s">
        <v>211</v>
      </c>
      <c r="F621" s="39" t="s">
        <v>325</v>
      </c>
      <c r="G621" s="43" t="s">
        <v>1477</v>
      </c>
      <c r="H621" s="44" t="s">
        <v>328</v>
      </c>
      <c r="I621" s="45" t="s">
        <v>688</v>
      </c>
      <c r="J621" s="36"/>
      <c r="K621" s="36"/>
      <c r="L621" s="45"/>
      <c r="M621" s="36" t="s">
        <v>521</v>
      </c>
      <c r="N621" s="40"/>
      <c r="O621" s="41" t="s">
        <v>1964</v>
      </c>
      <c r="P621" s="35" t="s">
        <v>265</v>
      </c>
      <c r="Q621" s="35" t="s">
        <v>314</v>
      </c>
      <c r="R621" s="35" t="s">
        <v>1965</v>
      </c>
      <c r="S621" s="42" t="n">
        <v>2</v>
      </c>
      <c r="T621" s="35" t="s">
        <v>64</v>
      </c>
      <c r="U621" s="35" t="s">
        <v>537</v>
      </c>
      <c r="V621" s="36" t="s">
        <v>205</v>
      </c>
      <c r="W621" s="36" t="s">
        <v>524</v>
      </c>
      <c r="X621" s="43" t="s">
        <v>330</v>
      </c>
      <c r="Y621" s="41" t="s">
        <v>1490</v>
      </c>
      <c r="Z621" s="47" t="n">
        <v>39814</v>
      </c>
      <c r="AA621" s="35" t="s">
        <v>526</v>
      </c>
    </row>
    <row r="622" customFormat="false" ht="34.5" hidden="false" customHeight="true" outlineLevel="0" collapsed="false">
      <c r="A622" s="34" t="n">
        <v>621</v>
      </c>
      <c r="B622" s="37" t="s">
        <v>303</v>
      </c>
      <c r="C622" s="45" t="s">
        <v>238</v>
      </c>
      <c r="D622" s="43" t="s">
        <v>239</v>
      </c>
      <c r="E622" s="35" t="s">
        <v>268</v>
      </c>
      <c r="F622" s="39" t="s">
        <v>1966</v>
      </c>
      <c r="G622" s="43" t="s">
        <v>1942</v>
      </c>
      <c r="H622" s="44" t="s">
        <v>328</v>
      </c>
      <c r="I622" s="45" t="s">
        <v>576</v>
      </c>
      <c r="J622" s="36"/>
      <c r="K622" s="36"/>
      <c r="L622" s="45"/>
      <c r="M622" s="36" t="s">
        <v>521</v>
      </c>
      <c r="N622" s="40" t="n">
        <v>2000</v>
      </c>
      <c r="O622" s="35"/>
      <c r="P622" s="35" t="s">
        <v>265</v>
      </c>
      <c r="Q622" s="35" t="s">
        <v>67</v>
      </c>
      <c r="R622" s="35" t="s">
        <v>68</v>
      </c>
      <c r="S622" s="42" t="n">
        <v>3</v>
      </c>
      <c r="T622" s="35" t="s">
        <v>98</v>
      </c>
      <c r="U622" s="35" t="s">
        <v>204</v>
      </c>
      <c r="V622" s="36" t="s">
        <v>205</v>
      </c>
      <c r="W622" s="36" t="s">
        <v>524</v>
      </c>
      <c r="X622" s="44" t="s">
        <v>341</v>
      </c>
      <c r="Y622" s="41" t="s">
        <v>1967</v>
      </c>
      <c r="Z622" s="47" t="n">
        <v>41025</v>
      </c>
      <c r="AA622" s="35" t="s">
        <v>526</v>
      </c>
    </row>
    <row r="623" customFormat="false" ht="34.5" hidden="false" customHeight="true" outlineLevel="0" collapsed="false">
      <c r="A623" s="34" t="n">
        <v>622</v>
      </c>
      <c r="B623" s="37" t="s">
        <v>303</v>
      </c>
      <c r="C623" s="45" t="s">
        <v>238</v>
      </c>
      <c r="D623" s="43" t="s">
        <v>239</v>
      </c>
      <c r="E623" s="35" t="s">
        <v>268</v>
      </c>
      <c r="F623" s="39" t="s">
        <v>1491</v>
      </c>
      <c r="G623" s="43" t="s">
        <v>1492</v>
      </c>
      <c r="H623" s="44" t="s">
        <v>1493</v>
      </c>
      <c r="I623" s="45" t="s">
        <v>739</v>
      </c>
      <c r="J623" s="36"/>
      <c r="K623" s="36"/>
      <c r="L623" s="45"/>
      <c r="M623" s="36" t="s">
        <v>521</v>
      </c>
      <c r="N623" s="40"/>
      <c r="O623" s="41" t="s">
        <v>569</v>
      </c>
      <c r="P623" s="35" t="s">
        <v>523</v>
      </c>
      <c r="Q623" s="35" t="s">
        <v>189</v>
      </c>
      <c r="R623" s="35" t="s">
        <v>202</v>
      </c>
      <c r="S623" s="42" t="n">
        <v>1</v>
      </c>
      <c r="T623" s="35" t="s">
        <v>127</v>
      </c>
      <c r="U623" s="35" t="s">
        <v>204</v>
      </c>
      <c r="V623" s="36" t="s">
        <v>205</v>
      </c>
      <c r="W623" s="36" t="s">
        <v>524</v>
      </c>
      <c r="X623" s="44" t="s">
        <v>210</v>
      </c>
      <c r="Y623" s="41" t="s">
        <v>1496</v>
      </c>
      <c r="Z623" s="47" t="n">
        <v>39205</v>
      </c>
      <c r="AA623" s="35" t="s">
        <v>526</v>
      </c>
    </row>
    <row r="624" customFormat="false" ht="34.5" hidden="false" customHeight="true" outlineLevel="0" collapsed="false">
      <c r="A624" s="34" t="n">
        <v>623</v>
      </c>
      <c r="B624" s="37" t="s">
        <v>303</v>
      </c>
      <c r="C624" s="45" t="s">
        <v>238</v>
      </c>
      <c r="D624" s="43" t="s">
        <v>239</v>
      </c>
      <c r="E624" s="35" t="s">
        <v>268</v>
      </c>
      <c r="F624" s="39" t="s">
        <v>1968</v>
      </c>
      <c r="G624" s="43" t="s">
        <v>1942</v>
      </c>
      <c r="H624" s="44" t="s">
        <v>328</v>
      </c>
      <c r="I624" s="45" t="s">
        <v>576</v>
      </c>
      <c r="J624" s="36"/>
      <c r="K624" s="36"/>
      <c r="L624" s="45"/>
      <c r="M624" s="36" t="s">
        <v>521</v>
      </c>
      <c r="N624" s="40" t="n">
        <v>2000</v>
      </c>
      <c r="O624" s="35"/>
      <c r="P624" s="35" t="s">
        <v>265</v>
      </c>
      <c r="Q624" s="35" t="s">
        <v>67</v>
      </c>
      <c r="R624" s="35" t="s">
        <v>68</v>
      </c>
      <c r="S624" s="42" t="n">
        <v>3</v>
      </c>
      <c r="T624" s="35" t="s">
        <v>98</v>
      </c>
      <c r="U624" s="35" t="s">
        <v>204</v>
      </c>
      <c r="V624" s="36" t="s">
        <v>205</v>
      </c>
      <c r="W624" s="36" t="s">
        <v>524</v>
      </c>
      <c r="X624" s="44" t="s">
        <v>553</v>
      </c>
      <c r="Y624" s="41" t="s">
        <v>1969</v>
      </c>
      <c r="Z624" s="47" t="n">
        <v>35872</v>
      </c>
      <c r="AA624" s="35" t="s">
        <v>526</v>
      </c>
    </row>
    <row r="625" customFormat="false" ht="34.5" hidden="false" customHeight="true" outlineLevel="0" collapsed="false">
      <c r="A625" s="34" t="n">
        <v>624</v>
      </c>
      <c r="B625" s="37" t="s">
        <v>303</v>
      </c>
      <c r="C625" s="45" t="s">
        <v>238</v>
      </c>
      <c r="D625" s="43" t="s">
        <v>239</v>
      </c>
      <c r="E625" s="35" t="s">
        <v>268</v>
      </c>
      <c r="F625" s="39" t="s">
        <v>1970</v>
      </c>
      <c r="G625" s="43" t="s">
        <v>1912</v>
      </c>
      <c r="H625" s="44" t="s">
        <v>1913</v>
      </c>
      <c r="I625" s="45" t="s">
        <v>576</v>
      </c>
      <c r="J625" s="36"/>
      <c r="K625" s="36"/>
      <c r="L625" s="45"/>
      <c r="M625" s="36" t="s">
        <v>521</v>
      </c>
      <c r="N625" s="40" t="n">
        <v>2000</v>
      </c>
      <c r="O625" s="35"/>
      <c r="P625" s="35" t="s">
        <v>265</v>
      </c>
      <c r="Q625" s="35" t="s">
        <v>67</v>
      </c>
      <c r="R625" s="35" t="s">
        <v>68</v>
      </c>
      <c r="S625" s="42" t="n">
        <v>3</v>
      </c>
      <c r="T625" s="35" t="s">
        <v>64</v>
      </c>
      <c r="U625" s="35" t="s">
        <v>537</v>
      </c>
      <c r="V625" s="36" t="s">
        <v>205</v>
      </c>
      <c r="W625" s="36" t="s">
        <v>524</v>
      </c>
      <c r="X625" s="43" t="s">
        <v>861</v>
      </c>
      <c r="Y625" s="41" t="s">
        <v>1971</v>
      </c>
      <c r="Z625" s="47" t="n">
        <v>42285</v>
      </c>
      <c r="AA625" s="35" t="s">
        <v>526</v>
      </c>
    </row>
    <row r="626" customFormat="false" ht="34.5" hidden="false" customHeight="true" outlineLevel="0" collapsed="false">
      <c r="A626" s="34" t="n">
        <v>625</v>
      </c>
      <c r="B626" s="37" t="s">
        <v>303</v>
      </c>
      <c r="C626" s="45" t="s">
        <v>238</v>
      </c>
      <c r="D626" s="43" t="s">
        <v>239</v>
      </c>
      <c r="E626" s="35" t="s">
        <v>268</v>
      </c>
      <c r="F626" s="39" t="s">
        <v>1134</v>
      </c>
      <c r="G626" s="43" t="s">
        <v>1132</v>
      </c>
      <c r="H626" s="44" t="s">
        <v>328</v>
      </c>
      <c r="I626" s="45" t="s">
        <v>679</v>
      </c>
      <c r="J626" s="36"/>
      <c r="K626" s="36"/>
      <c r="L626" s="45"/>
      <c r="M626" s="36" t="s">
        <v>521</v>
      </c>
      <c r="N626" s="40" t="n">
        <v>4000</v>
      </c>
      <c r="O626" s="35"/>
      <c r="P626" s="35" t="s">
        <v>265</v>
      </c>
      <c r="Q626" s="35" t="s">
        <v>67</v>
      </c>
      <c r="R626" s="35" t="s">
        <v>144</v>
      </c>
      <c r="S626" s="42" t="n">
        <v>2</v>
      </c>
      <c r="T626" s="35" t="s">
        <v>784</v>
      </c>
      <c r="U626" s="35" t="s">
        <v>537</v>
      </c>
      <c r="V626" s="36" t="s">
        <v>205</v>
      </c>
      <c r="W626" s="36" t="s">
        <v>524</v>
      </c>
      <c r="X626" s="44" t="s">
        <v>856</v>
      </c>
      <c r="Y626" s="41" t="s">
        <v>1136</v>
      </c>
      <c r="Z626" s="47" t="n">
        <v>44531</v>
      </c>
      <c r="AA626" s="35" t="s">
        <v>526</v>
      </c>
    </row>
    <row r="627" customFormat="false" ht="34.5" hidden="false" customHeight="true" outlineLevel="0" collapsed="false">
      <c r="A627" s="34" t="n">
        <v>626</v>
      </c>
      <c r="B627" s="37" t="s">
        <v>303</v>
      </c>
      <c r="C627" s="45" t="s">
        <v>238</v>
      </c>
      <c r="D627" s="43" t="s">
        <v>239</v>
      </c>
      <c r="E627" s="35" t="s">
        <v>268</v>
      </c>
      <c r="F627" s="39" t="s">
        <v>1134</v>
      </c>
      <c r="G627" s="43" t="s">
        <v>1132</v>
      </c>
      <c r="H627" s="44" t="s">
        <v>328</v>
      </c>
      <c r="I627" s="45" t="s">
        <v>679</v>
      </c>
      <c r="J627" s="36"/>
      <c r="K627" s="36"/>
      <c r="L627" s="45"/>
      <c r="M627" s="36" t="s">
        <v>521</v>
      </c>
      <c r="N627" s="40" t="n">
        <v>4000</v>
      </c>
      <c r="O627" s="35"/>
      <c r="P627" s="35" t="s">
        <v>265</v>
      </c>
      <c r="Q627" s="35" t="s">
        <v>67</v>
      </c>
      <c r="R627" s="35" t="s">
        <v>144</v>
      </c>
      <c r="S627" s="42" t="n">
        <v>2</v>
      </c>
      <c r="T627" s="35" t="s">
        <v>784</v>
      </c>
      <c r="U627" s="35" t="s">
        <v>537</v>
      </c>
      <c r="V627" s="36" t="s">
        <v>205</v>
      </c>
      <c r="W627" s="36" t="s">
        <v>826</v>
      </c>
      <c r="X627" s="44" t="s">
        <v>856</v>
      </c>
      <c r="Y627" s="41" t="s">
        <v>1135</v>
      </c>
      <c r="Z627" s="47" t="n">
        <v>40064</v>
      </c>
      <c r="AA627" s="35" t="s">
        <v>526</v>
      </c>
    </row>
    <row r="628" customFormat="false" ht="34.5" hidden="false" customHeight="true" outlineLevel="0" collapsed="false">
      <c r="A628" s="34" t="n">
        <v>627</v>
      </c>
      <c r="B628" s="37" t="s">
        <v>303</v>
      </c>
      <c r="C628" s="45" t="s">
        <v>238</v>
      </c>
      <c r="D628" s="43" t="s">
        <v>239</v>
      </c>
      <c r="E628" s="35" t="s">
        <v>268</v>
      </c>
      <c r="F628" s="39" t="s">
        <v>1972</v>
      </c>
      <c r="G628" s="43" t="s">
        <v>1973</v>
      </c>
      <c r="H628" s="44" t="s">
        <v>328</v>
      </c>
      <c r="I628" s="45" t="s">
        <v>964</v>
      </c>
      <c r="J628" s="36"/>
      <c r="K628" s="36"/>
      <c r="L628" s="45"/>
      <c r="M628" s="36" t="s">
        <v>521</v>
      </c>
      <c r="N628" s="40" t="n">
        <v>5000</v>
      </c>
      <c r="O628" s="35"/>
      <c r="P628" s="35" t="s">
        <v>265</v>
      </c>
      <c r="Q628" s="35" t="s">
        <v>67</v>
      </c>
      <c r="R628" s="35" t="s">
        <v>144</v>
      </c>
      <c r="S628" s="42" t="n">
        <v>2</v>
      </c>
      <c r="T628" s="35" t="s">
        <v>1779</v>
      </c>
      <c r="U628" s="35" t="s">
        <v>204</v>
      </c>
      <c r="V628" s="36" t="s">
        <v>205</v>
      </c>
      <c r="W628" s="36" t="s">
        <v>524</v>
      </c>
      <c r="X628" s="43" t="s">
        <v>861</v>
      </c>
      <c r="Y628" s="41" t="s">
        <v>1974</v>
      </c>
      <c r="Z628" s="47" t="n">
        <v>41227</v>
      </c>
      <c r="AA628" s="35" t="s">
        <v>526</v>
      </c>
    </row>
    <row r="629" customFormat="false" ht="34.5" hidden="false" customHeight="true" outlineLevel="0" collapsed="false">
      <c r="A629" s="34" t="n">
        <v>628</v>
      </c>
      <c r="B629" s="37" t="s">
        <v>303</v>
      </c>
      <c r="C629" s="45" t="s">
        <v>238</v>
      </c>
      <c r="D629" s="43" t="s">
        <v>239</v>
      </c>
      <c r="E629" s="35" t="s">
        <v>211</v>
      </c>
      <c r="F629" s="39" t="s">
        <v>1497</v>
      </c>
      <c r="G629" s="43" t="s">
        <v>1477</v>
      </c>
      <c r="H629" s="44" t="s">
        <v>328</v>
      </c>
      <c r="I629" s="45" t="s">
        <v>688</v>
      </c>
      <c r="J629" s="36"/>
      <c r="K629" s="36"/>
      <c r="L629" s="45"/>
      <c r="M629" s="36" t="s">
        <v>521</v>
      </c>
      <c r="N629" s="40" t="n">
        <v>2000</v>
      </c>
      <c r="O629" s="35"/>
      <c r="P629" s="35" t="s">
        <v>265</v>
      </c>
      <c r="Q629" s="35" t="s">
        <v>67</v>
      </c>
      <c r="R629" s="35" t="s">
        <v>91</v>
      </c>
      <c r="S629" s="42" t="n">
        <v>3</v>
      </c>
      <c r="T629" s="35" t="s">
        <v>64</v>
      </c>
      <c r="U629" s="35" t="s">
        <v>537</v>
      </c>
      <c r="V629" s="36" t="s">
        <v>205</v>
      </c>
      <c r="W629" s="36" t="s">
        <v>524</v>
      </c>
      <c r="X629" s="43" t="s">
        <v>1380</v>
      </c>
      <c r="Y629" s="41" t="s">
        <v>1498</v>
      </c>
      <c r="Z629" s="47" t="n">
        <v>44195</v>
      </c>
      <c r="AA629" s="35" t="s">
        <v>526</v>
      </c>
    </row>
    <row r="630" customFormat="false" ht="34.5" hidden="false" customHeight="true" outlineLevel="0" collapsed="false">
      <c r="A630" s="34" t="n">
        <v>629</v>
      </c>
      <c r="B630" s="37" t="s">
        <v>303</v>
      </c>
      <c r="C630" s="45" t="s">
        <v>238</v>
      </c>
      <c r="D630" s="43" t="s">
        <v>239</v>
      </c>
      <c r="E630" s="35" t="s">
        <v>268</v>
      </c>
      <c r="F630" s="39" t="s">
        <v>1975</v>
      </c>
      <c r="G630" s="43" t="s">
        <v>1942</v>
      </c>
      <c r="H630" s="44" t="s">
        <v>328</v>
      </c>
      <c r="I630" s="45" t="s">
        <v>576</v>
      </c>
      <c r="J630" s="36"/>
      <c r="K630" s="36"/>
      <c r="L630" s="45"/>
      <c r="M630" s="36" t="s">
        <v>521</v>
      </c>
      <c r="N630" s="40" t="n">
        <v>2000</v>
      </c>
      <c r="O630" s="35"/>
      <c r="P630" s="35" t="s">
        <v>265</v>
      </c>
      <c r="Q630" s="35" t="s">
        <v>67</v>
      </c>
      <c r="R630" s="35" t="s">
        <v>68</v>
      </c>
      <c r="S630" s="42" t="n">
        <v>3</v>
      </c>
      <c r="T630" s="35" t="s">
        <v>98</v>
      </c>
      <c r="U630" s="35" t="s">
        <v>204</v>
      </c>
      <c r="V630" s="36" t="s">
        <v>205</v>
      </c>
      <c r="W630" s="36" t="s">
        <v>524</v>
      </c>
      <c r="X630" s="44" t="s">
        <v>221</v>
      </c>
      <c r="Y630" s="41" t="s">
        <v>1976</v>
      </c>
      <c r="Z630" s="47" t="n">
        <v>41247</v>
      </c>
      <c r="AA630" s="35" t="s">
        <v>526</v>
      </c>
    </row>
    <row r="631" customFormat="false" ht="34.5" hidden="false" customHeight="true" outlineLevel="0" collapsed="false">
      <c r="A631" s="34" t="n">
        <v>630</v>
      </c>
      <c r="B631" s="37" t="s">
        <v>303</v>
      </c>
      <c r="C631" s="45" t="s">
        <v>238</v>
      </c>
      <c r="D631" s="43" t="s">
        <v>239</v>
      </c>
      <c r="E631" s="35" t="s">
        <v>268</v>
      </c>
      <c r="F631" s="39" t="s">
        <v>1977</v>
      </c>
      <c r="G631" s="43" t="s">
        <v>1942</v>
      </c>
      <c r="H631" s="44" t="s">
        <v>328</v>
      </c>
      <c r="I631" s="45" t="s">
        <v>576</v>
      </c>
      <c r="J631" s="36"/>
      <c r="K631" s="36"/>
      <c r="L631" s="45"/>
      <c r="M631" s="36" t="s">
        <v>521</v>
      </c>
      <c r="N631" s="40" t="n">
        <v>2000</v>
      </c>
      <c r="O631" s="35"/>
      <c r="P631" s="35" t="s">
        <v>265</v>
      </c>
      <c r="Q631" s="35" t="s">
        <v>67</v>
      </c>
      <c r="R631" s="35" t="s">
        <v>68</v>
      </c>
      <c r="S631" s="42" t="n">
        <v>3</v>
      </c>
      <c r="T631" s="35" t="s">
        <v>98</v>
      </c>
      <c r="U631" s="35" t="s">
        <v>204</v>
      </c>
      <c r="V631" s="36" t="s">
        <v>205</v>
      </c>
      <c r="W631" s="36" t="s">
        <v>524</v>
      </c>
      <c r="X631" s="43" t="s">
        <v>900</v>
      </c>
      <c r="Y631" s="41" t="s">
        <v>1978</v>
      </c>
      <c r="Z631" s="47" t="n">
        <v>41326</v>
      </c>
      <c r="AA631" s="35" t="s">
        <v>526</v>
      </c>
    </row>
    <row r="632" customFormat="false" ht="34.5" hidden="false" customHeight="true" outlineLevel="0" collapsed="false">
      <c r="A632" s="34" t="n">
        <v>631</v>
      </c>
      <c r="B632" s="37" t="s">
        <v>303</v>
      </c>
      <c r="C632" s="45" t="s">
        <v>238</v>
      </c>
      <c r="D632" s="43" t="s">
        <v>239</v>
      </c>
      <c r="E632" s="35" t="s">
        <v>268</v>
      </c>
      <c r="F632" s="39" t="s">
        <v>1499</v>
      </c>
      <c r="G632" s="43" t="s">
        <v>1477</v>
      </c>
      <c r="H632" s="44" t="s">
        <v>328</v>
      </c>
      <c r="I632" s="45" t="s">
        <v>688</v>
      </c>
      <c r="J632" s="36"/>
      <c r="K632" s="36"/>
      <c r="L632" s="45"/>
      <c r="M632" s="36" t="s">
        <v>521</v>
      </c>
      <c r="N632" s="40" t="n">
        <v>2000</v>
      </c>
      <c r="O632" s="35"/>
      <c r="P632" s="35" t="s">
        <v>265</v>
      </c>
      <c r="Q632" s="35" t="s">
        <v>67</v>
      </c>
      <c r="R632" s="35" t="s">
        <v>91</v>
      </c>
      <c r="S632" s="42" t="n">
        <v>3</v>
      </c>
      <c r="T632" s="35" t="s">
        <v>64</v>
      </c>
      <c r="U632" s="35" t="s">
        <v>537</v>
      </c>
      <c r="V632" s="36" t="s">
        <v>205</v>
      </c>
      <c r="W632" s="36" t="s">
        <v>524</v>
      </c>
      <c r="X632" s="44" t="s">
        <v>221</v>
      </c>
      <c r="Y632" s="41" t="s">
        <v>1500</v>
      </c>
      <c r="Z632" s="47" t="n">
        <v>41247</v>
      </c>
      <c r="AA632" s="35" t="s">
        <v>526</v>
      </c>
    </row>
    <row r="633" customFormat="false" ht="34.5" hidden="false" customHeight="true" outlineLevel="0" collapsed="false">
      <c r="A633" s="34" t="n">
        <v>632</v>
      </c>
      <c r="B633" s="37" t="s">
        <v>303</v>
      </c>
      <c r="C633" s="45" t="s">
        <v>238</v>
      </c>
      <c r="D633" s="43" t="s">
        <v>239</v>
      </c>
      <c r="E633" s="35" t="s">
        <v>268</v>
      </c>
      <c r="F633" s="39" t="s">
        <v>1501</v>
      </c>
      <c r="G633" s="43" t="s">
        <v>1502</v>
      </c>
      <c r="H633" s="44" t="s">
        <v>1126</v>
      </c>
      <c r="I633" s="45" t="s">
        <v>679</v>
      </c>
      <c r="J633" s="36"/>
      <c r="K633" s="36"/>
      <c r="L633" s="45"/>
      <c r="M633" s="36" t="s">
        <v>521</v>
      </c>
      <c r="N633" s="40" t="n">
        <v>2000</v>
      </c>
      <c r="O633" s="35"/>
      <c r="P633" s="35" t="s">
        <v>265</v>
      </c>
      <c r="Q633" s="35" t="s">
        <v>67</v>
      </c>
      <c r="R633" s="35" t="s">
        <v>91</v>
      </c>
      <c r="S633" s="42" t="n">
        <v>3</v>
      </c>
      <c r="T633" s="35" t="s">
        <v>90</v>
      </c>
      <c r="U633" s="35" t="s">
        <v>204</v>
      </c>
      <c r="V633" s="36" t="s">
        <v>205</v>
      </c>
      <c r="W633" s="36" t="s">
        <v>826</v>
      </c>
      <c r="X633" s="44" t="s">
        <v>230</v>
      </c>
      <c r="Y633" s="41" t="s">
        <v>1504</v>
      </c>
      <c r="Z633" s="47" t="n">
        <v>37636</v>
      </c>
      <c r="AA633" s="35" t="s">
        <v>526</v>
      </c>
    </row>
    <row r="634" customFormat="false" ht="34.5" hidden="false" customHeight="true" outlineLevel="0" collapsed="false">
      <c r="A634" s="34" t="n">
        <v>633</v>
      </c>
      <c r="B634" s="37" t="s">
        <v>303</v>
      </c>
      <c r="C634" s="45" t="s">
        <v>238</v>
      </c>
      <c r="D634" s="43" t="s">
        <v>239</v>
      </c>
      <c r="E634" s="35" t="s">
        <v>268</v>
      </c>
      <c r="F634" s="39" t="s">
        <v>1501</v>
      </c>
      <c r="G634" s="43" t="s">
        <v>1502</v>
      </c>
      <c r="H634" s="44" t="s">
        <v>1126</v>
      </c>
      <c r="I634" s="45" t="s">
        <v>679</v>
      </c>
      <c r="J634" s="36"/>
      <c r="K634" s="36"/>
      <c r="L634" s="45"/>
      <c r="M634" s="36" t="s">
        <v>521</v>
      </c>
      <c r="N634" s="40" t="n">
        <v>100</v>
      </c>
      <c r="O634" s="41" t="s">
        <v>1649</v>
      </c>
      <c r="P634" s="35" t="s">
        <v>523</v>
      </c>
      <c r="Q634" s="35" t="s">
        <v>1650</v>
      </c>
      <c r="R634" s="35" t="s">
        <v>202</v>
      </c>
      <c r="S634" s="42" t="n">
        <v>1</v>
      </c>
      <c r="T634" s="35" t="s">
        <v>90</v>
      </c>
      <c r="U634" s="35" t="s">
        <v>204</v>
      </c>
      <c r="V634" s="36" t="s">
        <v>205</v>
      </c>
      <c r="W634" s="36" t="s">
        <v>826</v>
      </c>
      <c r="X634" s="44" t="s">
        <v>230</v>
      </c>
      <c r="Y634" s="41" t="s">
        <v>1504</v>
      </c>
      <c r="Z634" s="47" t="n">
        <v>37636</v>
      </c>
      <c r="AA634" s="35" t="s">
        <v>526</v>
      </c>
    </row>
    <row r="635" customFormat="false" ht="34.5" hidden="false" customHeight="true" outlineLevel="0" collapsed="false">
      <c r="A635" s="34" t="n">
        <v>634</v>
      </c>
      <c r="B635" s="37" t="s">
        <v>303</v>
      </c>
      <c r="C635" s="45" t="s">
        <v>238</v>
      </c>
      <c r="D635" s="43" t="s">
        <v>239</v>
      </c>
      <c r="E635" s="35" t="s">
        <v>268</v>
      </c>
      <c r="F635" s="39" t="s">
        <v>1979</v>
      </c>
      <c r="G635" s="43" t="s">
        <v>1912</v>
      </c>
      <c r="H635" s="44" t="s">
        <v>1913</v>
      </c>
      <c r="I635" s="45" t="s">
        <v>576</v>
      </c>
      <c r="J635" s="36"/>
      <c r="K635" s="36"/>
      <c r="L635" s="45"/>
      <c r="M635" s="36" t="s">
        <v>521</v>
      </c>
      <c r="N635" s="40" t="n">
        <v>2000</v>
      </c>
      <c r="O635" s="35"/>
      <c r="P635" s="35" t="s">
        <v>265</v>
      </c>
      <c r="Q635" s="35" t="s">
        <v>67</v>
      </c>
      <c r="R635" s="35" t="s">
        <v>68</v>
      </c>
      <c r="S635" s="42" t="n">
        <v>3</v>
      </c>
      <c r="T635" s="35" t="s">
        <v>64</v>
      </c>
      <c r="U635" s="35" t="s">
        <v>204</v>
      </c>
      <c r="V635" s="36" t="s">
        <v>205</v>
      </c>
      <c r="W635" s="36" t="s">
        <v>524</v>
      </c>
      <c r="X635" s="43" t="s">
        <v>872</v>
      </c>
      <c r="Y635" s="41" t="s">
        <v>1980</v>
      </c>
      <c r="Z635" s="47" t="n">
        <v>43251</v>
      </c>
      <c r="AA635" s="35" t="s">
        <v>526</v>
      </c>
    </row>
    <row r="636" customFormat="false" ht="34.5" hidden="false" customHeight="true" outlineLevel="0" collapsed="false">
      <c r="A636" s="34" t="n">
        <v>635</v>
      </c>
      <c r="B636" s="37" t="s">
        <v>303</v>
      </c>
      <c r="C636" s="45" t="s">
        <v>238</v>
      </c>
      <c r="D636" s="43" t="s">
        <v>239</v>
      </c>
      <c r="E636" s="35" t="s">
        <v>268</v>
      </c>
      <c r="F636" s="39" t="s">
        <v>1505</v>
      </c>
      <c r="G636" s="43" t="s">
        <v>1942</v>
      </c>
      <c r="H636" s="44" t="s">
        <v>328</v>
      </c>
      <c r="I636" s="45" t="s">
        <v>576</v>
      </c>
      <c r="J636" s="36"/>
      <c r="K636" s="36"/>
      <c r="L636" s="45"/>
      <c r="M636" s="36" t="s">
        <v>521</v>
      </c>
      <c r="N636" s="40" t="n">
        <v>2000</v>
      </c>
      <c r="O636" s="35"/>
      <c r="P636" s="35" t="s">
        <v>265</v>
      </c>
      <c r="Q636" s="35" t="s">
        <v>67</v>
      </c>
      <c r="R636" s="35" t="s">
        <v>68</v>
      </c>
      <c r="S636" s="42" t="n">
        <v>3</v>
      </c>
      <c r="T636" s="35" t="s">
        <v>98</v>
      </c>
      <c r="U636" s="35" t="s">
        <v>204</v>
      </c>
      <c r="V636" s="36" t="s">
        <v>205</v>
      </c>
      <c r="W636" s="36" t="s">
        <v>524</v>
      </c>
      <c r="X636" s="43" t="s">
        <v>895</v>
      </c>
      <c r="Y636" s="41" t="s">
        <v>1981</v>
      </c>
      <c r="Z636" s="47" t="n">
        <v>41326</v>
      </c>
      <c r="AA636" s="35" t="s">
        <v>526</v>
      </c>
    </row>
    <row r="637" customFormat="false" ht="34.5" hidden="false" customHeight="true" outlineLevel="0" collapsed="false">
      <c r="A637" s="34" t="n">
        <v>636</v>
      </c>
      <c r="B637" s="37" t="s">
        <v>303</v>
      </c>
      <c r="C637" s="45" t="s">
        <v>238</v>
      </c>
      <c r="D637" s="43" t="s">
        <v>239</v>
      </c>
      <c r="E637" s="35" t="s">
        <v>211</v>
      </c>
      <c r="F637" s="39" t="s">
        <v>1505</v>
      </c>
      <c r="G637" s="43" t="s">
        <v>1477</v>
      </c>
      <c r="H637" s="44" t="s">
        <v>328</v>
      </c>
      <c r="I637" s="45" t="s">
        <v>688</v>
      </c>
      <c r="J637" s="36"/>
      <c r="K637" s="36"/>
      <c r="L637" s="45"/>
      <c r="M637" s="36" t="s">
        <v>521</v>
      </c>
      <c r="N637" s="40" t="n">
        <v>2000</v>
      </c>
      <c r="O637" s="35"/>
      <c r="P637" s="35" t="s">
        <v>265</v>
      </c>
      <c r="Q637" s="35" t="s">
        <v>67</v>
      </c>
      <c r="R637" s="35" t="s">
        <v>91</v>
      </c>
      <c r="S637" s="42" t="n">
        <v>3</v>
      </c>
      <c r="T637" s="35" t="s">
        <v>64</v>
      </c>
      <c r="U637" s="35" t="s">
        <v>537</v>
      </c>
      <c r="V637" s="36" t="s">
        <v>205</v>
      </c>
      <c r="W637" s="36" t="s">
        <v>524</v>
      </c>
      <c r="X637" s="43" t="s">
        <v>895</v>
      </c>
      <c r="Y637" s="41" t="s">
        <v>1506</v>
      </c>
      <c r="Z637" s="47" t="n">
        <v>44915</v>
      </c>
      <c r="AA637" s="35" t="s">
        <v>526</v>
      </c>
    </row>
    <row r="638" customFormat="false" ht="34.5" hidden="false" customHeight="true" outlineLevel="0" collapsed="false">
      <c r="A638" s="34" t="n">
        <v>637</v>
      </c>
      <c r="B638" s="37" t="s">
        <v>303</v>
      </c>
      <c r="C638" s="45" t="s">
        <v>238</v>
      </c>
      <c r="D638" s="43" t="s">
        <v>239</v>
      </c>
      <c r="E638" s="35" t="s">
        <v>268</v>
      </c>
      <c r="F638" s="39" t="s">
        <v>1982</v>
      </c>
      <c r="G638" s="43" t="s">
        <v>1983</v>
      </c>
      <c r="H638" s="44" t="s">
        <v>1123</v>
      </c>
      <c r="I638" s="45" t="s">
        <v>1984</v>
      </c>
      <c r="J638" s="36"/>
      <c r="K638" s="36"/>
      <c r="L638" s="45"/>
      <c r="M638" s="36" t="s">
        <v>521</v>
      </c>
      <c r="N638" s="40"/>
      <c r="O638" s="41" t="s">
        <v>1838</v>
      </c>
      <c r="P638" s="35" t="s">
        <v>265</v>
      </c>
      <c r="Q638" s="35" t="s">
        <v>1839</v>
      </c>
      <c r="R638" s="35" t="s">
        <v>68</v>
      </c>
      <c r="S638" s="42" t="n">
        <v>2</v>
      </c>
      <c r="T638" s="35" t="s">
        <v>1840</v>
      </c>
      <c r="U638" s="35" t="s">
        <v>204</v>
      </c>
      <c r="V638" s="36" t="s">
        <v>205</v>
      </c>
      <c r="W638" s="36" t="s">
        <v>524</v>
      </c>
      <c r="X638" s="44" t="s">
        <v>210</v>
      </c>
      <c r="Y638" s="41" t="s">
        <v>1985</v>
      </c>
      <c r="Z638" s="47" t="n">
        <v>43350</v>
      </c>
      <c r="AA638" s="35" t="s">
        <v>526</v>
      </c>
    </row>
    <row r="639" customFormat="false" ht="64.5" hidden="false" customHeight="true" outlineLevel="0" collapsed="false">
      <c r="A639" s="34" t="n">
        <v>638</v>
      </c>
      <c r="B639" s="37" t="s">
        <v>303</v>
      </c>
      <c r="C639" s="45" t="s">
        <v>1137</v>
      </c>
      <c r="D639" s="43" t="s">
        <v>1138</v>
      </c>
      <c r="E639" s="35" t="s">
        <v>268</v>
      </c>
      <c r="F639" s="39" t="s">
        <v>1144</v>
      </c>
      <c r="G639" s="43" t="s">
        <v>1145</v>
      </c>
      <c r="H639" s="44" t="s">
        <v>1141</v>
      </c>
      <c r="I639" s="45" t="s">
        <v>1142</v>
      </c>
      <c r="J639" s="36"/>
      <c r="K639" s="36"/>
      <c r="L639" s="45"/>
      <c r="M639" s="36" t="s">
        <v>521</v>
      </c>
      <c r="N639" s="40" t="n">
        <v>2000</v>
      </c>
      <c r="O639" s="35"/>
      <c r="P639" s="35" t="s">
        <v>265</v>
      </c>
      <c r="Q639" s="35" t="s">
        <v>67</v>
      </c>
      <c r="R639" s="35" t="s">
        <v>144</v>
      </c>
      <c r="S639" s="42" t="n">
        <v>2</v>
      </c>
      <c r="T639" s="35" t="s">
        <v>64</v>
      </c>
      <c r="U639" s="35" t="s">
        <v>204</v>
      </c>
      <c r="V639" s="36" t="s">
        <v>205</v>
      </c>
      <c r="W639" s="36" t="s">
        <v>524</v>
      </c>
      <c r="X639" s="43" t="s">
        <v>861</v>
      </c>
      <c r="Y639" s="41" t="s">
        <v>1146</v>
      </c>
      <c r="Z639" s="47" t="n">
        <v>41841</v>
      </c>
      <c r="AA639" s="35" t="s">
        <v>526</v>
      </c>
    </row>
    <row r="640" customFormat="false" ht="64.5" hidden="false" customHeight="true" outlineLevel="0" collapsed="false">
      <c r="A640" s="34" t="n">
        <v>639</v>
      </c>
      <c r="B640" s="37" t="s">
        <v>303</v>
      </c>
      <c r="C640" s="45" t="s">
        <v>1137</v>
      </c>
      <c r="D640" s="43" t="s">
        <v>1138</v>
      </c>
      <c r="E640" s="35" t="s">
        <v>268</v>
      </c>
      <c r="F640" s="39" t="s">
        <v>1147</v>
      </c>
      <c r="G640" s="43" t="s">
        <v>1148</v>
      </c>
      <c r="H640" s="44" t="s">
        <v>1152</v>
      </c>
      <c r="I640" s="45" t="s">
        <v>1150</v>
      </c>
      <c r="J640" s="36"/>
      <c r="K640" s="36"/>
      <c r="L640" s="45"/>
      <c r="M640" s="36" t="s">
        <v>521</v>
      </c>
      <c r="N640" s="40" t="n">
        <v>2000</v>
      </c>
      <c r="O640" s="35"/>
      <c r="P640" s="35" t="s">
        <v>265</v>
      </c>
      <c r="Q640" s="35" t="s">
        <v>67</v>
      </c>
      <c r="R640" s="35" t="s">
        <v>144</v>
      </c>
      <c r="S640" s="42" t="n">
        <v>2</v>
      </c>
      <c r="T640" s="35" t="s">
        <v>246</v>
      </c>
      <c r="U640" s="35" t="s">
        <v>537</v>
      </c>
      <c r="V640" s="36" t="s">
        <v>205</v>
      </c>
      <c r="W640" s="36" t="s">
        <v>826</v>
      </c>
      <c r="X640" s="43" t="s">
        <v>1153</v>
      </c>
      <c r="Y640" s="41" t="s">
        <v>1154</v>
      </c>
      <c r="Z640" s="47" t="n">
        <v>41011</v>
      </c>
      <c r="AA640" s="35" t="s">
        <v>526</v>
      </c>
    </row>
    <row r="641" customFormat="false" ht="64.5" hidden="false" customHeight="true" outlineLevel="0" collapsed="false">
      <c r="A641" s="34" t="n">
        <v>640</v>
      </c>
      <c r="B641" s="37" t="s">
        <v>303</v>
      </c>
      <c r="C641" s="45" t="s">
        <v>1137</v>
      </c>
      <c r="D641" s="43" t="s">
        <v>1138</v>
      </c>
      <c r="E641" s="35" t="s">
        <v>268</v>
      </c>
      <c r="F641" s="39" t="s">
        <v>1147</v>
      </c>
      <c r="G641" s="43" t="s">
        <v>1148</v>
      </c>
      <c r="H641" s="44" t="s">
        <v>1152</v>
      </c>
      <c r="I641" s="45" t="s">
        <v>1150</v>
      </c>
      <c r="J641" s="36"/>
      <c r="K641" s="36"/>
      <c r="L641" s="45"/>
      <c r="M641" s="36" t="s">
        <v>521</v>
      </c>
      <c r="N641" s="40" t="n">
        <v>2000</v>
      </c>
      <c r="O641" s="35"/>
      <c r="P641" s="35" t="s">
        <v>265</v>
      </c>
      <c r="Q641" s="35" t="s">
        <v>67</v>
      </c>
      <c r="R641" s="35" t="s">
        <v>144</v>
      </c>
      <c r="S641" s="42" t="n">
        <v>2</v>
      </c>
      <c r="T641" s="35" t="s">
        <v>246</v>
      </c>
      <c r="U641" s="35" t="s">
        <v>537</v>
      </c>
      <c r="V641" s="36" t="s">
        <v>205</v>
      </c>
      <c r="W641" s="36" t="s">
        <v>826</v>
      </c>
      <c r="X641" s="43" t="s">
        <v>853</v>
      </c>
      <c r="Y641" s="41" t="s">
        <v>1155</v>
      </c>
      <c r="Z641" s="47" t="n">
        <v>42285</v>
      </c>
      <c r="AA641" s="35" t="s">
        <v>526</v>
      </c>
    </row>
    <row r="642" customFormat="false" ht="64.5" hidden="false" customHeight="true" outlineLevel="0" collapsed="false">
      <c r="A642" s="34" t="n">
        <v>641</v>
      </c>
      <c r="B642" s="37" t="s">
        <v>303</v>
      </c>
      <c r="C642" s="45" t="s">
        <v>1137</v>
      </c>
      <c r="D642" s="43" t="s">
        <v>1138</v>
      </c>
      <c r="E642" s="35" t="s">
        <v>268</v>
      </c>
      <c r="F642" s="39" t="s">
        <v>1147</v>
      </c>
      <c r="G642" s="43" t="s">
        <v>1148</v>
      </c>
      <c r="H642" s="44" t="s">
        <v>1149</v>
      </c>
      <c r="I642" s="45" t="s">
        <v>1150</v>
      </c>
      <c r="J642" s="36"/>
      <c r="K642" s="36"/>
      <c r="L642" s="45"/>
      <c r="M642" s="36" t="s">
        <v>521</v>
      </c>
      <c r="N642" s="40" t="n">
        <v>2000</v>
      </c>
      <c r="O642" s="35"/>
      <c r="P642" s="35" t="s">
        <v>265</v>
      </c>
      <c r="Q642" s="35" t="s">
        <v>67</v>
      </c>
      <c r="R642" s="35" t="s">
        <v>144</v>
      </c>
      <c r="S642" s="42" t="n">
        <v>2</v>
      </c>
      <c r="T642" s="35" t="s">
        <v>246</v>
      </c>
      <c r="U642" s="35" t="s">
        <v>537</v>
      </c>
      <c r="V642" s="36" t="s">
        <v>205</v>
      </c>
      <c r="W642" s="36" t="s">
        <v>524</v>
      </c>
      <c r="X642" s="43" t="s">
        <v>853</v>
      </c>
      <c r="Y642" s="41" t="s">
        <v>1151</v>
      </c>
      <c r="Z642" s="47" t="n">
        <v>46146</v>
      </c>
      <c r="AA642" s="35" t="s">
        <v>526</v>
      </c>
    </row>
    <row r="643" customFormat="false" ht="64.5" hidden="false" customHeight="true" outlineLevel="0" collapsed="false">
      <c r="A643" s="34" t="n">
        <v>642</v>
      </c>
      <c r="B643" s="37" t="s">
        <v>303</v>
      </c>
      <c r="C643" s="45" t="s">
        <v>1986</v>
      </c>
      <c r="D643" s="43" t="s">
        <v>1987</v>
      </c>
      <c r="E643" s="35" t="s">
        <v>268</v>
      </c>
      <c r="F643" s="39" t="s">
        <v>1988</v>
      </c>
      <c r="G643" s="43" t="s">
        <v>1989</v>
      </c>
      <c r="H643" s="44" t="s">
        <v>1990</v>
      </c>
      <c r="I643" s="45" t="s">
        <v>1991</v>
      </c>
      <c r="J643" s="36"/>
      <c r="K643" s="36"/>
      <c r="L643" s="45"/>
      <c r="M643" s="36" t="s">
        <v>521</v>
      </c>
      <c r="N643" s="40" t="n">
        <v>2000</v>
      </c>
      <c r="O643" s="35"/>
      <c r="P643" s="35" t="s">
        <v>265</v>
      </c>
      <c r="Q643" s="35" t="s">
        <v>67</v>
      </c>
      <c r="R643" s="35" t="s">
        <v>91</v>
      </c>
      <c r="S643" s="42" t="n">
        <v>3</v>
      </c>
      <c r="T643" s="35" t="s">
        <v>64</v>
      </c>
      <c r="U643" s="35" t="s">
        <v>204</v>
      </c>
      <c r="V643" s="36" t="s">
        <v>205</v>
      </c>
      <c r="W643" s="36" t="s">
        <v>524</v>
      </c>
      <c r="X643" s="44" t="s">
        <v>553</v>
      </c>
      <c r="Y643" s="41" t="s">
        <v>1992</v>
      </c>
      <c r="Z643" s="47" t="n">
        <v>39538</v>
      </c>
      <c r="AA643" s="35" t="s">
        <v>526</v>
      </c>
    </row>
    <row r="644" customFormat="false" ht="64.5" hidden="false" customHeight="true" outlineLevel="0" collapsed="false">
      <c r="A644" s="34" t="n">
        <v>643</v>
      </c>
      <c r="B644" s="37" t="s">
        <v>303</v>
      </c>
      <c r="C644" s="45" t="s">
        <v>1986</v>
      </c>
      <c r="D644" s="43" t="s">
        <v>1987</v>
      </c>
      <c r="E644" s="35" t="s">
        <v>268</v>
      </c>
      <c r="F644" s="39" t="s">
        <v>1993</v>
      </c>
      <c r="G644" s="43" t="s">
        <v>1994</v>
      </c>
      <c r="H644" s="44" t="s">
        <v>1995</v>
      </c>
      <c r="I644" s="45" t="s">
        <v>1996</v>
      </c>
      <c r="J644" s="36"/>
      <c r="K644" s="36"/>
      <c r="L644" s="45"/>
      <c r="M644" s="36" t="s">
        <v>521</v>
      </c>
      <c r="N644" s="40" t="n">
        <v>1000</v>
      </c>
      <c r="O644" s="35"/>
      <c r="P644" s="35" t="s">
        <v>265</v>
      </c>
      <c r="Q644" s="35" t="s">
        <v>67</v>
      </c>
      <c r="R644" s="35" t="s">
        <v>113</v>
      </c>
      <c r="S644" s="42" t="n">
        <v>2</v>
      </c>
      <c r="T644" s="35" t="s">
        <v>64</v>
      </c>
      <c r="U644" s="35" t="s">
        <v>204</v>
      </c>
      <c r="V644" s="36" t="s">
        <v>205</v>
      </c>
      <c r="W644" s="36" t="s">
        <v>524</v>
      </c>
      <c r="X644" s="44" t="s">
        <v>221</v>
      </c>
      <c r="Y644" s="41" t="s">
        <v>1997</v>
      </c>
      <c r="Z644" s="47" t="n">
        <v>41705</v>
      </c>
      <c r="AA644" s="35" t="s">
        <v>526</v>
      </c>
    </row>
    <row r="645" customFormat="false" ht="64.5" hidden="false" customHeight="true" outlineLevel="0" collapsed="false">
      <c r="A645" s="34" t="n">
        <v>644</v>
      </c>
      <c r="B645" s="37" t="s">
        <v>303</v>
      </c>
      <c r="C645" s="45" t="s">
        <v>1986</v>
      </c>
      <c r="D645" s="43" t="s">
        <v>1987</v>
      </c>
      <c r="E645" s="35" t="s">
        <v>211</v>
      </c>
      <c r="F645" s="39" t="s">
        <v>1993</v>
      </c>
      <c r="G645" s="43" t="s">
        <v>1994</v>
      </c>
      <c r="H645" s="44" t="s">
        <v>1998</v>
      </c>
      <c r="I645" s="45" t="s">
        <v>1996</v>
      </c>
      <c r="J645" s="36"/>
      <c r="K645" s="36"/>
      <c r="L645" s="45"/>
      <c r="M645" s="36" t="s">
        <v>521</v>
      </c>
      <c r="N645" s="40" t="n">
        <v>1000</v>
      </c>
      <c r="O645" s="35"/>
      <c r="P645" s="35" t="s">
        <v>265</v>
      </c>
      <c r="Q645" s="35" t="s">
        <v>67</v>
      </c>
      <c r="R645" s="35" t="s">
        <v>113</v>
      </c>
      <c r="S645" s="42" t="n">
        <v>2</v>
      </c>
      <c r="T645" s="35" t="s">
        <v>64</v>
      </c>
      <c r="U645" s="35" t="s">
        <v>204</v>
      </c>
      <c r="V645" s="36" t="s">
        <v>205</v>
      </c>
      <c r="W645" s="36" t="s">
        <v>524</v>
      </c>
      <c r="X645" s="44" t="s">
        <v>547</v>
      </c>
      <c r="Y645" s="41" t="s">
        <v>1999</v>
      </c>
      <c r="Z645" s="47" t="n">
        <v>45947</v>
      </c>
      <c r="AA645" s="35" t="s">
        <v>526</v>
      </c>
    </row>
    <row r="646" customFormat="false" ht="64.5" hidden="false" customHeight="true" outlineLevel="0" collapsed="false">
      <c r="A646" s="34" t="n">
        <v>645</v>
      </c>
      <c r="B646" s="37" t="s">
        <v>303</v>
      </c>
      <c r="C646" s="45" t="s">
        <v>2000</v>
      </c>
      <c r="D646" s="43" t="s">
        <v>2001</v>
      </c>
      <c r="E646" s="35" t="s">
        <v>268</v>
      </c>
      <c r="F646" s="39" t="s">
        <v>2002</v>
      </c>
      <c r="G646" s="43" t="s">
        <v>2003</v>
      </c>
      <c r="H646" s="44" t="s">
        <v>2004</v>
      </c>
      <c r="I646" s="45" t="s">
        <v>2005</v>
      </c>
      <c r="J646" s="36"/>
      <c r="K646" s="36"/>
      <c r="L646" s="45"/>
      <c r="M646" s="36" t="s">
        <v>521</v>
      </c>
      <c r="N646" s="40"/>
      <c r="O646" s="41" t="s">
        <v>1494</v>
      </c>
      <c r="P646" s="35" t="s">
        <v>523</v>
      </c>
      <c r="Q646" s="35" t="s">
        <v>1918</v>
      </c>
      <c r="R646" s="35" t="s">
        <v>202</v>
      </c>
      <c r="S646" s="42" t="n">
        <v>1</v>
      </c>
      <c r="T646" s="35" t="s">
        <v>127</v>
      </c>
      <c r="U646" s="35" t="s">
        <v>204</v>
      </c>
      <c r="V646" s="36" t="s">
        <v>205</v>
      </c>
      <c r="W646" s="36" t="s">
        <v>524</v>
      </c>
      <c r="X646" s="44" t="s">
        <v>553</v>
      </c>
      <c r="Y646" s="41" t="s">
        <v>2006</v>
      </c>
      <c r="Z646" s="47" t="n">
        <v>41008</v>
      </c>
      <c r="AA646" s="35" t="s">
        <v>526</v>
      </c>
    </row>
    <row r="647" customFormat="false" ht="64.5" hidden="false" customHeight="true" outlineLevel="0" collapsed="false">
      <c r="A647" s="34" t="n">
        <v>646</v>
      </c>
      <c r="B647" s="37" t="s">
        <v>303</v>
      </c>
      <c r="C647" s="45" t="s">
        <v>1156</v>
      </c>
      <c r="D647" s="43" t="s">
        <v>1157</v>
      </c>
      <c r="E647" s="35" t="s">
        <v>268</v>
      </c>
      <c r="F647" s="39" t="s">
        <v>1158</v>
      </c>
      <c r="G647" s="43" t="s">
        <v>1159</v>
      </c>
      <c r="H647" s="44" t="s">
        <v>1160</v>
      </c>
      <c r="I647" s="45" t="s">
        <v>1161</v>
      </c>
      <c r="J647" s="36"/>
      <c r="K647" s="36"/>
      <c r="L647" s="45"/>
      <c r="M647" s="36" t="s">
        <v>521</v>
      </c>
      <c r="N647" s="40" t="n">
        <v>1000</v>
      </c>
      <c r="O647" s="35"/>
      <c r="P647" s="35" t="s">
        <v>265</v>
      </c>
      <c r="Q647" s="35" t="s">
        <v>67</v>
      </c>
      <c r="R647" s="35" t="s">
        <v>144</v>
      </c>
      <c r="S647" s="42" t="n">
        <v>2</v>
      </c>
      <c r="T647" s="35" t="s">
        <v>98</v>
      </c>
      <c r="U647" s="35" t="s">
        <v>204</v>
      </c>
      <c r="V647" s="36" t="s">
        <v>205</v>
      </c>
      <c r="W647" s="36" t="s">
        <v>524</v>
      </c>
      <c r="X647" s="44" t="s">
        <v>210</v>
      </c>
      <c r="Y647" s="41" t="s">
        <v>1162</v>
      </c>
      <c r="Z647" s="47" t="n">
        <v>38805</v>
      </c>
      <c r="AA647" s="35" t="s">
        <v>526</v>
      </c>
    </row>
    <row r="648" customFormat="false" ht="64.5" hidden="false" customHeight="true" outlineLevel="0" collapsed="false">
      <c r="A648" s="34" t="n">
        <v>647</v>
      </c>
      <c r="B648" s="37" t="s">
        <v>303</v>
      </c>
      <c r="C648" s="45" t="s">
        <v>1156</v>
      </c>
      <c r="D648" s="43" t="s">
        <v>1157</v>
      </c>
      <c r="E648" s="35" t="s">
        <v>268</v>
      </c>
      <c r="F648" s="39" t="s">
        <v>1163</v>
      </c>
      <c r="G648" s="43" t="s">
        <v>1164</v>
      </c>
      <c r="H648" s="44" t="s">
        <v>1160</v>
      </c>
      <c r="I648" s="45" t="s">
        <v>1161</v>
      </c>
      <c r="J648" s="36"/>
      <c r="K648" s="36"/>
      <c r="L648" s="45"/>
      <c r="M648" s="36" t="s">
        <v>521</v>
      </c>
      <c r="N648" s="40" t="n">
        <v>1000</v>
      </c>
      <c r="O648" s="35"/>
      <c r="P648" s="35" t="s">
        <v>265</v>
      </c>
      <c r="Q648" s="35" t="s">
        <v>67</v>
      </c>
      <c r="R648" s="35" t="s">
        <v>144</v>
      </c>
      <c r="S648" s="42" t="n">
        <v>2</v>
      </c>
      <c r="T648" s="35" t="s">
        <v>64</v>
      </c>
      <c r="U648" s="35" t="s">
        <v>537</v>
      </c>
      <c r="V648" s="36" t="s">
        <v>205</v>
      </c>
      <c r="W648" s="36" t="s">
        <v>524</v>
      </c>
      <c r="X648" s="44" t="s">
        <v>221</v>
      </c>
      <c r="Y648" s="41" t="s">
        <v>1165</v>
      </c>
      <c r="Z648" s="47" t="n">
        <v>41446</v>
      </c>
      <c r="AA648" s="35" t="s">
        <v>526</v>
      </c>
    </row>
    <row r="649" customFormat="false" ht="64.5" hidden="false" customHeight="true" outlineLevel="0" collapsed="false">
      <c r="A649" s="34" t="n">
        <v>648</v>
      </c>
      <c r="B649" s="37" t="s">
        <v>303</v>
      </c>
      <c r="C649" s="45" t="s">
        <v>1156</v>
      </c>
      <c r="D649" s="43" t="s">
        <v>1157</v>
      </c>
      <c r="E649" s="35" t="s">
        <v>211</v>
      </c>
      <c r="F649" s="39" t="s">
        <v>1163</v>
      </c>
      <c r="G649" s="43" t="s">
        <v>1164</v>
      </c>
      <c r="H649" s="44" t="s">
        <v>1166</v>
      </c>
      <c r="I649" s="45" t="s">
        <v>1161</v>
      </c>
      <c r="J649" s="36"/>
      <c r="K649" s="36"/>
      <c r="L649" s="45"/>
      <c r="M649" s="36" t="s">
        <v>521</v>
      </c>
      <c r="N649" s="40" t="n">
        <v>1000</v>
      </c>
      <c r="O649" s="35"/>
      <c r="P649" s="35" t="s">
        <v>265</v>
      </c>
      <c r="Q649" s="35" t="s">
        <v>67</v>
      </c>
      <c r="R649" s="35" t="s">
        <v>144</v>
      </c>
      <c r="S649" s="42" t="n">
        <v>2</v>
      </c>
      <c r="T649" s="35" t="s">
        <v>64</v>
      </c>
      <c r="U649" s="35" t="s">
        <v>537</v>
      </c>
      <c r="V649" s="36" t="s">
        <v>205</v>
      </c>
      <c r="W649" s="36" t="s">
        <v>524</v>
      </c>
      <c r="X649" s="44" t="s">
        <v>547</v>
      </c>
      <c r="Y649" s="41" t="s">
        <v>1167</v>
      </c>
      <c r="Z649" s="47" t="n">
        <v>45983</v>
      </c>
      <c r="AA649" s="35" t="s">
        <v>526</v>
      </c>
    </row>
    <row r="650" customFormat="false" ht="64.5" hidden="false" customHeight="true" outlineLevel="0" collapsed="false">
      <c r="A650" s="34" t="n">
        <v>649</v>
      </c>
      <c r="B650" s="37" t="s">
        <v>303</v>
      </c>
      <c r="C650" s="45" t="s">
        <v>1507</v>
      </c>
      <c r="D650" s="43" t="s">
        <v>1508</v>
      </c>
      <c r="E650" s="35" t="s">
        <v>268</v>
      </c>
      <c r="F650" s="39" t="s">
        <v>2007</v>
      </c>
      <c r="G650" s="43" t="s">
        <v>2008</v>
      </c>
      <c r="H650" s="44" t="s">
        <v>2009</v>
      </c>
      <c r="I650" s="45" t="s">
        <v>1680</v>
      </c>
      <c r="J650" s="36"/>
      <c r="K650" s="36"/>
      <c r="L650" s="45"/>
      <c r="M650" s="36" t="s">
        <v>521</v>
      </c>
      <c r="N650" s="40" t="n">
        <v>4000</v>
      </c>
      <c r="O650" s="35"/>
      <c r="P650" s="35" t="s">
        <v>265</v>
      </c>
      <c r="Q650" s="35" t="s">
        <v>67</v>
      </c>
      <c r="R650" s="35" t="s">
        <v>144</v>
      </c>
      <c r="S650" s="42" t="n">
        <v>3</v>
      </c>
      <c r="T650" s="35" t="s">
        <v>64</v>
      </c>
      <c r="U650" s="35" t="s">
        <v>537</v>
      </c>
      <c r="V650" s="36" t="s">
        <v>205</v>
      </c>
      <c r="W650" s="36" t="s">
        <v>524</v>
      </c>
      <c r="X650" s="43" t="s">
        <v>330</v>
      </c>
      <c r="Y650" s="41" t="s">
        <v>2010</v>
      </c>
      <c r="Z650" s="47" t="n">
        <v>41446</v>
      </c>
      <c r="AA650" s="35" t="s">
        <v>526</v>
      </c>
    </row>
    <row r="651" customFormat="false" ht="64.5" hidden="false" customHeight="true" outlineLevel="0" collapsed="false">
      <c r="A651" s="34" t="n">
        <v>650</v>
      </c>
      <c r="B651" s="37" t="s">
        <v>303</v>
      </c>
      <c r="C651" s="45" t="s">
        <v>1507</v>
      </c>
      <c r="D651" s="43" t="s">
        <v>1508</v>
      </c>
      <c r="E651" s="35" t="s">
        <v>211</v>
      </c>
      <c r="F651" s="39" t="s">
        <v>1509</v>
      </c>
      <c r="G651" s="43" t="s">
        <v>1510</v>
      </c>
      <c r="H651" s="44" t="s">
        <v>1511</v>
      </c>
      <c r="I651" s="45" t="s">
        <v>1512</v>
      </c>
      <c r="J651" s="36"/>
      <c r="K651" s="36"/>
      <c r="L651" s="45"/>
      <c r="M651" s="36" t="s">
        <v>521</v>
      </c>
      <c r="N651" s="40" t="n">
        <v>6000</v>
      </c>
      <c r="O651" s="35"/>
      <c r="P651" s="35" t="s">
        <v>265</v>
      </c>
      <c r="Q651" s="35" t="s">
        <v>67</v>
      </c>
      <c r="R651" s="35" t="s">
        <v>68</v>
      </c>
      <c r="S651" s="42" t="n">
        <v>2</v>
      </c>
      <c r="T651" s="35" t="s">
        <v>90</v>
      </c>
      <c r="U651" s="35" t="s">
        <v>204</v>
      </c>
      <c r="V651" s="36" t="s">
        <v>226</v>
      </c>
      <c r="W651" s="36" t="s">
        <v>524</v>
      </c>
      <c r="X651" s="43" t="s">
        <v>369</v>
      </c>
      <c r="Y651" s="41" t="s">
        <v>1513</v>
      </c>
      <c r="Z651" s="47" t="n">
        <v>44879</v>
      </c>
      <c r="AA651" s="35" t="s">
        <v>526</v>
      </c>
    </row>
    <row r="652" customFormat="false" ht="79.5" hidden="false" customHeight="true" outlineLevel="0" collapsed="false">
      <c r="A652" s="34" t="n">
        <v>651</v>
      </c>
      <c r="B652" s="37" t="s">
        <v>303</v>
      </c>
      <c r="C652" s="45" t="s">
        <v>2011</v>
      </c>
      <c r="D652" s="43" t="s">
        <v>2012</v>
      </c>
      <c r="E652" s="35" t="s">
        <v>268</v>
      </c>
      <c r="F652" s="39" t="s">
        <v>2013</v>
      </c>
      <c r="G652" s="43" t="s">
        <v>2014</v>
      </c>
      <c r="H652" s="44" t="s">
        <v>2015</v>
      </c>
      <c r="I652" s="45" t="s">
        <v>2016</v>
      </c>
      <c r="J652" s="36"/>
      <c r="K652" s="36"/>
      <c r="L652" s="45"/>
      <c r="M652" s="36" t="s">
        <v>521</v>
      </c>
      <c r="N652" s="40" t="n">
        <v>2000</v>
      </c>
      <c r="O652" s="35"/>
      <c r="P652" s="35" t="s">
        <v>265</v>
      </c>
      <c r="Q652" s="35" t="s">
        <v>67</v>
      </c>
      <c r="R652" s="35" t="s">
        <v>144</v>
      </c>
      <c r="S652" s="42" t="n">
        <v>2</v>
      </c>
      <c r="T652" s="35" t="s">
        <v>90</v>
      </c>
      <c r="U652" s="35" t="s">
        <v>537</v>
      </c>
      <c r="V652" s="36" t="s">
        <v>205</v>
      </c>
      <c r="W652" s="36" t="s">
        <v>524</v>
      </c>
      <c r="X652" s="43" t="s">
        <v>300</v>
      </c>
      <c r="Y652" s="41" t="s">
        <v>2017</v>
      </c>
      <c r="Z652" s="47" t="n">
        <v>41844</v>
      </c>
      <c r="AA652" s="35" t="s">
        <v>526</v>
      </c>
    </row>
    <row r="653" customFormat="false" ht="64.5" hidden="false" customHeight="true" outlineLevel="0" collapsed="false">
      <c r="A653" s="34" t="n">
        <v>652</v>
      </c>
      <c r="B653" s="37" t="s">
        <v>303</v>
      </c>
      <c r="C653" s="45" t="s">
        <v>2018</v>
      </c>
      <c r="D653" s="43" t="s">
        <v>2019</v>
      </c>
      <c r="E653" s="35" t="s">
        <v>268</v>
      </c>
      <c r="F653" s="39" t="s">
        <v>2020</v>
      </c>
      <c r="G653" s="43" t="s">
        <v>2021</v>
      </c>
      <c r="H653" s="44" t="s">
        <v>2022</v>
      </c>
      <c r="I653" s="45" t="s">
        <v>1800</v>
      </c>
      <c r="J653" s="36"/>
      <c r="K653" s="36"/>
      <c r="L653" s="45"/>
      <c r="M653" s="36" t="s">
        <v>521</v>
      </c>
      <c r="N653" s="40" t="n">
        <v>2000</v>
      </c>
      <c r="O653" s="35"/>
      <c r="P653" s="35" t="s">
        <v>265</v>
      </c>
      <c r="Q653" s="35" t="s">
        <v>67</v>
      </c>
      <c r="R653" s="35" t="s">
        <v>144</v>
      </c>
      <c r="S653" s="42" t="n">
        <v>2</v>
      </c>
      <c r="T653" s="35" t="s">
        <v>90</v>
      </c>
      <c r="U653" s="35" t="s">
        <v>204</v>
      </c>
      <c r="V653" s="36" t="s">
        <v>205</v>
      </c>
      <c r="W653" s="36" t="s">
        <v>524</v>
      </c>
      <c r="X653" s="43" t="s">
        <v>932</v>
      </c>
      <c r="Y653" s="41" t="s">
        <v>2023</v>
      </c>
      <c r="Z653" s="47" t="n">
        <v>43686</v>
      </c>
      <c r="AA653" s="35" t="s">
        <v>526</v>
      </c>
    </row>
    <row r="654" customFormat="false" ht="64.5" hidden="false" customHeight="true" outlineLevel="0" collapsed="false">
      <c r="A654" s="34" t="n">
        <v>653</v>
      </c>
      <c r="B654" s="37" t="s">
        <v>303</v>
      </c>
      <c r="C654" s="45" t="s">
        <v>1168</v>
      </c>
      <c r="D654" s="43" t="s">
        <v>1169</v>
      </c>
      <c r="E654" s="35" t="s">
        <v>268</v>
      </c>
      <c r="F654" s="39" t="s">
        <v>1170</v>
      </c>
      <c r="G654" s="43" t="s">
        <v>1171</v>
      </c>
      <c r="H654" s="44" t="s">
        <v>1172</v>
      </c>
      <c r="I654" s="45" t="s">
        <v>1173</v>
      </c>
      <c r="J654" s="36"/>
      <c r="K654" s="36"/>
      <c r="L654" s="45"/>
      <c r="M654" s="36" t="s">
        <v>521</v>
      </c>
      <c r="N654" s="40" t="n">
        <v>1000</v>
      </c>
      <c r="O654" s="35"/>
      <c r="P654" s="35" t="s">
        <v>265</v>
      </c>
      <c r="Q654" s="35" t="s">
        <v>67</v>
      </c>
      <c r="R654" s="35" t="s">
        <v>68</v>
      </c>
      <c r="S654" s="42" t="n">
        <v>3</v>
      </c>
      <c r="T654" s="35" t="s">
        <v>98</v>
      </c>
      <c r="U654" s="35" t="s">
        <v>204</v>
      </c>
      <c r="V654" s="36" t="s">
        <v>205</v>
      </c>
      <c r="W654" s="36" t="s">
        <v>524</v>
      </c>
      <c r="X654" s="44" t="s">
        <v>267</v>
      </c>
      <c r="Y654" s="41" t="s">
        <v>1174</v>
      </c>
      <c r="Z654" s="47" t="n">
        <v>39814</v>
      </c>
      <c r="AA654" s="35" t="s">
        <v>526</v>
      </c>
    </row>
    <row r="655" customFormat="false" ht="64.5" hidden="false" customHeight="true" outlineLevel="0" collapsed="false">
      <c r="A655" s="34" t="n">
        <v>654</v>
      </c>
      <c r="B655" s="37" t="s">
        <v>303</v>
      </c>
      <c r="C655" s="45" t="s">
        <v>1168</v>
      </c>
      <c r="D655" s="43" t="s">
        <v>1169</v>
      </c>
      <c r="E655" s="35" t="s">
        <v>268</v>
      </c>
      <c r="F655" s="39" t="s">
        <v>1175</v>
      </c>
      <c r="G655" s="43" t="s">
        <v>1171</v>
      </c>
      <c r="H655" s="44" t="s">
        <v>1172</v>
      </c>
      <c r="I655" s="45" t="s">
        <v>1173</v>
      </c>
      <c r="J655" s="36"/>
      <c r="K655" s="36"/>
      <c r="L655" s="45"/>
      <c r="M655" s="36" t="s">
        <v>521</v>
      </c>
      <c r="N655" s="40" t="n">
        <v>1000</v>
      </c>
      <c r="O655" s="35"/>
      <c r="P655" s="35" t="s">
        <v>265</v>
      </c>
      <c r="Q655" s="35" t="s">
        <v>67</v>
      </c>
      <c r="R655" s="35" t="s">
        <v>68</v>
      </c>
      <c r="S655" s="42" t="n">
        <v>3</v>
      </c>
      <c r="T655" s="35" t="s">
        <v>98</v>
      </c>
      <c r="U655" s="35" t="s">
        <v>204</v>
      </c>
      <c r="V655" s="36" t="s">
        <v>205</v>
      </c>
      <c r="W655" s="36" t="s">
        <v>524</v>
      </c>
      <c r="X655" s="43" t="s">
        <v>272</v>
      </c>
      <c r="Y655" s="41" t="s">
        <v>1176</v>
      </c>
      <c r="Z655" s="47" t="n">
        <v>41488</v>
      </c>
      <c r="AA655" s="35" t="s">
        <v>526</v>
      </c>
    </row>
    <row r="656" customFormat="false" ht="64.5" hidden="false" customHeight="true" outlineLevel="0" collapsed="false">
      <c r="A656" s="34" t="n">
        <v>655</v>
      </c>
      <c r="B656" s="37" t="s">
        <v>303</v>
      </c>
      <c r="C656" s="45" t="s">
        <v>2024</v>
      </c>
      <c r="D656" s="43" t="s">
        <v>2025</v>
      </c>
      <c r="E656" s="35" t="s">
        <v>268</v>
      </c>
      <c r="F656" s="39" t="s">
        <v>2026</v>
      </c>
      <c r="G656" s="43" t="s">
        <v>2027</v>
      </c>
      <c r="H656" s="44" t="s">
        <v>2028</v>
      </c>
      <c r="I656" s="45" t="s">
        <v>1581</v>
      </c>
      <c r="J656" s="36"/>
      <c r="K656" s="36"/>
      <c r="L656" s="45"/>
      <c r="M656" s="36" t="s">
        <v>521</v>
      </c>
      <c r="N656" s="40" t="n">
        <v>2000</v>
      </c>
      <c r="O656" s="35"/>
      <c r="P656" s="35" t="s">
        <v>265</v>
      </c>
      <c r="Q656" s="35" t="s">
        <v>67</v>
      </c>
      <c r="R656" s="35" t="s">
        <v>144</v>
      </c>
      <c r="S656" s="42" t="n">
        <v>3</v>
      </c>
      <c r="T656" s="35" t="s">
        <v>90</v>
      </c>
      <c r="U656" s="35" t="s">
        <v>204</v>
      </c>
      <c r="V656" s="36" t="s">
        <v>205</v>
      </c>
      <c r="W656" s="36" t="s">
        <v>524</v>
      </c>
      <c r="X656" s="44" t="s">
        <v>230</v>
      </c>
      <c r="Y656" s="41" t="s">
        <v>2029</v>
      </c>
      <c r="Z656" s="47" t="n">
        <v>41446</v>
      </c>
      <c r="AA656" s="35" t="s">
        <v>526</v>
      </c>
    </row>
    <row r="657" customFormat="false" ht="64.5" hidden="false" customHeight="true" outlineLevel="0" collapsed="false">
      <c r="A657" s="34" t="n">
        <v>656</v>
      </c>
      <c r="B657" s="37" t="s">
        <v>303</v>
      </c>
      <c r="C657" s="45" t="s">
        <v>1177</v>
      </c>
      <c r="D657" s="43" t="s">
        <v>1178</v>
      </c>
      <c r="E657" s="35" t="s">
        <v>268</v>
      </c>
      <c r="F657" s="39" t="s">
        <v>1184</v>
      </c>
      <c r="G657" s="43" t="s">
        <v>1185</v>
      </c>
      <c r="H657" s="44" t="s">
        <v>1186</v>
      </c>
      <c r="I657" s="45" t="s">
        <v>1187</v>
      </c>
      <c r="J657" s="36"/>
      <c r="K657" s="36"/>
      <c r="L657" s="45"/>
      <c r="M657" s="36" t="s">
        <v>521</v>
      </c>
      <c r="N657" s="40" t="n">
        <v>2000</v>
      </c>
      <c r="O657" s="35"/>
      <c r="P657" s="35" t="s">
        <v>265</v>
      </c>
      <c r="Q657" s="35" t="s">
        <v>67</v>
      </c>
      <c r="R657" s="35" t="s">
        <v>68</v>
      </c>
      <c r="S657" s="42" t="n">
        <v>3</v>
      </c>
      <c r="T657" s="35" t="s">
        <v>64</v>
      </c>
      <c r="U657" s="35" t="s">
        <v>204</v>
      </c>
      <c r="V657" s="36" t="s">
        <v>205</v>
      </c>
      <c r="W657" s="36" t="s">
        <v>524</v>
      </c>
      <c r="X657" s="43" t="s">
        <v>300</v>
      </c>
      <c r="Y657" s="41" t="s">
        <v>1188</v>
      </c>
      <c r="Z657" s="47" t="n">
        <v>40086</v>
      </c>
      <c r="AA657" s="35" t="s">
        <v>526</v>
      </c>
    </row>
    <row r="658" customFormat="false" ht="64.5" hidden="false" customHeight="true" outlineLevel="0" collapsed="false">
      <c r="A658" s="34" t="n">
        <v>657</v>
      </c>
      <c r="B658" s="37" t="s">
        <v>303</v>
      </c>
      <c r="C658" s="45" t="s">
        <v>1177</v>
      </c>
      <c r="D658" s="43" t="s">
        <v>1178</v>
      </c>
      <c r="E658" s="35" t="s">
        <v>268</v>
      </c>
      <c r="F658" s="39" t="s">
        <v>1189</v>
      </c>
      <c r="G658" s="43" t="s">
        <v>1190</v>
      </c>
      <c r="H658" s="44" t="s">
        <v>1191</v>
      </c>
      <c r="I658" s="45" t="s">
        <v>1187</v>
      </c>
      <c r="J658" s="36"/>
      <c r="K658" s="36"/>
      <c r="L658" s="45"/>
      <c r="M658" s="36" t="s">
        <v>521</v>
      </c>
      <c r="N658" s="40" t="n">
        <v>2000</v>
      </c>
      <c r="O658" s="35"/>
      <c r="P658" s="35" t="s">
        <v>265</v>
      </c>
      <c r="Q658" s="35" t="s">
        <v>67</v>
      </c>
      <c r="R658" s="35" t="s">
        <v>144</v>
      </c>
      <c r="S658" s="42" t="n">
        <v>3</v>
      </c>
      <c r="T658" s="35" t="s">
        <v>64</v>
      </c>
      <c r="U658" s="35" t="s">
        <v>537</v>
      </c>
      <c r="V658" s="36" t="s">
        <v>205</v>
      </c>
      <c r="W658" s="36" t="s">
        <v>524</v>
      </c>
      <c r="X658" s="44" t="s">
        <v>267</v>
      </c>
      <c r="Y658" s="41" t="s">
        <v>1192</v>
      </c>
      <c r="Z658" s="47" t="n">
        <v>40086</v>
      </c>
      <c r="AA658" s="35" t="s">
        <v>526</v>
      </c>
    </row>
    <row r="659" customFormat="false" ht="64.5" hidden="false" customHeight="true" outlineLevel="0" collapsed="false">
      <c r="A659" s="34" t="n">
        <v>658</v>
      </c>
      <c r="B659" s="37" t="s">
        <v>303</v>
      </c>
      <c r="C659" s="45" t="s">
        <v>1177</v>
      </c>
      <c r="D659" s="43" t="s">
        <v>1178</v>
      </c>
      <c r="E659" s="35" t="s">
        <v>268</v>
      </c>
      <c r="F659" s="39" t="s">
        <v>2030</v>
      </c>
      <c r="G659" s="43" t="s">
        <v>2031</v>
      </c>
      <c r="H659" s="44" t="s">
        <v>2032</v>
      </c>
      <c r="I659" s="45" t="s">
        <v>926</v>
      </c>
      <c r="J659" s="36"/>
      <c r="K659" s="36"/>
      <c r="L659" s="45"/>
      <c r="M659" s="36" t="s">
        <v>521</v>
      </c>
      <c r="N659" s="40" t="n">
        <v>2000</v>
      </c>
      <c r="O659" s="35"/>
      <c r="P659" s="35" t="s">
        <v>265</v>
      </c>
      <c r="Q659" s="35" t="s">
        <v>67</v>
      </c>
      <c r="R659" s="35" t="s">
        <v>144</v>
      </c>
      <c r="S659" s="42" t="n">
        <v>3</v>
      </c>
      <c r="T659" s="35" t="s">
        <v>64</v>
      </c>
      <c r="U659" s="35" t="s">
        <v>204</v>
      </c>
      <c r="V659" s="36" t="s">
        <v>205</v>
      </c>
      <c r="W659" s="36" t="s">
        <v>524</v>
      </c>
      <c r="X659" s="44" t="s">
        <v>230</v>
      </c>
      <c r="Y659" s="41" t="s">
        <v>2033</v>
      </c>
      <c r="Z659" s="47" t="n">
        <v>41213</v>
      </c>
      <c r="AA659" s="35" t="s">
        <v>526</v>
      </c>
    </row>
    <row r="660" customFormat="false" ht="64.5" hidden="false" customHeight="true" outlineLevel="0" collapsed="false">
      <c r="A660" s="34" t="n">
        <v>659</v>
      </c>
      <c r="B660" s="37" t="s">
        <v>303</v>
      </c>
      <c r="C660" s="45" t="s">
        <v>1193</v>
      </c>
      <c r="D660" s="43" t="s">
        <v>1194</v>
      </c>
      <c r="E660" s="35" t="s">
        <v>268</v>
      </c>
      <c r="F660" s="39" t="s">
        <v>2034</v>
      </c>
      <c r="G660" s="43" t="s">
        <v>1205</v>
      </c>
      <c r="H660" s="44" t="s">
        <v>1197</v>
      </c>
      <c r="I660" s="45" t="s">
        <v>952</v>
      </c>
      <c r="J660" s="36"/>
      <c r="K660" s="36"/>
      <c r="L660" s="45"/>
      <c r="M660" s="36" t="s">
        <v>521</v>
      </c>
      <c r="N660" s="40" t="n">
        <v>2000</v>
      </c>
      <c r="O660" s="35"/>
      <c r="P660" s="35" t="s">
        <v>265</v>
      </c>
      <c r="Q660" s="35" t="s">
        <v>67</v>
      </c>
      <c r="R660" s="35" t="s">
        <v>91</v>
      </c>
      <c r="S660" s="42" t="n">
        <v>3</v>
      </c>
      <c r="T660" s="35" t="s">
        <v>90</v>
      </c>
      <c r="U660" s="35" t="s">
        <v>204</v>
      </c>
      <c r="V660" s="36" t="s">
        <v>226</v>
      </c>
      <c r="W660" s="36" t="s">
        <v>524</v>
      </c>
      <c r="X660" s="44" t="s">
        <v>221</v>
      </c>
      <c r="Y660" s="41" t="s">
        <v>2035</v>
      </c>
      <c r="Z660" s="47" t="n">
        <v>42489</v>
      </c>
      <c r="AA660" s="35" t="s">
        <v>526</v>
      </c>
    </row>
    <row r="661" customFormat="false" ht="64.5" hidden="false" customHeight="true" outlineLevel="0" collapsed="false">
      <c r="A661" s="34" t="n">
        <v>660</v>
      </c>
      <c r="B661" s="37" t="s">
        <v>303</v>
      </c>
      <c r="C661" s="45" t="s">
        <v>1193</v>
      </c>
      <c r="D661" s="43" t="s">
        <v>1194</v>
      </c>
      <c r="E661" s="35" t="s">
        <v>268</v>
      </c>
      <c r="F661" s="39" t="s">
        <v>1195</v>
      </c>
      <c r="G661" s="43" t="s">
        <v>1196</v>
      </c>
      <c r="H661" s="44" t="s">
        <v>1197</v>
      </c>
      <c r="I661" s="45" t="s">
        <v>1198</v>
      </c>
      <c r="J661" s="36"/>
      <c r="K661" s="36"/>
      <c r="L661" s="45"/>
      <c r="M661" s="36" t="s">
        <v>521</v>
      </c>
      <c r="N661" s="40" t="n">
        <v>2000</v>
      </c>
      <c r="O661" s="35"/>
      <c r="P661" s="35" t="s">
        <v>265</v>
      </c>
      <c r="Q661" s="35" t="s">
        <v>67</v>
      </c>
      <c r="R661" s="35" t="s">
        <v>68</v>
      </c>
      <c r="S661" s="42" t="n">
        <v>3</v>
      </c>
      <c r="T661" s="35" t="s">
        <v>780</v>
      </c>
      <c r="U661" s="35" t="s">
        <v>537</v>
      </c>
      <c r="V661" s="36" t="s">
        <v>226</v>
      </c>
      <c r="W661" s="36" t="s">
        <v>524</v>
      </c>
      <c r="X661" s="44" t="s">
        <v>341</v>
      </c>
      <c r="Y661" s="41" t="s">
        <v>1199</v>
      </c>
      <c r="Z661" s="47" t="n">
        <v>42489</v>
      </c>
      <c r="AA661" s="35" t="s">
        <v>526</v>
      </c>
    </row>
    <row r="662" customFormat="false" ht="64.5" hidden="false" customHeight="true" outlineLevel="0" collapsed="false">
      <c r="A662" s="34" t="n">
        <v>661</v>
      </c>
      <c r="B662" s="37" t="s">
        <v>303</v>
      </c>
      <c r="C662" s="45" t="s">
        <v>1193</v>
      </c>
      <c r="D662" s="43" t="s">
        <v>1194</v>
      </c>
      <c r="E662" s="35" t="s">
        <v>211</v>
      </c>
      <c r="F662" s="39" t="s">
        <v>1200</v>
      </c>
      <c r="G662" s="43" t="s">
        <v>1201</v>
      </c>
      <c r="H662" s="44" t="s">
        <v>1197</v>
      </c>
      <c r="I662" s="45" t="s">
        <v>1202</v>
      </c>
      <c r="J662" s="36"/>
      <c r="K662" s="36"/>
      <c r="L662" s="45"/>
      <c r="M662" s="36" t="s">
        <v>521</v>
      </c>
      <c r="N662" s="40" t="n">
        <v>5000</v>
      </c>
      <c r="O662" s="35"/>
      <c r="P662" s="35" t="s">
        <v>265</v>
      </c>
      <c r="Q662" s="35" t="s">
        <v>67</v>
      </c>
      <c r="R662" s="35" t="s">
        <v>144</v>
      </c>
      <c r="S662" s="42" t="n">
        <v>2</v>
      </c>
      <c r="T662" s="35" t="s">
        <v>610</v>
      </c>
      <c r="U662" s="35" t="s">
        <v>537</v>
      </c>
      <c r="V662" s="36" t="s">
        <v>226</v>
      </c>
      <c r="W662" s="36" t="s">
        <v>826</v>
      </c>
      <c r="X662" s="43" t="s">
        <v>853</v>
      </c>
      <c r="Y662" s="41" t="s">
        <v>1203</v>
      </c>
      <c r="Z662" s="47" t="n">
        <v>44406</v>
      </c>
      <c r="AA662" s="35" t="s">
        <v>526</v>
      </c>
    </row>
    <row r="663" customFormat="false" ht="79.5" hidden="false" customHeight="true" outlineLevel="0" collapsed="false">
      <c r="A663" s="34" t="n">
        <v>662</v>
      </c>
      <c r="B663" s="37" t="s">
        <v>303</v>
      </c>
      <c r="C663" s="45" t="s">
        <v>2036</v>
      </c>
      <c r="D663" s="43" t="s">
        <v>2037</v>
      </c>
      <c r="E663" s="35" t="s">
        <v>268</v>
      </c>
      <c r="F663" s="39" t="s">
        <v>2038</v>
      </c>
      <c r="G663" s="43" t="s">
        <v>2039</v>
      </c>
      <c r="H663" s="44" t="s">
        <v>2040</v>
      </c>
      <c r="I663" s="45" t="s">
        <v>2041</v>
      </c>
      <c r="J663" s="36"/>
      <c r="K663" s="36"/>
      <c r="L663" s="45"/>
      <c r="M663" s="36" t="s">
        <v>521</v>
      </c>
      <c r="N663" s="40" t="n">
        <v>2000</v>
      </c>
      <c r="O663" s="35"/>
      <c r="P663" s="35" t="s">
        <v>265</v>
      </c>
      <c r="Q663" s="35" t="s">
        <v>67</v>
      </c>
      <c r="R663" s="35" t="s">
        <v>68</v>
      </c>
      <c r="S663" s="42" t="n">
        <v>2</v>
      </c>
      <c r="T663" s="35" t="s">
        <v>90</v>
      </c>
      <c r="U663" s="35" t="s">
        <v>204</v>
      </c>
      <c r="V663" s="36" t="s">
        <v>205</v>
      </c>
      <c r="W663" s="36" t="s">
        <v>524</v>
      </c>
      <c r="X663" s="44" t="s">
        <v>267</v>
      </c>
      <c r="Y663" s="41" t="s">
        <v>2042</v>
      </c>
      <c r="Z663" s="47" t="n">
        <v>42584</v>
      </c>
      <c r="AA663" s="35" t="s">
        <v>526</v>
      </c>
    </row>
    <row r="664" customFormat="false" ht="79.5" hidden="false" customHeight="true" outlineLevel="0" collapsed="false">
      <c r="A664" s="34" t="n">
        <v>663</v>
      </c>
      <c r="B664" s="37" t="s">
        <v>303</v>
      </c>
      <c r="C664" s="45" t="s">
        <v>2036</v>
      </c>
      <c r="D664" s="43" t="s">
        <v>2037</v>
      </c>
      <c r="E664" s="35" t="s">
        <v>211</v>
      </c>
      <c r="F664" s="39" t="s">
        <v>2043</v>
      </c>
      <c r="G664" s="43" t="s">
        <v>2044</v>
      </c>
      <c r="H664" s="44" t="s">
        <v>2045</v>
      </c>
      <c r="I664" s="45" t="s">
        <v>2046</v>
      </c>
      <c r="J664" s="36"/>
      <c r="K664" s="36"/>
      <c r="L664" s="45"/>
      <c r="M664" s="36" t="s">
        <v>521</v>
      </c>
      <c r="N664" s="40" t="n">
        <v>2000</v>
      </c>
      <c r="O664" s="35"/>
      <c r="P664" s="35" t="s">
        <v>265</v>
      </c>
      <c r="Q664" s="35" t="s">
        <v>67</v>
      </c>
      <c r="R664" s="35" t="s">
        <v>68</v>
      </c>
      <c r="S664" s="42" t="n">
        <v>2</v>
      </c>
      <c r="T664" s="35" t="s">
        <v>90</v>
      </c>
      <c r="U664" s="35" t="s">
        <v>204</v>
      </c>
      <c r="V664" s="36" t="s">
        <v>205</v>
      </c>
      <c r="W664" s="36" t="s">
        <v>524</v>
      </c>
      <c r="X664" s="44" t="s">
        <v>867</v>
      </c>
      <c r="Y664" s="41" t="s">
        <v>2047</v>
      </c>
      <c r="Z664" s="47" t="n">
        <v>45001</v>
      </c>
      <c r="AA664" s="35" t="s">
        <v>526</v>
      </c>
    </row>
    <row r="665" customFormat="false" ht="79.5" hidden="false" customHeight="true" outlineLevel="0" collapsed="false">
      <c r="A665" s="34" t="n">
        <v>664</v>
      </c>
      <c r="B665" s="37" t="s">
        <v>303</v>
      </c>
      <c r="C665" s="45" t="s">
        <v>2036</v>
      </c>
      <c r="D665" s="43" t="s">
        <v>2037</v>
      </c>
      <c r="E665" s="35" t="s">
        <v>268</v>
      </c>
      <c r="F665" s="39" t="s">
        <v>2048</v>
      </c>
      <c r="G665" s="43" t="s">
        <v>2044</v>
      </c>
      <c r="H665" s="44" t="s">
        <v>2045</v>
      </c>
      <c r="I665" s="45" t="s">
        <v>2049</v>
      </c>
      <c r="J665" s="36"/>
      <c r="K665" s="36"/>
      <c r="L665" s="45"/>
      <c r="M665" s="36" t="s">
        <v>521</v>
      </c>
      <c r="N665" s="40" t="n">
        <v>2000</v>
      </c>
      <c r="O665" s="35"/>
      <c r="P665" s="35" t="s">
        <v>265</v>
      </c>
      <c r="Q665" s="35" t="s">
        <v>67</v>
      </c>
      <c r="R665" s="35" t="s">
        <v>68</v>
      </c>
      <c r="S665" s="42" t="n">
        <v>3</v>
      </c>
      <c r="T665" s="35" t="s">
        <v>90</v>
      </c>
      <c r="U665" s="35" t="s">
        <v>204</v>
      </c>
      <c r="V665" s="36" t="s">
        <v>205</v>
      </c>
      <c r="W665" s="36" t="s">
        <v>524</v>
      </c>
      <c r="X665" s="44" t="s">
        <v>856</v>
      </c>
      <c r="Y665" s="41" t="s">
        <v>2050</v>
      </c>
      <c r="Z665" s="47" t="n">
        <v>44448</v>
      </c>
      <c r="AA665" s="35" t="s">
        <v>526</v>
      </c>
    </row>
    <row r="666" customFormat="false" ht="79.5" hidden="false" customHeight="true" outlineLevel="0" collapsed="false">
      <c r="A666" s="34" t="n">
        <v>665</v>
      </c>
      <c r="B666" s="37" t="s">
        <v>303</v>
      </c>
      <c r="C666" s="45" t="s">
        <v>2036</v>
      </c>
      <c r="D666" s="43" t="s">
        <v>2037</v>
      </c>
      <c r="E666" s="35" t="s">
        <v>268</v>
      </c>
      <c r="F666" s="39" t="s">
        <v>2051</v>
      </c>
      <c r="G666" s="43" t="s">
        <v>2044</v>
      </c>
      <c r="H666" s="44" t="s">
        <v>2045</v>
      </c>
      <c r="I666" s="45" t="s">
        <v>2049</v>
      </c>
      <c r="J666" s="36"/>
      <c r="K666" s="36"/>
      <c r="L666" s="45"/>
      <c r="M666" s="36" t="s">
        <v>521</v>
      </c>
      <c r="N666" s="40" t="n">
        <v>2000</v>
      </c>
      <c r="O666" s="35"/>
      <c r="P666" s="35" t="s">
        <v>265</v>
      </c>
      <c r="Q666" s="35" t="s">
        <v>67</v>
      </c>
      <c r="R666" s="35" t="s">
        <v>68</v>
      </c>
      <c r="S666" s="42" t="n">
        <v>3</v>
      </c>
      <c r="T666" s="35" t="s">
        <v>90</v>
      </c>
      <c r="U666" s="35" t="s">
        <v>204</v>
      </c>
      <c r="V666" s="36" t="s">
        <v>205</v>
      </c>
      <c r="W666" s="36" t="s">
        <v>524</v>
      </c>
      <c r="X666" s="43" t="s">
        <v>272</v>
      </c>
      <c r="Y666" s="41" t="s">
        <v>2052</v>
      </c>
      <c r="Z666" s="47" t="n">
        <v>42761</v>
      </c>
      <c r="AA666" s="35" t="s">
        <v>526</v>
      </c>
    </row>
    <row r="667" customFormat="false" ht="79.5" hidden="false" customHeight="true" outlineLevel="0" collapsed="false">
      <c r="A667" s="34" t="n">
        <v>666</v>
      </c>
      <c r="B667" s="37" t="s">
        <v>303</v>
      </c>
      <c r="C667" s="45" t="s">
        <v>2036</v>
      </c>
      <c r="D667" s="43" t="s">
        <v>2037</v>
      </c>
      <c r="E667" s="35" t="s">
        <v>268</v>
      </c>
      <c r="F667" s="39" t="s">
        <v>2053</v>
      </c>
      <c r="G667" s="43" t="s">
        <v>2044</v>
      </c>
      <c r="H667" s="44" t="s">
        <v>2045</v>
      </c>
      <c r="I667" s="45" t="s">
        <v>2046</v>
      </c>
      <c r="J667" s="36"/>
      <c r="K667" s="36"/>
      <c r="L667" s="45"/>
      <c r="M667" s="36" t="s">
        <v>521</v>
      </c>
      <c r="N667" s="40" t="n">
        <v>2000</v>
      </c>
      <c r="O667" s="35"/>
      <c r="P667" s="35" t="s">
        <v>265</v>
      </c>
      <c r="Q667" s="35" t="s">
        <v>67</v>
      </c>
      <c r="R667" s="35" t="s">
        <v>68</v>
      </c>
      <c r="S667" s="42" t="n">
        <v>2</v>
      </c>
      <c r="T667" s="35" t="s">
        <v>90</v>
      </c>
      <c r="U667" s="35" t="s">
        <v>204</v>
      </c>
      <c r="V667" s="36" t="s">
        <v>205</v>
      </c>
      <c r="W667" s="36" t="s">
        <v>524</v>
      </c>
      <c r="X667" s="44" t="s">
        <v>230</v>
      </c>
      <c r="Y667" s="41" t="s">
        <v>2054</v>
      </c>
      <c r="Z667" s="47" t="n">
        <v>42972</v>
      </c>
      <c r="AA667" s="35" t="s">
        <v>526</v>
      </c>
    </row>
    <row r="668" customFormat="false" ht="79.5" hidden="false" customHeight="true" outlineLevel="0" collapsed="false">
      <c r="A668" s="34" t="n">
        <v>667</v>
      </c>
      <c r="B668" s="37" t="s">
        <v>303</v>
      </c>
      <c r="C668" s="45" t="s">
        <v>2036</v>
      </c>
      <c r="D668" s="43" t="s">
        <v>2037</v>
      </c>
      <c r="E668" s="35" t="s">
        <v>268</v>
      </c>
      <c r="F668" s="39" t="s">
        <v>2055</v>
      </c>
      <c r="G668" s="43" t="s">
        <v>2044</v>
      </c>
      <c r="H668" s="44" t="s">
        <v>2045</v>
      </c>
      <c r="I668" s="45" t="s">
        <v>2049</v>
      </c>
      <c r="J668" s="36"/>
      <c r="K668" s="36"/>
      <c r="L668" s="45"/>
      <c r="M668" s="36" t="s">
        <v>521</v>
      </c>
      <c r="N668" s="40" t="n">
        <v>2000</v>
      </c>
      <c r="O668" s="35"/>
      <c r="P668" s="35" t="s">
        <v>265</v>
      </c>
      <c r="Q668" s="35" t="s">
        <v>67</v>
      </c>
      <c r="R668" s="35" t="s">
        <v>68</v>
      </c>
      <c r="S668" s="42" t="n">
        <v>3</v>
      </c>
      <c r="T668" s="35" t="s">
        <v>90</v>
      </c>
      <c r="U668" s="35" t="s">
        <v>204</v>
      </c>
      <c r="V668" s="36" t="s">
        <v>205</v>
      </c>
      <c r="W668" s="36" t="s">
        <v>524</v>
      </c>
      <c r="X668" s="43" t="s">
        <v>1380</v>
      </c>
      <c r="Y668" s="41" t="s">
        <v>2056</v>
      </c>
      <c r="Z668" s="47" t="n">
        <v>43629</v>
      </c>
      <c r="AA668" s="35" t="s">
        <v>526</v>
      </c>
    </row>
    <row r="669" customFormat="false" ht="64.5" hidden="false" customHeight="true" outlineLevel="0" collapsed="false">
      <c r="A669" s="34" t="n">
        <v>668</v>
      </c>
      <c r="B669" s="37" t="s">
        <v>303</v>
      </c>
      <c r="C669" s="45" t="s">
        <v>2057</v>
      </c>
      <c r="D669" s="43" t="s">
        <v>2058</v>
      </c>
      <c r="E669" s="35" t="s">
        <v>268</v>
      </c>
      <c r="F669" s="39" t="s">
        <v>2059</v>
      </c>
      <c r="G669" s="43" t="s">
        <v>2060</v>
      </c>
      <c r="H669" s="44" t="s">
        <v>2061</v>
      </c>
      <c r="I669" s="45" t="s">
        <v>2062</v>
      </c>
      <c r="J669" s="36"/>
      <c r="K669" s="36"/>
      <c r="L669" s="45"/>
      <c r="M669" s="36" t="s">
        <v>521</v>
      </c>
      <c r="N669" s="40" t="n">
        <v>2000</v>
      </c>
      <c r="O669" s="35"/>
      <c r="P669" s="35" t="s">
        <v>265</v>
      </c>
      <c r="Q669" s="35" t="s">
        <v>67</v>
      </c>
      <c r="R669" s="35" t="s">
        <v>91</v>
      </c>
      <c r="S669" s="42" t="n">
        <v>3</v>
      </c>
      <c r="T669" s="35" t="s">
        <v>64</v>
      </c>
      <c r="U669" s="35" t="s">
        <v>204</v>
      </c>
      <c r="V669" s="36" t="s">
        <v>205</v>
      </c>
      <c r="W669" s="36" t="s">
        <v>524</v>
      </c>
      <c r="X669" s="44" t="s">
        <v>553</v>
      </c>
      <c r="Y669" s="41" t="s">
        <v>2063</v>
      </c>
      <c r="Z669" s="47" t="n">
        <v>39538</v>
      </c>
      <c r="AA669" s="35" t="s">
        <v>526</v>
      </c>
    </row>
    <row r="670" customFormat="false" ht="34.5" hidden="false" customHeight="true" outlineLevel="0" collapsed="false">
      <c r="A670" s="34" t="n">
        <v>669</v>
      </c>
      <c r="B670" s="37" t="s">
        <v>303</v>
      </c>
      <c r="C670" s="45" t="s">
        <v>2064</v>
      </c>
      <c r="D670" s="43" t="s">
        <v>2065</v>
      </c>
      <c r="E670" s="35" t="s">
        <v>268</v>
      </c>
      <c r="F670" s="39" t="s">
        <v>2066</v>
      </c>
      <c r="G670" s="43" t="s">
        <v>2067</v>
      </c>
      <c r="H670" s="44" t="s">
        <v>2068</v>
      </c>
      <c r="I670" s="45" t="s">
        <v>529</v>
      </c>
      <c r="J670" s="36"/>
      <c r="K670" s="36"/>
      <c r="L670" s="45"/>
      <c r="M670" s="36" t="s">
        <v>521</v>
      </c>
      <c r="N670" s="40"/>
      <c r="O670" s="41" t="s">
        <v>569</v>
      </c>
      <c r="P670" s="35" t="s">
        <v>523</v>
      </c>
      <c r="Q670" s="35" t="s">
        <v>189</v>
      </c>
      <c r="R670" s="35" t="s">
        <v>202</v>
      </c>
      <c r="S670" s="42" t="n">
        <v>1</v>
      </c>
      <c r="T670" s="35" t="s">
        <v>127</v>
      </c>
      <c r="U670" s="35" t="s">
        <v>204</v>
      </c>
      <c r="V670" s="36" t="s">
        <v>205</v>
      </c>
      <c r="W670" s="36" t="s">
        <v>524</v>
      </c>
      <c r="X670" s="44" t="s">
        <v>267</v>
      </c>
      <c r="Y670" s="41" t="s">
        <v>2069</v>
      </c>
      <c r="Z670" s="47" t="n">
        <v>41947</v>
      </c>
      <c r="AA670" s="35" t="s">
        <v>526</v>
      </c>
    </row>
    <row r="671" customFormat="false" ht="34.5" hidden="false" customHeight="true" outlineLevel="0" collapsed="false">
      <c r="A671" s="34" t="n">
        <v>670</v>
      </c>
      <c r="B671" s="37" t="s">
        <v>303</v>
      </c>
      <c r="C671" s="45" t="s">
        <v>2064</v>
      </c>
      <c r="D671" s="43" t="s">
        <v>2065</v>
      </c>
      <c r="E671" s="35" t="s">
        <v>268</v>
      </c>
      <c r="F671" s="39" t="s">
        <v>2066</v>
      </c>
      <c r="G671" s="43" t="s">
        <v>2067</v>
      </c>
      <c r="H671" s="44" t="s">
        <v>2068</v>
      </c>
      <c r="I671" s="45" t="s">
        <v>529</v>
      </c>
      <c r="J671" s="36"/>
      <c r="K671" s="36"/>
      <c r="L671" s="45"/>
      <c r="M671" s="36" t="s">
        <v>521</v>
      </c>
      <c r="N671" s="40"/>
      <c r="O671" s="41" t="s">
        <v>2070</v>
      </c>
      <c r="P671" s="35" t="s">
        <v>523</v>
      </c>
      <c r="Q671" s="35" t="s">
        <v>1918</v>
      </c>
      <c r="R671" s="35" t="s">
        <v>202</v>
      </c>
      <c r="S671" s="42" t="n">
        <v>1</v>
      </c>
      <c r="T671" s="35" t="s">
        <v>127</v>
      </c>
      <c r="U671" s="35" t="s">
        <v>204</v>
      </c>
      <c r="V671" s="36" t="s">
        <v>205</v>
      </c>
      <c r="W671" s="36" t="s">
        <v>524</v>
      </c>
      <c r="X671" s="44" t="s">
        <v>267</v>
      </c>
      <c r="Y671" s="41" t="s">
        <v>2069</v>
      </c>
      <c r="Z671" s="47" t="n">
        <v>41947</v>
      </c>
      <c r="AA671" s="35" t="s">
        <v>526</v>
      </c>
    </row>
    <row r="672" customFormat="false" ht="34.5" hidden="false" customHeight="true" outlineLevel="0" collapsed="false">
      <c r="A672" s="34" t="n">
        <v>671</v>
      </c>
      <c r="B672" s="37" t="s">
        <v>303</v>
      </c>
      <c r="C672" s="45" t="s">
        <v>2064</v>
      </c>
      <c r="D672" s="43" t="s">
        <v>2065</v>
      </c>
      <c r="E672" s="35" t="s">
        <v>268</v>
      </c>
      <c r="F672" s="39" t="s">
        <v>2071</v>
      </c>
      <c r="G672" s="43" t="s">
        <v>2072</v>
      </c>
      <c r="H672" s="44" t="s">
        <v>2068</v>
      </c>
      <c r="I672" s="45" t="s">
        <v>2073</v>
      </c>
      <c r="J672" s="36"/>
      <c r="K672" s="36"/>
      <c r="L672" s="45"/>
      <c r="M672" s="36" t="s">
        <v>521</v>
      </c>
      <c r="N672" s="40" t="n">
        <v>2000</v>
      </c>
      <c r="O672" s="35"/>
      <c r="P672" s="35" t="s">
        <v>265</v>
      </c>
      <c r="Q672" s="35" t="s">
        <v>67</v>
      </c>
      <c r="R672" s="35" t="s">
        <v>68</v>
      </c>
      <c r="S672" s="42" t="n">
        <v>3</v>
      </c>
      <c r="T672" s="35" t="s">
        <v>90</v>
      </c>
      <c r="U672" s="35" t="s">
        <v>204</v>
      </c>
      <c r="V672" s="36" t="s">
        <v>205</v>
      </c>
      <c r="W672" s="36" t="s">
        <v>524</v>
      </c>
      <c r="X672" s="44" t="s">
        <v>553</v>
      </c>
      <c r="Y672" s="41" t="s">
        <v>2074</v>
      </c>
      <c r="Z672" s="47" t="n">
        <v>41008</v>
      </c>
      <c r="AA672" s="35" t="s">
        <v>526</v>
      </c>
    </row>
    <row r="673" customFormat="false" ht="34.5" hidden="false" customHeight="true" outlineLevel="0" collapsed="false">
      <c r="A673" s="34" t="n">
        <v>672</v>
      </c>
      <c r="B673" s="37" t="s">
        <v>303</v>
      </c>
      <c r="C673" s="45" t="s">
        <v>2064</v>
      </c>
      <c r="D673" s="43" t="s">
        <v>2065</v>
      </c>
      <c r="E673" s="35" t="s">
        <v>268</v>
      </c>
      <c r="F673" s="39" t="s">
        <v>2075</v>
      </c>
      <c r="G673" s="43" t="s">
        <v>2076</v>
      </c>
      <c r="H673" s="44" t="s">
        <v>2068</v>
      </c>
      <c r="I673" s="45" t="s">
        <v>2073</v>
      </c>
      <c r="J673" s="36" t="s">
        <v>80</v>
      </c>
      <c r="K673" s="36"/>
      <c r="L673" s="45"/>
      <c r="M673" s="36" t="s">
        <v>521</v>
      </c>
      <c r="N673" s="40" t="n">
        <v>2000</v>
      </c>
      <c r="O673" s="35"/>
      <c r="P673" s="35" t="s">
        <v>265</v>
      </c>
      <c r="Q673" s="35" t="s">
        <v>67</v>
      </c>
      <c r="R673" s="35" t="s">
        <v>144</v>
      </c>
      <c r="S673" s="42" t="n">
        <v>2</v>
      </c>
      <c r="T673" s="35" t="s">
        <v>64</v>
      </c>
      <c r="U673" s="35" t="s">
        <v>204</v>
      </c>
      <c r="V673" s="36" t="s">
        <v>205</v>
      </c>
      <c r="W673" s="36" t="s">
        <v>524</v>
      </c>
      <c r="X673" s="44" t="s">
        <v>210</v>
      </c>
      <c r="Y673" s="41" t="s">
        <v>2077</v>
      </c>
      <c r="Z673" s="47" t="n">
        <v>40855</v>
      </c>
      <c r="AA673" s="35" t="s">
        <v>578</v>
      </c>
    </row>
    <row r="674" customFormat="false" ht="49.5" hidden="false" customHeight="true" outlineLevel="0" collapsed="false">
      <c r="A674" s="34" t="n">
        <v>673</v>
      </c>
      <c r="B674" s="37" t="s">
        <v>303</v>
      </c>
      <c r="C674" s="45" t="s">
        <v>2078</v>
      </c>
      <c r="D674" s="43" t="s">
        <v>2079</v>
      </c>
      <c r="E674" s="35" t="s">
        <v>268</v>
      </c>
      <c r="F674" s="39" t="s">
        <v>2080</v>
      </c>
      <c r="G674" s="43" t="s">
        <v>2081</v>
      </c>
      <c r="H674" s="44" t="s">
        <v>2082</v>
      </c>
      <c r="I674" s="45" t="s">
        <v>2083</v>
      </c>
      <c r="J674" s="36"/>
      <c r="K674" s="36"/>
      <c r="L674" s="45"/>
      <c r="M674" s="36" t="s">
        <v>521</v>
      </c>
      <c r="N674" s="40" t="n">
        <v>4000</v>
      </c>
      <c r="O674" s="35"/>
      <c r="P674" s="35" t="s">
        <v>265</v>
      </c>
      <c r="Q674" s="35" t="s">
        <v>67</v>
      </c>
      <c r="R674" s="35" t="s">
        <v>144</v>
      </c>
      <c r="S674" s="42" t="n">
        <v>2</v>
      </c>
      <c r="T674" s="35" t="s">
        <v>780</v>
      </c>
      <c r="U674" s="35" t="s">
        <v>537</v>
      </c>
      <c r="V674" s="36" t="s">
        <v>205</v>
      </c>
      <c r="W674" s="36" t="s">
        <v>524</v>
      </c>
      <c r="X674" s="43" t="s">
        <v>330</v>
      </c>
      <c r="Y674" s="41" t="s">
        <v>2084</v>
      </c>
      <c r="Z674" s="47" t="n">
        <v>42171</v>
      </c>
      <c r="AA674" s="35" t="s">
        <v>526</v>
      </c>
    </row>
    <row r="675" customFormat="false" ht="79.5" hidden="false" customHeight="true" outlineLevel="0" collapsed="false">
      <c r="A675" s="34" t="n">
        <v>674</v>
      </c>
      <c r="B675" s="37" t="s">
        <v>303</v>
      </c>
      <c r="C675" s="45" t="s">
        <v>308</v>
      </c>
      <c r="D675" s="43" t="s">
        <v>309</v>
      </c>
      <c r="E675" s="35" t="s">
        <v>268</v>
      </c>
      <c r="F675" s="39" t="s">
        <v>306</v>
      </c>
      <c r="G675" s="43" t="s">
        <v>1319</v>
      </c>
      <c r="H675" s="44" t="s">
        <v>307</v>
      </c>
      <c r="I675" s="45" t="s">
        <v>1320</v>
      </c>
      <c r="J675" s="36" t="s">
        <v>80</v>
      </c>
      <c r="K675" s="36"/>
      <c r="L675" s="45" t="s">
        <v>541</v>
      </c>
      <c r="M675" s="36" t="s">
        <v>521</v>
      </c>
      <c r="N675" s="40" t="n">
        <v>2000</v>
      </c>
      <c r="O675" s="35"/>
      <c r="P675" s="35" t="s">
        <v>265</v>
      </c>
      <c r="Q675" s="35" t="s">
        <v>67</v>
      </c>
      <c r="R675" s="35" t="s">
        <v>68</v>
      </c>
      <c r="S675" s="42" t="n">
        <v>2</v>
      </c>
      <c r="T675" s="35" t="s">
        <v>90</v>
      </c>
      <c r="U675" s="35" t="s">
        <v>204</v>
      </c>
      <c r="V675" s="36" t="s">
        <v>205</v>
      </c>
      <c r="W675" s="36" t="s">
        <v>524</v>
      </c>
      <c r="X675" s="44" t="s">
        <v>210</v>
      </c>
      <c r="Y675" s="41" t="s">
        <v>311</v>
      </c>
      <c r="Z675" s="47" t="n">
        <v>42208</v>
      </c>
      <c r="AA675" s="35" t="s">
        <v>578</v>
      </c>
    </row>
    <row r="676" customFormat="false" ht="64.5" hidden="false" customHeight="true" outlineLevel="0" collapsed="false">
      <c r="A676" s="34" t="n">
        <v>675</v>
      </c>
      <c r="B676" s="37" t="s">
        <v>303</v>
      </c>
      <c r="C676" s="45" t="s">
        <v>1342</v>
      </c>
      <c r="D676" s="43" t="s">
        <v>1343</v>
      </c>
      <c r="E676" s="35" t="s">
        <v>268</v>
      </c>
      <c r="F676" s="39" t="s">
        <v>1344</v>
      </c>
      <c r="G676" s="43" t="s">
        <v>1345</v>
      </c>
      <c r="H676" s="44" t="s">
        <v>1346</v>
      </c>
      <c r="I676" s="45" t="s">
        <v>1347</v>
      </c>
      <c r="J676" s="36"/>
      <c r="K676" s="36"/>
      <c r="L676" s="45"/>
      <c r="M676" s="36" t="s">
        <v>521</v>
      </c>
      <c r="N676" s="40" t="n">
        <v>2000</v>
      </c>
      <c r="O676" s="41" t="s">
        <v>2085</v>
      </c>
      <c r="P676" s="35" t="s">
        <v>265</v>
      </c>
      <c r="Q676" s="35" t="s">
        <v>112</v>
      </c>
      <c r="R676" s="35" t="s">
        <v>144</v>
      </c>
      <c r="S676" s="42" t="n">
        <v>2</v>
      </c>
      <c r="T676" s="35" t="s">
        <v>784</v>
      </c>
      <c r="U676" s="35" t="s">
        <v>537</v>
      </c>
      <c r="V676" s="36" t="s">
        <v>226</v>
      </c>
      <c r="W676" s="36" t="s">
        <v>524</v>
      </c>
      <c r="X676" s="44" t="s">
        <v>267</v>
      </c>
      <c r="Y676" s="41" t="s">
        <v>1348</v>
      </c>
      <c r="Z676" s="47" t="n">
        <v>42584</v>
      </c>
      <c r="AA676" s="35" t="s">
        <v>526</v>
      </c>
    </row>
    <row r="677" customFormat="false" ht="79.5" hidden="false" customHeight="true" outlineLevel="0" collapsed="false">
      <c r="A677" s="34" t="n">
        <v>676</v>
      </c>
      <c r="B677" s="37" t="s">
        <v>303</v>
      </c>
      <c r="C677" s="45" t="s">
        <v>2086</v>
      </c>
      <c r="D677" s="43" t="s">
        <v>2087</v>
      </c>
      <c r="E677" s="35" t="s">
        <v>268</v>
      </c>
      <c r="F677" s="39" t="s">
        <v>2088</v>
      </c>
      <c r="G677" s="43" t="s">
        <v>2089</v>
      </c>
      <c r="H677" s="44" t="s">
        <v>2090</v>
      </c>
      <c r="I677" s="45" t="s">
        <v>2091</v>
      </c>
      <c r="J677" s="36"/>
      <c r="K677" s="36"/>
      <c r="L677" s="45"/>
      <c r="M677" s="36" t="s">
        <v>521</v>
      </c>
      <c r="N677" s="40" t="n">
        <v>2000</v>
      </c>
      <c r="O677" s="35"/>
      <c r="P677" s="35" t="s">
        <v>265</v>
      </c>
      <c r="Q677" s="35" t="s">
        <v>67</v>
      </c>
      <c r="R677" s="35" t="s">
        <v>68</v>
      </c>
      <c r="S677" s="42" t="n">
        <v>3</v>
      </c>
      <c r="T677" s="35" t="s">
        <v>64</v>
      </c>
      <c r="U677" s="35" t="s">
        <v>537</v>
      </c>
      <c r="V677" s="36" t="s">
        <v>284</v>
      </c>
      <c r="W677" s="36" t="s">
        <v>524</v>
      </c>
      <c r="X677" s="44" t="s">
        <v>553</v>
      </c>
      <c r="Y677" s="41" t="s">
        <v>2092</v>
      </c>
      <c r="Z677" s="47" t="n">
        <v>41886</v>
      </c>
      <c r="AA677" s="35" t="s">
        <v>526</v>
      </c>
    </row>
    <row r="678" customFormat="false" ht="49.5" hidden="false" customHeight="true" outlineLevel="0" collapsed="false">
      <c r="A678" s="34" t="n">
        <v>677</v>
      </c>
      <c r="B678" s="37" t="s">
        <v>303</v>
      </c>
      <c r="C678" s="45" t="s">
        <v>1555</v>
      </c>
      <c r="D678" s="43" t="s">
        <v>1556</v>
      </c>
      <c r="E678" s="35" t="s">
        <v>211</v>
      </c>
      <c r="F678" s="39" t="s">
        <v>2093</v>
      </c>
      <c r="G678" s="43" t="s">
        <v>2094</v>
      </c>
      <c r="H678" s="44" t="s">
        <v>2095</v>
      </c>
      <c r="I678" s="45" t="s">
        <v>964</v>
      </c>
      <c r="J678" s="36"/>
      <c r="K678" s="36"/>
      <c r="L678" s="45"/>
      <c r="M678" s="36" t="s">
        <v>521</v>
      </c>
      <c r="N678" s="40" t="n">
        <v>3000</v>
      </c>
      <c r="O678" s="35"/>
      <c r="P678" s="35" t="s">
        <v>265</v>
      </c>
      <c r="Q678" s="35" t="s">
        <v>67</v>
      </c>
      <c r="R678" s="35" t="s">
        <v>68</v>
      </c>
      <c r="S678" s="42" t="n">
        <v>3</v>
      </c>
      <c r="T678" s="35" t="s">
        <v>98</v>
      </c>
      <c r="U678" s="35" t="s">
        <v>204</v>
      </c>
      <c r="V678" s="36" t="s">
        <v>205</v>
      </c>
      <c r="W678" s="36" t="s">
        <v>524</v>
      </c>
      <c r="X678" s="44" t="s">
        <v>867</v>
      </c>
      <c r="Y678" s="41" t="s">
        <v>2096</v>
      </c>
      <c r="Z678" s="47" t="n">
        <v>44880</v>
      </c>
      <c r="AA678" s="35" t="s">
        <v>526</v>
      </c>
    </row>
    <row r="679" customFormat="false" ht="49.5" hidden="false" customHeight="true" outlineLevel="0" collapsed="false">
      <c r="A679" s="34" t="n">
        <v>678</v>
      </c>
      <c r="B679" s="37" t="s">
        <v>303</v>
      </c>
      <c r="C679" s="45" t="s">
        <v>1555</v>
      </c>
      <c r="D679" s="43" t="s">
        <v>1556</v>
      </c>
      <c r="E679" s="35" t="s">
        <v>211</v>
      </c>
      <c r="F679" s="39" t="s">
        <v>2093</v>
      </c>
      <c r="G679" s="43" t="s">
        <v>2094</v>
      </c>
      <c r="H679" s="44" t="s">
        <v>2095</v>
      </c>
      <c r="I679" s="45" t="s">
        <v>964</v>
      </c>
      <c r="J679" s="36"/>
      <c r="K679" s="36"/>
      <c r="L679" s="45"/>
      <c r="M679" s="36" t="s">
        <v>521</v>
      </c>
      <c r="N679" s="40" t="n">
        <v>7500</v>
      </c>
      <c r="O679" s="41" t="s">
        <v>1503</v>
      </c>
      <c r="P679" s="35" t="s">
        <v>265</v>
      </c>
      <c r="Q679" s="35" t="s">
        <v>314</v>
      </c>
      <c r="R679" s="41" t="s">
        <v>1481</v>
      </c>
      <c r="S679" s="42" t="n">
        <v>2</v>
      </c>
      <c r="T679" s="35" t="s">
        <v>98</v>
      </c>
      <c r="U679" s="35" t="s">
        <v>204</v>
      </c>
      <c r="V679" s="36" t="s">
        <v>205</v>
      </c>
      <c r="W679" s="36" t="s">
        <v>524</v>
      </c>
      <c r="X679" s="44" t="s">
        <v>867</v>
      </c>
      <c r="Y679" s="41" t="s">
        <v>2096</v>
      </c>
      <c r="Z679" s="47" t="n">
        <v>44880</v>
      </c>
      <c r="AA679" s="35" t="s">
        <v>526</v>
      </c>
    </row>
    <row r="680" customFormat="false" ht="49.5" hidden="false" customHeight="true" outlineLevel="0" collapsed="false">
      <c r="A680" s="34" t="n">
        <v>679</v>
      </c>
      <c r="B680" s="37" t="s">
        <v>303</v>
      </c>
      <c r="C680" s="45" t="s">
        <v>1555</v>
      </c>
      <c r="D680" s="43" t="s">
        <v>1556</v>
      </c>
      <c r="E680" s="35" t="s">
        <v>211</v>
      </c>
      <c r="F680" s="39" t="s">
        <v>2097</v>
      </c>
      <c r="G680" s="43" t="s">
        <v>2094</v>
      </c>
      <c r="H680" s="44" t="s">
        <v>2095</v>
      </c>
      <c r="I680" s="45" t="s">
        <v>964</v>
      </c>
      <c r="J680" s="36"/>
      <c r="K680" s="36"/>
      <c r="L680" s="45"/>
      <c r="M680" s="36" t="s">
        <v>521</v>
      </c>
      <c r="N680" s="40" t="n">
        <v>3000</v>
      </c>
      <c r="O680" s="35"/>
      <c r="P680" s="35" t="s">
        <v>265</v>
      </c>
      <c r="Q680" s="35" t="s">
        <v>67</v>
      </c>
      <c r="R680" s="35" t="s">
        <v>68</v>
      </c>
      <c r="S680" s="42" t="n">
        <v>3</v>
      </c>
      <c r="T680" s="35" t="s">
        <v>98</v>
      </c>
      <c r="U680" s="35" t="s">
        <v>204</v>
      </c>
      <c r="V680" s="36" t="s">
        <v>205</v>
      </c>
      <c r="W680" s="36" t="s">
        <v>524</v>
      </c>
      <c r="X680" s="44" t="s">
        <v>856</v>
      </c>
      <c r="Y680" s="41" t="s">
        <v>2098</v>
      </c>
      <c r="Z680" s="47" t="n">
        <v>44774</v>
      </c>
      <c r="AA680" s="35" t="s">
        <v>526</v>
      </c>
    </row>
    <row r="681" customFormat="false" ht="49.5" hidden="false" customHeight="true" outlineLevel="0" collapsed="false">
      <c r="A681" s="34" t="n">
        <v>680</v>
      </c>
      <c r="B681" s="37" t="s">
        <v>303</v>
      </c>
      <c r="C681" s="45" t="s">
        <v>1555</v>
      </c>
      <c r="D681" s="43" t="s">
        <v>1556</v>
      </c>
      <c r="E681" s="35" t="s">
        <v>211</v>
      </c>
      <c r="F681" s="39" t="s">
        <v>2097</v>
      </c>
      <c r="G681" s="43" t="s">
        <v>2094</v>
      </c>
      <c r="H681" s="44" t="s">
        <v>2095</v>
      </c>
      <c r="I681" s="45" t="s">
        <v>964</v>
      </c>
      <c r="J681" s="36"/>
      <c r="K681" s="36"/>
      <c r="L681" s="45"/>
      <c r="M681" s="36" t="s">
        <v>521</v>
      </c>
      <c r="N681" s="40" t="n">
        <v>3000</v>
      </c>
      <c r="O681" s="35"/>
      <c r="P681" s="35" t="s">
        <v>265</v>
      </c>
      <c r="Q681" s="35" t="s">
        <v>67</v>
      </c>
      <c r="R681" s="35" t="s">
        <v>68</v>
      </c>
      <c r="S681" s="42" t="n">
        <v>3</v>
      </c>
      <c r="T681" s="35" t="s">
        <v>98</v>
      </c>
      <c r="U681" s="35" t="s">
        <v>204</v>
      </c>
      <c r="V681" s="36" t="s">
        <v>205</v>
      </c>
      <c r="W681" s="36" t="s">
        <v>524</v>
      </c>
      <c r="X681" s="44" t="s">
        <v>847</v>
      </c>
      <c r="Y681" s="41" t="s">
        <v>2099</v>
      </c>
      <c r="Z681" s="47" t="n">
        <v>45246</v>
      </c>
      <c r="AA681" s="35" t="s">
        <v>526</v>
      </c>
    </row>
    <row r="682" customFormat="false" ht="49.5" hidden="false" customHeight="true" outlineLevel="0" collapsed="false">
      <c r="A682" s="34" t="n">
        <v>681</v>
      </c>
      <c r="B682" s="37" t="s">
        <v>303</v>
      </c>
      <c r="C682" s="45" t="s">
        <v>1555</v>
      </c>
      <c r="D682" s="43" t="s">
        <v>1556</v>
      </c>
      <c r="E682" s="35" t="s">
        <v>268</v>
      </c>
      <c r="F682" s="39" t="s">
        <v>2100</v>
      </c>
      <c r="G682" s="43" t="s">
        <v>2094</v>
      </c>
      <c r="H682" s="44" t="s">
        <v>2095</v>
      </c>
      <c r="I682" s="45" t="s">
        <v>964</v>
      </c>
      <c r="J682" s="36"/>
      <c r="K682" s="36"/>
      <c r="L682" s="45"/>
      <c r="M682" s="36" t="s">
        <v>521</v>
      </c>
      <c r="N682" s="40" t="n">
        <v>3000</v>
      </c>
      <c r="O682" s="35"/>
      <c r="P682" s="35" t="s">
        <v>265</v>
      </c>
      <c r="Q682" s="35" t="s">
        <v>67</v>
      </c>
      <c r="R682" s="35" t="s">
        <v>68</v>
      </c>
      <c r="S682" s="42" t="n">
        <v>3</v>
      </c>
      <c r="T682" s="35" t="s">
        <v>98</v>
      </c>
      <c r="U682" s="35" t="s">
        <v>204</v>
      </c>
      <c r="V682" s="36" t="s">
        <v>205</v>
      </c>
      <c r="W682" s="36" t="s">
        <v>524</v>
      </c>
      <c r="X682" s="44" t="s">
        <v>221</v>
      </c>
      <c r="Y682" s="41" t="s">
        <v>2101</v>
      </c>
      <c r="Z682" s="47" t="n">
        <v>42846</v>
      </c>
      <c r="AA682" s="35" t="s">
        <v>526</v>
      </c>
    </row>
    <row r="683" customFormat="false" ht="49.5" hidden="false" customHeight="true" outlineLevel="0" collapsed="false">
      <c r="A683" s="34" t="n">
        <v>682</v>
      </c>
      <c r="B683" s="37" t="s">
        <v>303</v>
      </c>
      <c r="C683" s="45" t="s">
        <v>1555</v>
      </c>
      <c r="D683" s="43" t="s">
        <v>1556</v>
      </c>
      <c r="E683" s="35" t="s">
        <v>268</v>
      </c>
      <c r="F683" s="39" t="s">
        <v>2102</v>
      </c>
      <c r="G683" s="43" t="s">
        <v>2103</v>
      </c>
      <c r="H683" s="44" t="s">
        <v>2095</v>
      </c>
      <c r="I683" s="45" t="s">
        <v>2104</v>
      </c>
      <c r="J683" s="36"/>
      <c r="K683" s="36"/>
      <c r="L683" s="45"/>
      <c r="M683" s="36" t="s">
        <v>521</v>
      </c>
      <c r="N683" s="40" t="n">
        <v>5000</v>
      </c>
      <c r="O683" s="35"/>
      <c r="P683" s="35" t="s">
        <v>265</v>
      </c>
      <c r="Q683" s="35" t="s">
        <v>67</v>
      </c>
      <c r="R683" s="35" t="s">
        <v>68</v>
      </c>
      <c r="S683" s="42" t="n">
        <v>3</v>
      </c>
      <c r="T683" s="35" t="s">
        <v>90</v>
      </c>
      <c r="U683" s="35" t="s">
        <v>204</v>
      </c>
      <c r="V683" s="36" t="s">
        <v>205</v>
      </c>
      <c r="W683" s="36" t="s">
        <v>524</v>
      </c>
      <c r="X683" s="43" t="s">
        <v>932</v>
      </c>
      <c r="Y683" s="41" t="s">
        <v>2105</v>
      </c>
      <c r="Z683" s="47" t="n">
        <v>42012</v>
      </c>
      <c r="AA683" s="35" t="s">
        <v>526</v>
      </c>
    </row>
    <row r="684" customFormat="false" ht="49.5" hidden="false" customHeight="true" outlineLevel="0" collapsed="false">
      <c r="A684" s="34" t="n">
        <v>683</v>
      </c>
      <c r="B684" s="37" t="s">
        <v>303</v>
      </c>
      <c r="C684" s="45" t="s">
        <v>1555</v>
      </c>
      <c r="D684" s="43" t="s">
        <v>1556</v>
      </c>
      <c r="E684" s="35" t="s">
        <v>268</v>
      </c>
      <c r="F684" s="39" t="s">
        <v>2106</v>
      </c>
      <c r="G684" s="43" t="s">
        <v>2094</v>
      </c>
      <c r="H684" s="44" t="s">
        <v>2095</v>
      </c>
      <c r="I684" s="45" t="s">
        <v>964</v>
      </c>
      <c r="J684" s="36"/>
      <c r="K684" s="36"/>
      <c r="L684" s="45"/>
      <c r="M684" s="36" t="s">
        <v>521</v>
      </c>
      <c r="N684" s="40" t="n">
        <v>3000</v>
      </c>
      <c r="O684" s="35"/>
      <c r="P684" s="35" t="s">
        <v>265</v>
      </c>
      <c r="Q684" s="35" t="s">
        <v>67</v>
      </c>
      <c r="R684" s="35" t="s">
        <v>68</v>
      </c>
      <c r="S684" s="42" t="n">
        <v>3</v>
      </c>
      <c r="T684" s="35" t="s">
        <v>98</v>
      </c>
      <c r="U684" s="35" t="s">
        <v>204</v>
      </c>
      <c r="V684" s="36" t="s">
        <v>205</v>
      </c>
      <c r="W684" s="36" t="s">
        <v>524</v>
      </c>
      <c r="X684" s="44" t="s">
        <v>341</v>
      </c>
      <c r="Y684" s="41" t="s">
        <v>2107</v>
      </c>
      <c r="Z684" s="47" t="n">
        <v>43578</v>
      </c>
      <c r="AA684" s="35" t="s">
        <v>526</v>
      </c>
    </row>
    <row r="685" customFormat="false" ht="49.5" hidden="false" customHeight="true" outlineLevel="0" collapsed="false">
      <c r="A685" s="34" t="n">
        <v>684</v>
      </c>
      <c r="B685" s="37" t="s">
        <v>303</v>
      </c>
      <c r="C685" s="45" t="s">
        <v>1555</v>
      </c>
      <c r="D685" s="43" t="s">
        <v>1556</v>
      </c>
      <c r="E685" s="35" t="s">
        <v>268</v>
      </c>
      <c r="F685" s="39" t="s">
        <v>2108</v>
      </c>
      <c r="G685" s="43" t="s">
        <v>2094</v>
      </c>
      <c r="H685" s="44" t="s">
        <v>2095</v>
      </c>
      <c r="I685" s="45" t="s">
        <v>964</v>
      </c>
      <c r="J685" s="36"/>
      <c r="K685" s="36"/>
      <c r="L685" s="45"/>
      <c r="M685" s="36" t="s">
        <v>521</v>
      </c>
      <c r="N685" s="40" t="n">
        <v>3000</v>
      </c>
      <c r="O685" s="35"/>
      <c r="P685" s="35" t="s">
        <v>265</v>
      </c>
      <c r="Q685" s="35" t="s">
        <v>67</v>
      </c>
      <c r="R685" s="35" t="s">
        <v>68</v>
      </c>
      <c r="S685" s="42" t="n">
        <v>3</v>
      </c>
      <c r="T685" s="35" t="s">
        <v>98</v>
      </c>
      <c r="U685" s="35" t="s">
        <v>204</v>
      </c>
      <c r="V685" s="36" t="s">
        <v>205</v>
      </c>
      <c r="W685" s="36" t="s">
        <v>524</v>
      </c>
      <c r="X685" s="44" t="s">
        <v>230</v>
      </c>
      <c r="Y685" s="41" t="s">
        <v>2109</v>
      </c>
      <c r="Z685" s="47" t="n">
        <v>39448</v>
      </c>
      <c r="AA685" s="35" t="s">
        <v>526</v>
      </c>
    </row>
    <row r="686" customFormat="false" ht="49.5" hidden="false" customHeight="true" outlineLevel="0" collapsed="false">
      <c r="A686" s="34" t="n">
        <v>685</v>
      </c>
      <c r="B686" s="37" t="s">
        <v>303</v>
      </c>
      <c r="C686" s="45" t="s">
        <v>1555</v>
      </c>
      <c r="D686" s="43" t="s">
        <v>1556</v>
      </c>
      <c r="E686" s="35" t="s">
        <v>268</v>
      </c>
      <c r="F686" s="39" t="s">
        <v>2108</v>
      </c>
      <c r="G686" s="43" t="s">
        <v>2094</v>
      </c>
      <c r="H686" s="44" t="s">
        <v>2095</v>
      </c>
      <c r="I686" s="45" t="s">
        <v>964</v>
      </c>
      <c r="J686" s="36"/>
      <c r="K686" s="36"/>
      <c r="L686" s="45"/>
      <c r="M686" s="36" t="s">
        <v>521</v>
      </c>
      <c r="N686" s="40" t="n">
        <v>3000</v>
      </c>
      <c r="O686" s="35"/>
      <c r="P686" s="35" t="s">
        <v>265</v>
      </c>
      <c r="Q686" s="35" t="s">
        <v>67</v>
      </c>
      <c r="R686" s="35" t="s">
        <v>68</v>
      </c>
      <c r="S686" s="42" t="n">
        <v>3</v>
      </c>
      <c r="T686" s="35" t="s">
        <v>98</v>
      </c>
      <c r="U686" s="35" t="s">
        <v>204</v>
      </c>
      <c r="V686" s="36" t="s">
        <v>205</v>
      </c>
      <c r="W686" s="36" t="s">
        <v>524</v>
      </c>
      <c r="X686" s="43" t="s">
        <v>369</v>
      </c>
      <c r="Y686" s="41" t="s">
        <v>2110</v>
      </c>
      <c r="Z686" s="47" t="n">
        <v>39448</v>
      </c>
      <c r="AA686" s="35" t="s">
        <v>526</v>
      </c>
    </row>
    <row r="687" customFormat="false" ht="49.5" hidden="false" customHeight="true" outlineLevel="0" collapsed="false">
      <c r="A687" s="34" t="n">
        <v>686</v>
      </c>
      <c r="B687" s="37" t="s">
        <v>303</v>
      </c>
      <c r="C687" s="45" t="s">
        <v>1555</v>
      </c>
      <c r="D687" s="43" t="s">
        <v>1556</v>
      </c>
      <c r="E687" s="35" t="s">
        <v>211</v>
      </c>
      <c r="F687" s="39" t="s">
        <v>2108</v>
      </c>
      <c r="G687" s="43" t="s">
        <v>2094</v>
      </c>
      <c r="H687" s="44" t="s">
        <v>2095</v>
      </c>
      <c r="I687" s="45" t="s">
        <v>964</v>
      </c>
      <c r="J687" s="36"/>
      <c r="K687" s="36"/>
      <c r="L687" s="45"/>
      <c r="M687" s="36" t="s">
        <v>521</v>
      </c>
      <c r="N687" s="40" t="n">
        <v>7500</v>
      </c>
      <c r="O687" s="35"/>
      <c r="P687" s="35" t="s">
        <v>265</v>
      </c>
      <c r="Q687" s="35" t="s">
        <v>314</v>
      </c>
      <c r="R687" s="41" t="s">
        <v>1481</v>
      </c>
      <c r="S687" s="42" t="n">
        <v>2</v>
      </c>
      <c r="T687" s="35" t="s">
        <v>98</v>
      </c>
      <c r="U687" s="35" t="s">
        <v>204</v>
      </c>
      <c r="V687" s="36" t="s">
        <v>205</v>
      </c>
      <c r="W687" s="36" t="s">
        <v>524</v>
      </c>
      <c r="X687" s="43" t="s">
        <v>369</v>
      </c>
      <c r="Y687" s="41" t="s">
        <v>2110</v>
      </c>
      <c r="Z687" s="47" t="n">
        <v>39448</v>
      </c>
      <c r="AA687" s="35" t="s">
        <v>526</v>
      </c>
    </row>
    <row r="688" customFormat="false" ht="49.5" hidden="false" customHeight="true" outlineLevel="0" collapsed="false">
      <c r="A688" s="34" t="n">
        <v>687</v>
      </c>
      <c r="B688" s="37" t="s">
        <v>303</v>
      </c>
      <c r="C688" s="45" t="s">
        <v>1555</v>
      </c>
      <c r="D688" s="43" t="s">
        <v>1556</v>
      </c>
      <c r="E688" s="35" t="s">
        <v>211</v>
      </c>
      <c r="F688" s="39" t="s">
        <v>2108</v>
      </c>
      <c r="G688" s="43" t="s">
        <v>2094</v>
      </c>
      <c r="H688" s="44" t="s">
        <v>2095</v>
      </c>
      <c r="I688" s="45" t="s">
        <v>964</v>
      </c>
      <c r="J688" s="36"/>
      <c r="K688" s="36"/>
      <c r="L688" s="45"/>
      <c r="M688" s="36" t="s">
        <v>521</v>
      </c>
      <c r="N688" s="40" t="n">
        <v>7500</v>
      </c>
      <c r="O688" s="41" t="s">
        <v>1503</v>
      </c>
      <c r="P688" s="35" t="s">
        <v>265</v>
      </c>
      <c r="Q688" s="35" t="s">
        <v>314</v>
      </c>
      <c r="R688" s="41" t="s">
        <v>1481</v>
      </c>
      <c r="S688" s="42" t="n">
        <v>2</v>
      </c>
      <c r="T688" s="35" t="s">
        <v>98</v>
      </c>
      <c r="U688" s="35" t="s">
        <v>204</v>
      </c>
      <c r="V688" s="36" t="s">
        <v>205</v>
      </c>
      <c r="W688" s="36" t="s">
        <v>524</v>
      </c>
      <c r="X688" s="44" t="s">
        <v>230</v>
      </c>
      <c r="Y688" s="41" t="s">
        <v>2109</v>
      </c>
      <c r="Z688" s="47" t="n">
        <v>39448</v>
      </c>
      <c r="AA688" s="35" t="s">
        <v>526</v>
      </c>
    </row>
    <row r="689" customFormat="false" ht="49.5" hidden="false" customHeight="true" outlineLevel="0" collapsed="false">
      <c r="A689" s="34" t="n">
        <v>688</v>
      </c>
      <c r="B689" s="37" t="s">
        <v>303</v>
      </c>
      <c r="C689" s="45" t="s">
        <v>1555</v>
      </c>
      <c r="D689" s="43" t="s">
        <v>1556</v>
      </c>
      <c r="E689" s="35" t="s">
        <v>211</v>
      </c>
      <c r="F689" s="39" t="s">
        <v>1557</v>
      </c>
      <c r="G689" s="43" t="s">
        <v>1558</v>
      </c>
      <c r="H689" s="44" t="s">
        <v>1559</v>
      </c>
      <c r="I689" s="45" t="s">
        <v>576</v>
      </c>
      <c r="J689" s="36"/>
      <c r="K689" s="36"/>
      <c r="L689" s="45"/>
      <c r="M689" s="36" t="s">
        <v>521</v>
      </c>
      <c r="N689" s="40" t="n">
        <v>4000</v>
      </c>
      <c r="O689" s="35"/>
      <c r="P689" s="35" t="s">
        <v>265</v>
      </c>
      <c r="Q689" s="35" t="s">
        <v>67</v>
      </c>
      <c r="R689" s="35" t="s">
        <v>68</v>
      </c>
      <c r="S689" s="42" t="n">
        <v>2</v>
      </c>
      <c r="T689" s="35" t="s">
        <v>90</v>
      </c>
      <c r="U689" s="35" t="s">
        <v>204</v>
      </c>
      <c r="V689" s="36" t="s">
        <v>205</v>
      </c>
      <c r="W689" s="36" t="s">
        <v>524</v>
      </c>
      <c r="X689" s="44" t="s">
        <v>267</v>
      </c>
      <c r="Y689" s="41" t="s">
        <v>1560</v>
      </c>
      <c r="Z689" s="47" t="n">
        <v>40956</v>
      </c>
      <c r="AA689" s="35" t="s">
        <v>526</v>
      </c>
    </row>
    <row r="690" customFormat="false" ht="49.5" hidden="false" customHeight="true" outlineLevel="0" collapsed="false">
      <c r="A690" s="34" t="n">
        <v>689</v>
      </c>
      <c r="B690" s="37" t="s">
        <v>303</v>
      </c>
      <c r="C690" s="45" t="s">
        <v>1555</v>
      </c>
      <c r="D690" s="43" t="s">
        <v>1556</v>
      </c>
      <c r="E690" s="35" t="s">
        <v>268</v>
      </c>
      <c r="F690" s="39" t="s">
        <v>2111</v>
      </c>
      <c r="G690" s="43" t="s">
        <v>2112</v>
      </c>
      <c r="H690" s="44" t="s">
        <v>1559</v>
      </c>
      <c r="I690" s="45" t="s">
        <v>2113</v>
      </c>
      <c r="J690" s="36" t="s">
        <v>80</v>
      </c>
      <c r="K690" s="36"/>
      <c r="L690" s="45"/>
      <c r="M690" s="36" t="s">
        <v>521</v>
      </c>
      <c r="N690" s="40" t="n">
        <v>2000</v>
      </c>
      <c r="O690" s="35"/>
      <c r="P690" s="35" t="s">
        <v>265</v>
      </c>
      <c r="Q690" s="35" t="s">
        <v>67</v>
      </c>
      <c r="R690" s="35" t="s">
        <v>68</v>
      </c>
      <c r="S690" s="42" t="n">
        <v>2</v>
      </c>
      <c r="T690" s="35" t="s">
        <v>64</v>
      </c>
      <c r="U690" s="35" t="s">
        <v>204</v>
      </c>
      <c r="V690" s="36" t="s">
        <v>205</v>
      </c>
      <c r="W690" s="36" t="s">
        <v>524</v>
      </c>
      <c r="X690" s="44" t="s">
        <v>267</v>
      </c>
      <c r="Y690" s="41" t="s">
        <v>2114</v>
      </c>
      <c r="Z690" s="47" t="n">
        <v>41841</v>
      </c>
      <c r="AA690" s="35" t="s">
        <v>578</v>
      </c>
    </row>
    <row r="691" customFormat="false" ht="49.5" hidden="false" customHeight="true" outlineLevel="0" collapsed="false">
      <c r="A691" s="34" t="n">
        <v>690</v>
      </c>
      <c r="B691" s="37" t="s">
        <v>303</v>
      </c>
      <c r="C691" s="45" t="s">
        <v>1555</v>
      </c>
      <c r="D691" s="43" t="s">
        <v>1556</v>
      </c>
      <c r="E691" s="35" t="s">
        <v>268</v>
      </c>
      <c r="F691" s="39" t="s">
        <v>2115</v>
      </c>
      <c r="G691" s="43" t="s">
        <v>2103</v>
      </c>
      <c r="H691" s="44" t="s">
        <v>2095</v>
      </c>
      <c r="I691" s="45" t="s">
        <v>2104</v>
      </c>
      <c r="J691" s="36"/>
      <c r="K691" s="36"/>
      <c r="L691" s="45"/>
      <c r="M691" s="36" t="s">
        <v>521</v>
      </c>
      <c r="N691" s="40" t="n">
        <v>5000</v>
      </c>
      <c r="O691" s="35"/>
      <c r="P691" s="35" t="s">
        <v>265</v>
      </c>
      <c r="Q691" s="35" t="s">
        <v>67</v>
      </c>
      <c r="R691" s="35" t="s">
        <v>68</v>
      </c>
      <c r="S691" s="42" t="n">
        <v>3</v>
      </c>
      <c r="T691" s="35" t="s">
        <v>90</v>
      </c>
      <c r="U691" s="35" t="s">
        <v>204</v>
      </c>
      <c r="V691" s="36" t="s">
        <v>205</v>
      </c>
      <c r="W691" s="36" t="s">
        <v>524</v>
      </c>
      <c r="X691" s="43" t="s">
        <v>369</v>
      </c>
      <c r="Y691" s="41" t="s">
        <v>2116</v>
      </c>
      <c r="Z691" s="47" t="n">
        <v>40631</v>
      </c>
      <c r="AA691" s="35" t="s">
        <v>526</v>
      </c>
    </row>
    <row r="692" customFormat="false" ht="34.5" hidden="false" customHeight="true" outlineLevel="0" collapsed="false">
      <c r="A692" s="34" t="n">
        <v>691</v>
      </c>
      <c r="B692" s="37" t="s">
        <v>303</v>
      </c>
      <c r="C692" s="45" t="s">
        <v>2117</v>
      </c>
      <c r="D692" s="43" t="s">
        <v>2118</v>
      </c>
      <c r="E692" s="35" t="s">
        <v>211</v>
      </c>
      <c r="F692" s="39" t="s">
        <v>2119</v>
      </c>
      <c r="G692" s="43" t="s">
        <v>2120</v>
      </c>
      <c r="H692" s="44" t="s">
        <v>2121</v>
      </c>
      <c r="I692" s="45" t="s">
        <v>2122</v>
      </c>
      <c r="J692" s="36"/>
      <c r="K692" s="36"/>
      <c r="L692" s="45"/>
      <c r="M692" s="36" t="s">
        <v>521</v>
      </c>
      <c r="N692" s="40" t="n">
        <v>2000</v>
      </c>
      <c r="O692" s="35"/>
      <c r="P692" s="35" t="s">
        <v>265</v>
      </c>
      <c r="Q692" s="35" t="s">
        <v>67</v>
      </c>
      <c r="R692" s="35" t="s">
        <v>68</v>
      </c>
      <c r="S692" s="42" t="n">
        <v>2</v>
      </c>
      <c r="T692" s="35" t="s">
        <v>784</v>
      </c>
      <c r="U692" s="35" t="s">
        <v>204</v>
      </c>
      <c r="V692" s="36" t="s">
        <v>205</v>
      </c>
      <c r="W692" s="36" t="s">
        <v>524</v>
      </c>
      <c r="X692" s="44" t="s">
        <v>230</v>
      </c>
      <c r="Y692" s="41" t="s">
        <v>2123</v>
      </c>
      <c r="Z692" s="47" t="n">
        <v>44194</v>
      </c>
      <c r="AA692" s="35" t="s">
        <v>526</v>
      </c>
    </row>
    <row r="693" customFormat="false" ht="34.5" hidden="false" customHeight="true" outlineLevel="0" collapsed="false">
      <c r="A693" s="34" t="n">
        <v>692</v>
      </c>
      <c r="B693" s="37" t="s">
        <v>303</v>
      </c>
      <c r="C693" s="45" t="s">
        <v>2117</v>
      </c>
      <c r="D693" s="43" t="s">
        <v>2118</v>
      </c>
      <c r="E693" s="35" t="s">
        <v>211</v>
      </c>
      <c r="F693" s="39" t="s">
        <v>2124</v>
      </c>
      <c r="G693" s="43" t="s">
        <v>2125</v>
      </c>
      <c r="H693" s="44" t="s">
        <v>2121</v>
      </c>
      <c r="I693" s="45" t="s">
        <v>2122</v>
      </c>
      <c r="J693" s="36"/>
      <c r="K693" s="36"/>
      <c r="L693" s="45"/>
      <c r="M693" s="36" t="s">
        <v>521</v>
      </c>
      <c r="N693" s="40" t="n">
        <v>2000</v>
      </c>
      <c r="O693" s="35"/>
      <c r="P693" s="35" t="s">
        <v>265</v>
      </c>
      <c r="Q693" s="35" t="s">
        <v>67</v>
      </c>
      <c r="R693" s="35" t="s">
        <v>68</v>
      </c>
      <c r="S693" s="42" t="n">
        <v>2</v>
      </c>
      <c r="T693" s="35" t="s">
        <v>610</v>
      </c>
      <c r="U693" s="35" t="s">
        <v>204</v>
      </c>
      <c r="V693" s="36" t="s">
        <v>205</v>
      </c>
      <c r="W693" s="36" t="s">
        <v>524</v>
      </c>
      <c r="X693" s="43" t="s">
        <v>932</v>
      </c>
      <c r="Y693" s="41" t="s">
        <v>2126</v>
      </c>
      <c r="Z693" s="47" t="n">
        <v>44179</v>
      </c>
      <c r="AA693" s="35" t="s">
        <v>526</v>
      </c>
    </row>
    <row r="694" customFormat="false" ht="34.5" hidden="false" customHeight="true" outlineLevel="0" collapsed="false">
      <c r="A694" s="34" t="n">
        <v>693</v>
      </c>
      <c r="B694" s="37" t="s">
        <v>303</v>
      </c>
      <c r="C694" s="45" t="s">
        <v>2117</v>
      </c>
      <c r="D694" s="43" t="s">
        <v>2118</v>
      </c>
      <c r="E694" s="35" t="s">
        <v>211</v>
      </c>
      <c r="F694" s="39" t="s">
        <v>2127</v>
      </c>
      <c r="G694" s="43" t="s">
        <v>2128</v>
      </c>
      <c r="H694" s="44" t="s">
        <v>2129</v>
      </c>
      <c r="I694" s="45" t="s">
        <v>2130</v>
      </c>
      <c r="J694" s="36"/>
      <c r="K694" s="36"/>
      <c r="L694" s="45"/>
      <c r="M694" s="36" t="s">
        <v>521</v>
      </c>
      <c r="N694" s="40" t="n">
        <v>2000</v>
      </c>
      <c r="O694" s="35"/>
      <c r="P694" s="35" t="s">
        <v>265</v>
      </c>
      <c r="Q694" s="35" t="s">
        <v>67</v>
      </c>
      <c r="R694" s="35" t="s">
        <v>144</v>
      </c>
      <c r="S694" s="42" t="n">
        <v>2</v>
      </c>
      <c r="T694" s="35" t="s">
        <v>610</v>
      </c>
      <c r="U694" s="35" t="s">
        <v>204</v>
      </c>
      <c r="V694" s="36" t="s">
        <v>205</v>
      </c>
      <c r="W694" s="36" t="s">
        <v>524</v>
      </c>
      <c r="X694" s="44" t="s">
        <v>553</v>
      </c>
      <c r="Y694" s="41" t="s">
        <v>2131</v>
      </c>
      <c r="Z694" s="47" t="n">
        <v>45516</v>
      </c>
      <c r="AA694" s="35" t="s">
        <v>526</v>
      </c>
    </row>
    <row r="695" customFormat="false" ht="64.5" hidden="false" customHeight="true" outlineLevel="0" collapsed="false">
      <c r="A695" s="34" t="n">
        <v>694</v>
      </c>
      <c r="B695" s="37" t="s">
        <v>303</v>
      </c>
      <c r="C695" s="36" t="s">
        <v>2132</v>
      </c>
      <c r="D695" s="44" t="s">
        <v>2133</v>
      </c>
      <c r="E695" s="35" t="s">
        <v>268</v>
      </c>
      <c r="F695" s="39" t="s">
        <v>2134</v>
      </c>
      <c r="G695" s="43" t="s">
        <v>2135</v>
      </c>
      <c r="H695" s="44" t="s">
        <v>2136</v>
      </c>
      <c r="I695" s="45" t="s">
        <v>1710</v>
      </c>
      <c r="J695" s="36"/>
      <c r="K695" s="36"/>
      <c r="L695" s="45"/>
      <c r="M695" s="36" t="s">
        <v>561</v>
      </c>
      <c r="N695" s="40"/>
      <c r="O695" s="41" t="s">
        <v>569</v>
      </c>
      <c r="P695" s="35" t="s">
        <v>523</v>
      </c>
      <c r="Q695" s="35" t="s">
        <v>189</v>
      </c>
      <c r="R695" s="35" t="s">
        <v>202</v>
      </c>
      <c r="S695" s="42" t="n">
        <v>1</v>
      </c>
      <c r="T695" s="35" t="s">
        <v>127</v>
      </c>
      <c r="U695" s="35" t="s">
        <v>204</v>
      </c>
      <c r="V695" s="36" t="s">
        <v>205</v>
      </c>
      <c r="W695" s="36" t="s">
        <v>524</v>
      </c>
      <c r="X695" s="44" t="s">
        <v>553</v>
      </c>
      <c r="Y695" s="41" t="s">
        <v>2137</v>
      </c>
      <c r="Z695" s="47" t="n">
        <v>41947</v>
      </c>
      <c r="AA695" s="35" t="s">
        <v>526</v>
      </c>
    </row>
    <row r="696" customFormat="false" ht="64.5" hidden="false" customHeight="true" outlineLevel="0" collapsed="false">
      <c r="A696" s="34" t="n">
        <v>695</v>
      </c>
      <c r="B696" s="37" t="s">
        <v>303</v>
      </c>
      <c r="C696" s="36" t="s">
        <v>2132</v>
      </c>
      <c r="D696" s="44" t="s">
        <v>2133</v>
      </c>
      <c r="E696" s="35" t="s">
        <v>268</v>
      </c>
      <c r="F696" s="39" t="s">
        <v>2138</v>
      </c>
      <c r="G696" s="43" t="s">
        <v>2139</v>
      </c>
      <c r="H696" s="44" t="s">
        <v>2140</v>
      </c>
      <c r="I696" s="45" t="s">
        <v>2141</v>
      </c>
      <c r="J696" s="36"/>
      <c r="K696" s="36"/>
      <c r="L696" s="45"/>
      <c r="M696" s="36" t="s">
        <v>561</v>
      </c>
      <c r="N696" s="40"/>
      <c r="O696" s="41" t="s">
        <v>569</v>
      </c>
      <c r="P696" s="35" t="s">
        <v>523</v>
      </c>
      <c r="Q696" s="35" t="s">
        <v>189</v>
      </c>
      <c r="R696" s="35" t="s">
        <v>202</v>
      </c>
      <c r="S696" s="42" t="n">
        <v>1</v>
      </c>
      <c r="T696" s="35" t="s">
        <v>127</v>
      </c>
      <c r="U696" s="35" t="s">
        <v>204</v>
      </c>
      <c r="V696" s="36" t="s">
        <v>205</v>
      </c>
      <c r="W696" s="36" t="s">
        <v>524</v>
      </c>
      <c r="X696" s="44" t="s">
        <v>267</v>
      </c>
      <c r="Y696" s="41" t="s">
        <v>2142</v>
      </c>
      <c r="Z696" s="47" t="n">
        <v>42857</v>
      </c>
      <c r="AA696" s="35" t="s">
        <v>526</v>
      </c>
    </row>
    <row r="697" customFormat="false" ht="64.5" hidden="false" customHeight="true" outlineLevel="0" collapsed="false">
      <c r="A697" s="34" t="n">
        <v>696</v>
      </c>
      <c r="B697" s="37" t="s">
        <v>303</v>
      </c>
      <c r="C697" s="36" t="s">
        <v>2132</v>
      </c>
      <c r="D697" s="44" t="s">
        <v>2133</v>
      </c>
      <c r="E697" s="35" t="s">
        <v>268</v>
      </c>
      <c r="F697" s="39" t="s">
        <v>2143</v>
      </c>
      <c r="G697" s="43" t="s">
        <v>2144</v>
      </c>
      <c r="H697" s="44" t="s">
        <v>2145</v>
      </c>
      <c r="I697" s="45" t="s">
        <v>2141</v>
      </c>
      <c r="J697" s="36"/>
      <c r="K697" s="36"/>
      <c r="L697" s="45"/>
      <c r="M697" s="36" t="s">
        <v>561</v>
      </c>
      <c r="N697" s="40"/>
      <c r="O697" s="41" t="s">
        <v>1494</v>
      </c>
      <c r="P697" s="35" t="s">
        <v>523</v>
      </c>
      <c r="Q697" s="35" t="s">
        <v>2146</v>
      </c>
      <c r="R697" s="35" t="s">
        <v>202</v>
      </c>
      <c r="S697" s="42" t="n">
        <v>1</v>
      </c>
      <c r="T697" s="35" t="s">
        <v>127</v>
      </c>
      <c r="U697" s="35" t="s">
        <v>204</v>
      </c>
      <c r="V697" s="36" t="s">
        <v>205</v>
      </c>
      <c r="W697" s="36" t="s">
        <v>524</v>
      </c>
      <c r="X697" s="44" t="s">
        <v>230</v>
      </c>
      <c r="Y697" s="41" t="s">
        <v>2147</v>
      </c>
      <c r="Z697" s="47" t="n">
        <v>43871</v>
      </c>
      <c r="AA697" s="35" t="s">
        <v>526</v>
      </c>
    </row>
    <row r="698" customFormat="false" ht="64.5" hidden="false" customHeight="true" outlineLevel="0" collapsed="false">
      <c r="A698" s="34" t="n">
        <v>697</v>
      </c>
      <c r="B698" s="37" t="s">
        <v>303</v>
      </c>
      <c r="C698" s="36" t="s">
        <v>2148</v>
      </c>
      <c r="D698" s="44" t="s">
        <v>2149</v>
      </c>
      <c r="E698" s="35" t="s">
        <v>268</v>
      </c>
      <c r="F698" s="39" t="s">
        <v>2150</v>
      </c>
      <c r="G698" s="43" t="s">
        <v>2151</v>
      </c>
      <c r="H698" s="44" t="s">
        <v>2152</v>
      </c>
      <c r="I698" s="45" t="s">
        <v>2153</v>
      </c>
      <c r="J698" s="36"/>
      <c r="K698" s="36"/>
      <c r="L698" s="45"/>
      <c r="M698" s="36" t="s">
        <v>561</v>
      </c>
      <c r="N698" s="40"/>
      <c r="O698" s="41" t="s">
        <v>2154</v>
      </c>
      <c r="P698" s="35" t="s">
        <v>523</v>
      </c>
      <c r="Q698" s="35" t="s">
        <v>189</v>
      </c>
      <c r="R698" s="35" t="s">
        <v>202</v>
      </c>
      <c r="S698" s="42" t="n">
        <v>1</v>
      </c>
      <c r="T698" s="35" t="s">
        <v>127</v>
      </c>
      <c r="U698" s="35" t="s">
        <v>204</v>
      </c>
      <c r="V698" s="36" t="s">
        <v>205</v>
      </c>
      <c r="W698" s="36" t="s">
        <v>524</v>
      </c>
      <c r="X698" s="43" t="s">
        <v>861</v>
      </c>
      <c r="Y698" s="41" t="s">
        <v>2155</v>
      </c>
      <c r="Z698" s="47" t="n">
        <v>41947</v>
      </c>
      <c r="AA698" s="35" t="s">
        <v>526</v>
      </c>
    </row>
    <row r="699" customFormat="false" ht="34.5" hidden="false" customHeight="true" outlineLevel="0" collapsed="false">
      <c r="A699" s="34" t="n">
        <v>698</v>
      </c>
      <c r="B699" s="37" t="s">
        <v>303</v>
      </c>
      <c r="C699" s="36" t="s">
        <v>2156</v>
      </c>
      <c r="D699" s="44" t="s">
        <v>2157</v>
      </c>
      <c r="E699" s="35" t="s">
        <v>211</v>
      </c>
      <c r="F699" s="39" t="s">
        <v>2158</v>
      </c>
      <c r="G699" s="43" t="s">
        <v>2159</v>
      </c>
      <c r="H699" s="44" t="s">
        <v>2160</v>
      </c>
      <c r="I699" s="45" t="s">
        <v>2161</v>
      </c>
      <c r="J699" s="36"/>
      <c r="K699" s="36"/>
      <c r="L699" s="45"/>
      <c r="M699" s="36" t="s">
        <v>521</v>
      </c>
      <c r="N699" s="40"/>
      <c r="O699" s="41" t="s">
        <v>2162</v>
      </c>
      <c r="P699" s="35" t="s">
        <v>2163</v>
      </c>
      <c r="Q699" s="35" t="s">
        <v>2164</v>
      </c>
      <c r="R699" s="35" t="s">
        <v>2165</v>
      </c>
      <c r="S699" s="42" t="n">
        <v>1</v>
      </c>
      <c r="T699" s="35" t="s">
        <v>2166</v>
      </c>
      <c r="U699" s="35" t="s">
        <v>204</v>
      </c>
      <c r="V699" s="36" t="s">
        <v>205</v>
      </c>
      <c r="W699" s="36" t="s">
        <v>826</v>
      </c>
      <c r="X699" s="44" t="s">
        <v>210</v>
      </c>
      <c r="Y699" s="41" t="s">
        <v>2167</v>
      </c>
      <c r="Z699" s="47" t="n">
        <v>41999</v>
      </c>
      <c r="AA699" s="35" t="s">
        <v>526</v>
      </c>
    </row>
    <row r="700" customFormat="false" ht="34.5" hidden="false" customHeight="true" outlineLevel="0" collapsed="false">
      <c r="A700" s="34" t="n">
        <v>699</v>
      </c>
      <c r="B700" s="37" t="s">
        <v>303</v>
      </c>
      <c r="C700" s="36" t="s">
        <v>2156</v>
      </c>
      <c r="D700" s="44" t="s">
        <v>2157</v>
      </c>
      <c r="E700" s="35" t="s">
        <v>211</v>
      </c>
      <c r="F700" s="39" t="s">
        <v>2158</v>
      </c>
      <c r="G700" s="43" t="s">
        <v>2159</v>
      </c>
      <c r="H700" s="44" t="s">
        <v>2160</v>
      </c>
      <c r="I700" s="45" t="s">
        <v>2161</v>
      </c>
      <c r="J700" s="36"/>
      <c r="K700" s="36"/>
      <c r="L700" s="45"/>
      <c r="M700" s="36" t="s">
        <v>521</v>
      </c>
      <c r="N700" s="40"/>
      <c r="O700" s="41" t="s">
        <v>2162</v>
      </c>
      <c r="P700" s="35" t="s">
        <v>2163</v>
      </c>
      <c r="Q700" s="35" t="s">
        <v>2164</v>
      </c>
      <c r="R700" s="35" t="s">
        <v>2165</v>
      </c>
      <c r="S700" s="42" t="n">
        <v>1</v>
      </c>
      <c r="T700" s="35" t="s">
        <v>2166</v>
      </c>
      <c r="U700" s="35" t="s">
        <v>204</v>
      </c>
      <c r="V700" s="36" t="s">
        <v>205</v>
      </c>
      <c r="W700" s="36" t="s">
        <v>524</v>
      </c>
      <c r="X700" s="43" t="s">
        <v>2168</v>
      </c>
      <c r="Y700" s="41" t="s">
        <v>2169</v>
      </c>
      <c r="Z700" s="47" t="n">
        <v>42761</v>
      </c>
      <c r="AA700" s="35" t="s">
        <v>526</v>
      </c>
    </row>
    <row r="701" customFormat="false" ht="34.5" hidden="false" customHeight="true" outlineLevel="0" collapsed="false">
      <c r="A701" s="34" t="n">
        <v>700</v>
      </c>
      <c r="B701" s="37" t="s">
        <v>303</v>
      </c>
      <c r="C701" s="36" t="s">
        <v>2156</v>
      </c>
      <c r="D701" s="44" t="s">
        <v>2157</v>
      </c>
      <c r="E701" s="35" t="s">
        <v>211</v>
      </c>
      <c r="F701" s="39" t="s">
        <v>2158</v>
      </c>
      <c r="G701" s="43" t="s">
        <v>2159</v>
      </c>
      <c r="H701" s="44" t="s">
        <v>2160</v>
      </c>
      <c r="I701" s="45" t="s">
        <v>2161</v>
      </c>
      <c r="J701" s="36"/>
      <c r="K701" s="36"/>
      <c r="L701" s="45"/>
      <c r="M701" s="36" t="s">
        <v>521</v>
      </c>
      <c r="N701" s="40"/>
      <c r="O701" s="41" t="s">
        <v>2162</v>
      </c>
      <c r="P701" s="35" t="s">
        <v>2163</v>
      </c>
      <c r="Q701" s="35" t="s">
        <v>2164</v>
      </c>
      <c r="R701" s="35" t="s">
        <v>2165</v>
      </c>
      <c r="S701" s="42" t="n">
        <v>1</v>
      </c>
      <c r="T701" s="35" t="s">
        <v>2166</v>
      </c>
      <c r="U701" s="35" t="s">
        <v>204</v>
      </c>
      <c r="V701" s="36" t="s">
        <v>205</v>
      </c>
      <c r="W701" s="36" t="s">
        <v>826</v>
      </c>
      <c r="X701" s="43" t="s">
        <v>2168</v>
      </c>
      <c r="Y701" s="41" t="s">
        <v>2170</v>
      </c>
      <c r="Z701" s="47" t="n">
        <v>40631</v>
      </c>
      <c r="AA701" s="35" t="s">
        <v>526</v>
      </c>
    </row>
    <row r="702" customFormat="false" ht="34.5" hidden="false" customHeight="true" outlineLevel="0" collapsed="false">
      <c r="A702" s="34" t="n">
        <v>701</v>
      </c>
      <c r="B702" s="37" t="s">
        <v>303</v>
      </c>
      <c r="C702" s="36" t="s">
        <v>2156</v>
      </c>
      <c r="D702" s="44" t="s">
        <v>2157</v>
      </c>
      <c r="E702" s="35" t="s">
        <v>211</v>
      </c>
      <c r="F702" s="39" t="s">
        <v>2171</v>
      </c>
      <c r="G702" s="43" t="s">
        <v>2159</v>
      </c>
      <c r="H702" s="44" t="s">
        <v>2160</v>
      </c>
      <c r="I702" s="45" t="s">
        <v>2161</v>
      </c>
      <c r="J702" s="36"/>
      <c r="K702" s="36"/>
      <c r="L702" s="45"/>
      <c r="M702" s="36" t="s">
        <v>521</v>
      </c>
      <c r="N702" s="40"/>
      <c r="O702" s="41" t="s">
        <v>2162</v>
      </c>
      <c r="P702" s="35" t="s">
        <v>2163</v>
      </c>
      <c r="Q702" s="35" t="s">
        <v>2164</v>
      </c>
      <c r="R702" s="35" t="s">
        <v>2165</v>
      </c>
      <c r="S702" s="42" t="n">
        <v>1</v>
      </c>
      <c r="T702" s="35" t="s">
        <v>2166</v>
      </c>
      <c r="U702" s="35" t="s">
        <v>204</v>
      </c>
      <c r="V702" s="36" t="s">
        <v>205</v>
      </c>
      <c r="W702" s="36" t="s">
        <v>524</v>
      </c>
      <c r="X702" s="43" t="s">
        <v>2172</v>
      </c>
      <c r="Y702" s="41" t="s">
        <v>2173</v>
      </c>
      <c r="Z702" s="47" t="n">
        <v>45663</v>
      </c>
      <c r="AA702" s="35" t="s">
        <v>526</v>
      </c>
    </row>
    <row r="703" customFormat="false" ht="34.5" hidden="false" customHeight="true" outlineLevel="0" collapsed="false">
      <c r="A703" s="34" t="n">
        <v>702</v>
      </c>
      <c r="B703" s="37" t="s">
        <v>303</v>
      </c>
      <c r="C703" s="36" t="s">
        <v>2156</v>
      </c>
      <c r="D703" s="44" t="s">
        <v>2157</v>
      </c>
      <c r="E703" s="35" t="s">
        <v>211</v>
      </c>
      <c r="F703" s="39" t="s">
        <v>2174</v>
      </c>
      <c r="G703" s="43" t="s">
        <v>2159</v>
      </c>
      <c r="H703" s="44" t="s">
        <v>2160</v>
      </c>
      <c r="I703" s="45" t="s">
        <v>2161</v>
      </c>
      <c r="J703" s="36"/>
      <c r="K703" s="36"/>
      <c r="L703" s="45"/>
      <c r="M703" s="36" t="s">
        <v>521</v>
      </c>
      <c r="N703" s="40"/>
      <c r="O703" s="41" t="s">
        <v>2162</v>
      </c>
      <c r="P703" s="35" t="s">
        <v>2163</v>
      </c>
      <c r="Q703" s="35" t="s">
        <v>2164</v>
      </c>
      <c r="R703" s="35" t="s">
        <v>2165</v>
      </c>
      <c r="S703" s="42" t="n">
        <v>1</v>
      </c>
      <c r="T703" s="35" t="s">
        <v>2166</v>
      </c>
      <c r="U703" s="35" t="s">
        <v>537</v>
      </c>
      <c r="V703" s="36" t="s">
        <v>205</v>
      </c>
      <c r="W703" s="36" t="s">
        <v>826</v>
      </c>
      <c r="X703" s="44" t="s">
        <v>2175</v>
      </c>
      <c r="Y703" s="41" t="s">
        <v>2176</v>
      </c>
      <c r="Z703" s="47" t="n">
        <v>45489</v>
      </c>
      <c r="AA703" s="35" t="s">
        <v>526</v>
      </c>
    </row>
    <row r="704" customFormat="false" ht="34.5" hidden="false" customHeight="true" outlineLevel="0" collapsed="false">
      <c r="A704" s="34" t="n">
        <v>703</v>
      </c>
      <c r="B704" s="37" t="s">
        <v>303</v>
      </c>
      <c r="C704" s="36" t="s">
        <v>2156</v>
      </c>
      <c r="D704" s="44" t="s">
        <v>2157</v>
      </c>
      <c r="E704" s="35" t="s">
        <v>211</v>
      </c>
      <c r="F704" s="39" t="s">
        <v>2177</v>
      </c>
      <c r="G704" s="43" t="s">
        <v>2159</v>
      </c>
      <c r="H704" s="44" t="s">
        <v>2160</v>
      </c>
      <c r="I704" s="45" t="s">
        <v>2161</v>
      </c>
      <c r="J704" s="36"/>
      <c r="K704" s="36"/>
      <c r="L704" s="45"/>
      <c r="M704" s="36" t="s">
        <v>521</v>
      </c>
      <c r="N704" s="40"/>
      <c r="O704" s="41" t="s">
        <v>2162</v>
      </c>
      <c r="P704" s="35" t="s">
        <v>2163</v>
      </c>
      <c r="Q704" s="35" t="s">
        <v>2164</v>
      </c>
      <c r="R704" s="35" t="s">
        <v>2165</v>
      </c>
      <c r="S704" s="42" t="n">
        <v>1</v>
      </c>
      <c r="T704" s="35" t="s">
        <v>2166</v>
      </c>
      <c r="U704" s="35" t="s">
        <v>204</v>
      </c>
      <c r="V704" s="36" t="s">
        <v>205</v>
      </c>
      <c r="W704" s="36" t="s">
        <v>524</v>
      </c>
      <c r="X704" s="44" t="s">
        <v>2178</v>
      </c>
      <c r="Y704" s="41" t="s">
        <v>2179</v>
      </c>
      <c r="Z704" s="47" t="n">
        <v>45383</v>
      </c>
      <c r="AA704" s="35" t="s">
        <v>526</v>
      </c>
    </row>
    <row r="705" customFormat="false" ht="64.5" hidden="false" customHeight="true" outlineLevel="0" collapsed="false">
      <c r="A705" s="34" t="n">
        <v>704</v>
      </c>
      <c r="B705" s="37" t="s">
        <v>303</v>
      </c>
      <c r="C705" s="36" t="s">
        <v>2180</v>
      </c>
      <c r="D705" s="44" t="s">
        <v>2181</v>
      </c>
      <c r="E705" s="35" t="s">
        <v>211</v>
      </c>
      <c r="F705" s="39" t="s">
        <v>2182</v>
      </c>
      <c r="G705" s="43" t="s">
        <v>2183</v>
      </c>
      <c r="H705" s="44" t="s">
        <v>2184</v>
      </c>
      <c r="I705" s="45" t="s">
        <v>2185</v>
      </c>
      <c r="J705" s="36"/>
      <c r="K705" s="36"/>
      <c r="L705" s="45"/>
      <c r="M705" s="36" t="s">
        <v>561</v>
      </c>
      <c r="N705" s="40"/>
      <c r="O705" s="41" t="s">
        <v>569</v>
      </c>
      <c r="P705" s="35" t="s">
        <v>523</v>
      </c>
      <c r="Q705" s="35" t="s">
        <v>189</v>
      </c>
      <c r="R705" s="35" t="s">
        <v>202</v>
      </c>
      <c r="S705" s="42" t="n">
        <v>1</v>
      </c>
      <c r="T705" s="35" t="s">
        <v>127</v>
      </c>
      <c r="U705" s="35" t="s">
        <v>204</v>
      </c>
      <c r="V705" s="36" t="s">
        <v>205</v>
      </c>
      <c r="W705" s="36" t="s">
        <v>524</v>
      </c>
      <c r="X705" s="43" t="s">
        <v>272</v>
      </c>
      <c r="Y705" s="41" t="s">
        <v>2186</v>
      </c>
      <c r="Z705" s="47" t="n">
        <v>44915</v>
      </c>
      <c r="AA705" s="35" t="s">
        <v>526</v>
      </c>
    </row>
    <row r="706" customFormat="false" ht="34.5" hidden="false" customHeight="true" outlineLevel="0" collapsed="false">
      <c r="A706" s="34" t="n">
        <v>705</v>
      </c>
      <c r="B706" s="37" t="s">
        <v>2187</v>
      </c>
      <c r="C706" s="45" t="s">
        <v>254</v>
      </c>
      <c r="D706" s="43" t="s">
        <v>255</v>
      </c>
      <c r="E706" s="35" t="s">
        <v>268</v>
      </c>
      <c r="F706" s="39" t="s">
        <v>1221</v>
      </c>
      <c r="G706" s="43" t="s">
        <v>1219</v>
      </c>
      <c r="H706" s="43" t="s">
        <v>1222</v>
      </c>
      <c r="I706" s="36"/>
      <c r="J706" s="36" t="s">
        <v>1223</v>
      </c>
      <c r="K706" s="36" t="s">
        <v>577</v>
      </c>
      <c r="L706" s="45"/>
      <c r="M706" s="36"/>
      <c r="N706" s="40" t="n">
        <v>2000</v>
      </c>
      <c r="O706" s="35"/>
      <c r="P706" s="35" t="s">
        <v>265</v>
      </c>
      <c r="Q706" s="35" t="s">
        <v>67</v>
      </c>
      <c r="R706" s="35" t="s">
        <v>144</v>
      </c>
      <c r="S706" s="42" t="n">
        <v>3</v>
      </c>
      <c r="T706" s="35" t="s">
        <v>64</v>
      </c>
      <c r="U706" s="35" t="s">
        <v>204</v>
      </c>
      <c r="V706" s="36" t="s">
        <v>205</v>
      </c>
      <c r="W706" s="36"/>
      <c r="X706" s="43" t="s">
        <v>1224</v>
      </c>
      <c r="Y706" s="41" t="s">
        <v>1220</v>
      </c>
      <c r="Z706" s="47"/>
      <c r="AA706" s="41" t="s">
        <v>1225</v>
      </c>
    </row>
    <row r="707" customFormat="false" ht="34.5" hidden="false" customHeight="true" outlineLevel="0" collapsed="false">
      <c r="A707" s="34" t="n">
        <v>706</v>
      </c>
      <c r="B707" s="37" t="s">
        <v>2188</v>
      </c>
      <c r="C707" s="45" t="s">
        <v>571</v>
      </c>
      <c r="D707" s="43" t="s">
        <v>572</v>
      </c>
      <c r="E707" s="35" t="s">
        <v>211</v>
      </c>
      <c r="F707" s="39" t="s">
        <v>573</v>
      </c>
      <c r="G707" s="43" t="s">
        <v>574</v>
      </c>
      <c r="H707" s="43" t="s">
        <v>575</v>
      </c>
      <c r="I707" s="45" t="s">
        <v>576</v>
      </c>
      <c r="J707" s="36" t="s">
        <v>80</v>
      </c>
      <c r="K707" s="36" t="s">
        <v>577</v>
      </c>
      <c r="L707" s="45"/>
      <c r="M707" s="36" t="s">
        <v>521</v>
      </c>
      <c r="N707" s="40"/>
      <c r="O707" s="35"/>
      <c r="P707" s="35"/>
      <c r="Q707" s="35"/>
      <c r="R707" s="35"/>
      <c r="S707" s="42"/>
      <c r="T707" s="35" t="s">
        <v>64</v>
      </c>
      <c r="U707" s="35"/>
      <c r="V707" s="36"/>
      <c r="W707" s="36"/>
      <c r="X707" s="43"/>
      <c r="Y707" s="35"/>
      <c r="Z707" s="47"/>
      <c r="AA707" s="41" t="s">
        <v>1225</v>
      </c>
    </row>
    <row r="708" customFormat="false" ht="34.5" hidden="false" customHeight="true" outlineLevel="0" collapsed="false">
      <c r="A708" s="34" t="n">
        <v>707</v>
      </c>
      <c r="B708" s="37" t="s">
        <v>324</v>
      </c>
      <c r="C708" s="45" t="s">
        <v>238</v>
      </c>
      <c r="D708" s="43" t="s">
        <v>239</v>
      </c>
      <c r="E708" s="35" t="s">
        <v>331</v>
      </c>
      <c r="F708" s="39" t="s">
        <v>2189</v>
      </c>
      <c r="G708" s="43" t="s">
        <v>2190</v>
      </c>
      <c r="H708" s="44" t="s">
        <v>328</v>
      </c>
      <c r="I708" s="45" t="s">
        <v>529</v>
      </c>
      <c r="J708" s="36"/>
      <c r="K708" s="36"/>
      <c r="L708" s="45"/>
      <c r="M708" s="36" t="s">
        <v>521</v>
      </c>
      <c r="N708" s="40"/>
      <c r="O708" s="41" t="s">
        <v>569</v>
      </c>
      <c r="P708" s="35" t="s">
        <v>523</v>
      </c>
      <c r="Q708" s="35" t="s">
        <v>189</v>
      </c>
      <c r="R708" s="35" t="s">
        <v>202</v>
      </c>
      <c r="S708" s="42" t="n">
        <v>1</v>
      </c>
      <c r="T708" s="35" t="s">
        <v>127</v>
      </c>
      <c r="U708" s="35" t="s">
        <v>204</v>
      </c>
      <c r="V708" s="36" t="s">
        <v>205</v>
      </c>
      <c r="W708" s="36" t="s">
        <v>524</v>
      </c>
      <c r="X708" s="44" t="s">
        <v>267</v>
      </c>
      <c r="Y708" s="41" t="s">
        <v>2191</v>
      </c>
      <c r="Z708" s="47" t="n">
        <v>36706</v>
      </c>
      <c r="AA708" s="35" t="s">
        <v>526</v>
      </c>
    </row>
    <row r="709" customFormat="false" ht="34.5" hidden="false" customHeight="true" outlineLevel="0" collapsed="false">
      <c r="A709" s="34" t="n">
        <v>708</v>
      </c>
      <c r="B709" s="37" t="s">
        <v>324</v>
      </c>
      <c r="C709" s="45" t="s">
        <v>238</v>
      </c>
      <c r="D709" s="43" t="s">
        <v>239</v>
      </c>
      <c r="E709" s="35" t="s">
        <v>331</v>
      </c>
      <c r="F709" s="39" t="s">
        <v>2192</v>
      </c>
      <c r="G709" s="43" t="s">
        <v>2190</v>
      </c>
      <c r="H709" s="44" t="s">
        <v>328</v>
      </c>
      <c r="I709" s="45" t="s">
        <v>529</v>
      </c>
      <c r="J709" s="36"/>
      <c r="K709" s="36"/>
      <c r="L709" s="45"/>
      <c r="M709" s="36" t="s">
        <v>521</v>
      </c>
      <c r="N709" s="40"/>
      <c r="O709" s="41" t="s">
        <v>569</v>
      </c>
      <c r="P709" s="35" t="s">
        <v>523</v>
      </c>
      <c r="Q709" s="35" t="s">
        <v>189</v>
      </c>
      <c r="R709" s="35" t="s">
        <v>202</v>
      </c>
      <c r="S709" s="42" t="n">
        <v>1</v>
      </c>
      <c r="T709" s="35" t="s">
        <v>127</v>
      </c>
      <c r="U709" s="35" t="s">
        <v>204</v>
      </c>
      <c r="V709" s="36" t="s">
        <v>205</v>
      </c>
      <c r="W709" s="36" t="s">
        <v>524</v>
      </c>
      <c r="X709" s="44" t="s">
        <v>553</v>
      </c>
      <c r="Y709" s="41" t="s">
        <v>2193</v>
      </c>
      <c r="Z709" s="47" t="n">
        <v>35872</v>
      </c>
      <c r="AA709" s="35" t="s">
        <v>526</v>
      </c>
    </row>
    <row r="710" customFormat="false" ht="34.5" hidden="false" customHeight="true" outlineLevel="0" collapsed="false">
      <c r="A710" s="34" t="n">
        <v>709</v>
      </c>
      <c r="B710" s="37" t="s">
        <v>324</v>
      </c>
      <c r="C710" s="45" t="s">
        <v>238</v>
      </c>
      <c r="D710" s="43" t="s">
        <v>239</v>
      </c>
      <c r="E710" s="35" t="s">
        <v>331</v>
      </c>
      <c r="F710" s="39" t="s">
        <v>1941</v>
      </c>
      <c r="G710" s="43" t="s">
        <v>2190</v>
      </c>
      <c r="H710" s="44" t="s">
        <v>328</v>
      </c>
      <c r="I710" s="45" t="s">
        <v>529</v>
      </c>
      <c r="J710" s="36"/>
      <c r="K710" s="36"/>
      <c r="L710" s="45"/>
      <c r="M710" s="36" t="s">
        <v>521</v>
      </c>
      <c r="N710" s="40"/>
      <c r="O710" s="41" t="s">
        <v>569</v>
      </c>
      <c r="P710" s="35" t="s">
        <v>523</v>
      </c>
      <c r="Q710" s="35" t="s">
        <v>189</v>
      </c>
      <c r="R710" s="35" t="s">
        <v>202</v>
      </c>
      <c r="S710" s="42" t="n">
        <v>1</v>
      </c>
      <c r="T710" s="35" t="s">
        <v>127</v>
      </c>
      <c r="U710" s="35" t="s">
        <v>204</v>
      </c>
      <c r="V710" s="36" t="s">
        <v>205</v>
      </c>
      <c r="W710" s="36" t="s">
        <v>524</v>
      </c>
      <c r="X710" s="44" t="s">
        <v>230</v>
      </c>
      <c r="Y710" s="41" t="s">
        <v>2194</v>
      </c>
      <c r="Z710" s="47" t="n">
        <v>36887</v>
      </c>
      <c r="AA710" s="35" t="s">
        <v>526</v>
      </c>
    </row>
    <row r="711" customFormat="false" ht="34.5" hidden="false" customHeight="true" outlineLevel="0" collapsed="false">
      <c r="A711" s="34" t="n">
        <v>710</v>
      </c>
      <c r="B711" s="37" t="s">
        <v>324</v>
      </c>
      <c r="C711" s="45" t="s">
        <v>238</v>
      </c>
      <c r="D711" s="43" t="s">
        <v>239</v>
      </c>
      <c r="E711" s="35" t="s">
        <v>331</v>
      </c>
      <c r="F711" s="39" t="s">
        <v>325</v>
      </c>
      <c r="G711" s="43" t="s">
        <v>2190</v>
      </c>
      <c r="H711" s="44" t="s">
        <v>328</v>
      </c>
      <c r="I711" s="45" t="s">
        <v>529</v>
      </c>
      <c r="J711" s="36" t="s">
        <v>1223</v>
      </c>
      <c r="K711" s="36" t="s">
        <v>577</v>
      </c>
      <c r="L711" s="45" t="s">
        <v>527</v>
      </c>
      <c r="M711" s="36" t="s">
        <v>521</v>
      </c>
      <c r="N711" s="40"/>
      <c r="O711" s="41" t="s">
        <v>569</v>
      </c>
      <c r="P711" s="35" t="s">
        <v>523</v>
      </c>
      <c r="Q711" s="35" t="s">
        <v>189</v>
      </c>
      <c r="R711" s="35" t="s">
        <v>202</v>
      </c>
      <c r="S711" s="42" t="n">
        <v>1</v>
      </c>
      <c r="T711" s="35" t="s">
        <v>127</v>
      </c>
      <c r="U711" s="35" t="s">
        <v>204</v>
      </c>
      <c r="V711" s="36" t="s">
        <v>205</v>
      </c>
      <c r="W711" s="36" t="s">
        <v>524</v>
      </c>
      <c r="X711" s="43" t="s">
        <v>330</v>
      </c>
      <c r="Y711" s="41" t="s">
        <v>332</v>
      </c>
      <c r="Z711" s="47" t="n">
        <v>34941</v>
      </c>
      <c r="AA711" s="35" t="s">
        <v>578</v>
      </c>
    </row>
    <row r="712" customFormat="false" ht="34.5" hidden="false" customHeight="true" outlineLevel="0" collapsed="false">
      <c r="A712" s="34" t="n">
        <v>711</v>
      </c>
      <c r="B712" s="37" t="s">
        <v>324</v>
      </c>
      <c r="C712" s="45" t="s">
        <v>238</v>
      </c>
      <c r="D712" s="43" t="s">
        <v>239</v>
      </c>
      <c r="E712" s="35" t="s">
        <v>331</v>
      </c>
      <c r="F712" s="39" t="s">
        <v>2195</v>
      </c>
      <c r="G712" s="43" t="s">
        <v>2190</v>
      </c>
      <c r="H712" s="44" t="s">
        <v>328</v>
      </c>
      <c r="I712" s="45" t="s">
        <v>529</v>
      </c>
      <c r="J712" s="36"/>
      <c r="K712" s="36"/>
      <c r="L712" s="45"/>
      <c r="M712" s="36" t="s">
        <v>521</v>
      </c>
      <c r="N712" s="40"/>
      <c r="O712" s="41" t="s">
        <v>569</v>
      </c>
      <c r="P712" s="35" t="s">
        <v>523</v>
      </c>
      <c r="Q712" s="35" t="s">
        <v>189</v>
      </c>
      <c r="R712" s="35" t="s">
        <v>202</v>
      </c>
      <c r="S712" s="42" t="n">
        <v>1</v>
      </c>
      <c r="T712" s="35" t="s">
        <v>127</v>
      </c>
      <c r="U712" s="35" t="s">
        <v>204</v>
      </c>
      <c r="V712" s="36" t="s">
        <v>205</v>
      </c>
      <c r="W712" s="36" t="s">
        <v>524</v>
      </c>
      <c r="X712" s="43" t="s">
        <v>906</v>
      </c>
      <c r="Y712" s="41" t="s">
        <v>2196</v>
      </c>
      <c r="Z712" s="47" t="n">
        <v>46260</v>
      </c>
      <c r="AA712" s="35" t="s">
        <v>526</v>
      </c>
    </row>
    <row r="713" customFormat="false" ht="34.5" hidden="false" customHeight="true" outlineLevel="0" collapsed="false">
      <c r="A713" s="34" t="n">
        <v>712</v>
      </c>
      <c r="B713" s="37" t="s">
        <v>324</v>
      </c>
      <c r="C713" s="45" t="s">
        <v>238</v>
      </c>
      <c r="D713" s="43" t="s">
        <v>239</v>
      </c>
      <c r="E713" s="35" t="s">
        <v>331</v>
      </c>
      <c r="F713" s="39" t="s">
        <v>2197</v>
      </c>
      <c r="G713" s="43" t="s">
        <v>2190</v>
      </c>
      <c r="H713" s="44" t="s">
        <v>328</v>
      </c>
      <c r="I713" s="45" t="s">
        <v>529</v>
      </c>
      <c r="J713" s="36"/>
      <c r="K713" s="36"/>
      <c r="L713" s="45"/>
      <c r="M713" s="36" t="s">
        <v>521</v>
      </c>
      <c r="N713" s="40"/>
      <c r="O713" s="41" t="s">
        <v>569</v>
      </c>
      <c r="P713" s="35" t="s">
        <v>523</v>
      </c>
      <c r="Q713" s="35" t="s">
        <v>189</v>
      </c>
      <c r="R713" s="35" t="s">
        <v>202</v>
      </c>
      <c r="S713" s="42" t="n">
        <v>1</v>
      </c>
      <c r="T713" s="35" t="s">
        <v>127</v>
      </c>
      <c r="U713" s="35" t="s">
        <v>204</v>
      </c>
      <c r="V713" s="36" t="s">
        <v>205</v>
      </c>
      <c r="W713" s="36" t="s">
        <v>524</v>
      </c>
      <c r="X713" s="44" t="s">
        <v>210</v>
      </c>
      <c r="Y713" s="41" t="s">
        <v>2198</v>
      </c>
      <c r="Z713" s="47" t="n">
        <v>34072</v>
      </c>
      <c r="AA713" s="35" t="s">
        <v>526</v>
      </c>
    </row>
    <row r="714" customFormat="false" ht="34.5" hidden="false" customHeight="true" outlineLevel="0" collapsed="false">
      <c r="A714" s="34" t="n">
        <v>713</v>
      </c>
      <c r="B714" s="37" t="s">
        <v>324</v>
      </c>
      <c r="C714" s="45" t="s">
        <v>238</v>
      </c>
      <c r="D714" s="43" t="s">
        <v>239</v>
      </c>
      <c r="E714" s="35" t="s">
        <v>331</v>
      </c>
      <c r="F714" s="39" t="s">
        <v>2199</v>
      </c>
      <c r="G714" s="43" t="s">
        <v>2190</v>
      </c>
      <c r="H714" s="44" t="s">
        <v>328</v>
      </c>
      <c r="I714" s="45" t="s">
        <v>529</v>
      </c>
      <c r="J714" s="36"/>
      <c r="K714" s="36"/>
      <c r="L714" s="45"/>
      <c r="M714" s="36" t="s">
        <v>521</v>
      </c>
      <c r="N714" s="40"/>
      <c r="O714" s="41" t="s">
        <v>569</v>
      </c>
      <c r="P714" s="35" t="s">
        <v>523</v>
      </c>
      <c r="Q714" s="35" t="s">
        <v>189</v>
      </c>
      <c r="R714" s="35" t="s">
        <v>202</v>
      </c>
      <c r="S714" s="42" t="n">
        <v>1</v>
      </c>
      <c r="T714" s="35" t="s">
        <v>127</v>
      </c>
      <c r="U714" s="35" t="s">
        <v>204</v>
      </c>
      <c r="V714" s="36" t="s">
        <v>205</v>
      </c>
      <c r="W714" s="36" t="s">
        <v>524</v>
      </c>
      <c r="X714" s="44" t="s">
        <v>221</v>
      </c>
      <c r="Y714" s="41" t="s">
        <v>2200</v>
      </c>
      <c r="Z714" s="47" t="n">
        <v>41026</v>
      </c>
      <c r="AA714" s="35" t="s">
        <v>526</v>
      </c>
    </row>
    <row r="715" customFormat="false" ht="34.5" hidden="false" customHeight="true" outlineLevel="0" collapsed="false">
      <c r="A715" s="34" t="n">
        <v>714</v>
      </c>
      <c r="B715" s="37" t="s">
        <v>324</v>
      </c>
      <c r="C715" s="45" t="s">
        <v>238</v>
      </c>
      <c r="D715" s="43" t="s">
        <v>239</v>
      </c>
      <c r="E715" s="35" t="s">
        <v>331</v>
      </c>
      <c r="F715" s="39" t="s">
        <v>1505</v>
      </c>
      <c r="G715" s="43" t="s">
        <v>2190</v>
      </c>
      <c r="H715" s="44" t="s">
        <v>328</v>
      </c>
      <c r="I715" s="45" t="s">
        <v>529</v>
      </c>
      <c r="J715" s="36"/>
      <c r="K715" s="36"/>
      <c r="L715" s="45"/>
      <c r="M715" s="36" t="s">
        <v>521</v>
      </c>
      <c r="N715" s="40"/>
      <c r="O715" s="41" t="s">
        <v>569</v>
      </c>
      <c r="P715" s="35" t="s">
        <v>523</v>
      </c>
      <c r="Q715" s="35" t="s">
        <v>189</v>
      </c>
      <c r="R715" s="35" t="s">
        <v>202</v>
      </c>
      <c r="S715" s="42" t="n">
        <v>1</v>
      </c>
      <c r="T715" s="35" t="s">
        <v>127</v>
      </c>
      <c r="U715" s="35" t="s">
        <v>204</v>
      </c>
      <c r="V715" s="36" t="s">
        <v>205</v>
      </c>
      <c r="W715" s="36" t="s">
        <v>524</v>
      </c>
      <c r="X715" s="43" t="s">
        <v>895</v>
      </c>
      <c r="Y715" s="41" t="s">
        <v>2201</v>
      </c>
      <c r="Z715" s="47" t="n">
        <v>41435</v>
      </c>
      <c r="AA715" s="35" t="s">
        <v>526</v>
      </c>
    </row>
    <row r="716" customFormat="false" ht="34.5" hidden="false" customHeight="true" outlineLevel="0" collapsed="false">
      <c r="A716" s="34" t="n">
        <v>715</v>
      </c>
      <c r="B716" s="37" t="s">
        <v>324</v>
      </c>
      <c r="C716" s="45" t="s">
        <v>254</v>
      </c>
      <c r="D716" s="43" t="s">
        <v>255</v>
      </c>
      <c r="E716" s="35" t="s">
        <v>268</v>
      </c>
      <c r="F716" s="39" t="s">
        <v>1221</v>
      </c>
      <c r="G716" s="43" t="s">
        <v>1219</v>
      </c>
      <c r="H716" s="43" t="s">
        <v>1222</v>
      </c>
      <c r="I716" s="36"/>
      <c r="J716" s="36" t="s">
        <v>1223</v>
      </c>
      <c r="K716" s="36" t="s">
        <v>577</v>
      </c>
      <c r="L716" s="45"/>
      <c r="M716" s="36"/>
      <c r="N716" s="40" t="n">
        <v>2000</v>
      </c>
      <c r="O716" s="35"/>
      <c r="P716" s="35" t="s">
        <v>265</v>
      </c>
      <c r="Q716" s="35" t="s">
        <v>67</v>
      </c>
      <c r="R716" s="35" t="s">
        <v>144</v>
      </c>
      <c r="S716" s="42" t="n">
        <v>3</v>
      </c>
      <c r="T716" s="35" t="s">
        <v>64</v>
      </c>
      <c r="U716" s="35" t="s">
        <v>204</v>
      </c>
      <c r="V716" s="36" t="s">
        <v>205</v>
      </c>
      <c r="W716" s="36"/>
      <c r="X716" s="43" t="s">
        <v>1224</v>
      </c>
      <c r="Y716" s="41" t="s">
        <v>1220</v>
      </c>
      <c r="Z716" s="47"/>
      <c r="AA716" s="41" t="s">
        <v>1225</v>
      </c>
    </row>
    <row r="717" customFormat="false" ht="34.5" hidden="false" customHeight="true" outlineLevel="0" collapsed="false">
      <c r="A717" s="34" t="n">
        <v>716</v>
      </c>
      <c r="B717" s="37" t="s">
        <v>324</v>
      </c>
      <c r="C717" s="45" t="s">
        <v>816</v>
      </c>
      <c r="D717" s="43" t="s">
        <v>817</v>
      </c>
      <c r="E717" s="35" t="s">
        <v>211</v>
      </c>
      <c r="F717" s="39" t="s">
        <v>818</v>
      </c>
      <c r="G717" s="43" t="s">
        <v>819</v>
      </c>
      <c r="H717" s="43" t="s">
        <v>820</v>
      </c>
      <c r="I717" s="45" t="s">
        <v>576</v>
      </c>
      <c r="J717" s="36" t="s">
        <v>80</v>
      </c>
      <c r="K717" s="36" t="s">
        <v>577</v>
      </c>
      <c r="L717" s="45"/>
      <c r="M717" s="36" t="s">
        <v>521</v>
      </c>
      <c r="N717" s="40"/>
      <c r="O717" s="35"/>
      <c r="P717" s="35"/>
      <c r="Q717" s="35"/>
      <c r="R717" s="35"/>
      <c r="S717" s="42"/>
      <c r="T717" s="35" t="s">
        <v>246</v>
      </c>
      <c r="U717" s="35"/>
      <c r="V717" s="36"/>
      <c r="W717" s="36"/>
      <c r="X717" s="43"/>
      <c r="Y717" s="35"/>
      <c r="Z717" s="47"/>
      <c r="AA717" s="41" t="s">
        <v>1225</v>
      </c>
    </row>
    <row r="718" customFormat="false" ht="49.5" hidden="false" customHeight="true" outlineLevel="0" collapsed="false">
      <c r="A718" s="34" t="n">
        <v>717</v>
      </c>
      <c r="B718" s="37" t="s">
        <v>336</v>
      </c>
      <c r="C718" s="45" t="s">
        <v>261</v>
      </c>
      <c r="D718" s="43" t="s">
        <v>262</v>
      </c>
      <c r="E718" s="35" t="s">
        <v>268</v>
      </c>
      <c r="F718" s="39" t="s">
        <v>659</v>
      </c>
      <c r="G718" s="43" t="s">
        <v>2202</v>
      </c>
      <c r="H718" s="44" t="s">
        <v>1837</v>
      </c>
      <c r="I718" s="45" t="s">
        <v>661</v>
      </c>
      <c r="J718" s="36"/>
      <c r="K718" s="36"/>
      <c r="L718" s="45"/>
      <c r="M718" s="36" t="s">
        <v>521</v>
      </c>
      <c r="N718" s="40" t="n">
        <v>1000</v>
      </c>
      <c r="O718" s="35"/>
      <c r="P718" s="35" t="s">
        <v>265</v>
      </c>
      <c r="Q718" s="35" t="s">
        <v>67</v>
      </c>
      <c r="R718" s="35" t="s">
        <v>144</v>
      </c>
      <c r="S718" s="42" t="n">
        <v>3</v>
      </c>
      <c r="T718" s="35" t="s">
        <v>246</v>
      </c>
      <c r="U718" s="35" t="s">
        <v>204</v>
      </c>
      <c r="V718" s="36" t="s">
        <v>284</v>
      </c>
      <c r="W718" s="36" t="s">
        <v>524</v>
      </c>
      <c r="X718" s="44" t="s">
        <v>221</v>
      </c>
      <c r="Y718" s="41" t="s">
        <v>2203</v>
      </c>
      <c r="Z718" s="47" t="n">
        <v>41326</v>
      </c>
      <c r="AA718" s="35" t="s">
        <v>526</v>
      </c>
    </row>
    <row r="719" customFormat="false" ht="49.5" hidden="false" customHeight="true" outlineLevel="0" collapsed="false">
      <c r="A719" s="34" t="n">
        <v>718</v>
      </c>
      <c r="B719" s="37" t="s">
        <v>336</v>
      </c>
      <c r="C719" s="45" t="s">
        <v>261</v>
      </c>
      <c r="D719" s="43" t="s">
        <v>262</v>
      </c>
      <c r="E719" s="35" t="s">
        <v>268</v>
      </c>
      <c r="F719" s="39" t="s">
        <v>2204</v>
      </c>
      <c r="G719" s="43" t="s">
        <v>2205</v>
      </c>
      <c r="H719" s="44" t="s">
        <v>2206</v>
      </c>
      <c r="I719" s="45" t="s">
        <v>529</v>
      </c>
      <c r="J719" s="36"/>
      <c r="K719" s="36"/>
      <c r="L719" s="45"/>
      <c r="M719" s="36" t="s">
        <v>521</v>
      </c>
      <c r="N719" s="40" t="n">
        <v>1000</v>
      </c>
      <c r="O719" s="35"/>
      <c r="P719" s="35" t="s">
        <v>265</v>
      </c>
      <c r="Q719" s="35" t="s">
        <v>67</v>
      </c>
      <c r="R719" s="35" t="s">
        <v>68</v>
      </c>
      <c r="S719" s="42" t="n">
        <v>3</v>
      </c>
      <c r="T719" s="35" t="s">
        <v>246</v>
      </c>
      <c r="U719" s="35" t="s">
        <v>537</v>
      </c>
      <c r="V719" s="36" t="s">
        <v>284</v>
      </c>
      <c r="W719" s="36" t="s">
        <v>524</v>
      </c>
      <c r="X719" s="43" t="s">
        <v>827</v>
      </c>
      <c r="Y719" s="41" t="s">
        <v>2207</v>
      </c>
      <c r="Z719" s="47" t="n">
        <v>41241</v>
      </c>
      <c r="AA719" s="35" t="s">
        <v>526</v>
      </c>
    </row>
    <row r="720" customFormat="false" ht="49.5" hidden="false" customHeight="true" outlineLevel="0" collapsed="false">
      <c r="A720" s="34" t="n">
        <v>719</v>
      </c>
      <c r="B720" s="37" t="s">
        <v>336</v>
      </c>
      <c r="C720" s="45" t="s">
        <v>261</v>
      </c>
      <c r="D720" s="43" t="s">
        <v>262</v>
      </c>
      <c r="E720" s="35" t="s">
        <v>268</v>
      </c>
      <c r="F720" s="39" t="s">
        <v>2208</v>
      </c>
      <c r="G720" s="43" t="s">
        <v>2209</v>
      </c>
      <c r="H720" s="44" t="s">
        <v>2210</v>
      </c>
      <c r="I720" s="45" t="s">
        <v>2122</v>
      </c>
      <c r="J720" s="36"/>
      <c r="K720" s="36"/>
      <c r="L720" s="45"/>
      <c r="M720" s="36" t="s">
        <v>521</v>
      </c>
      <c r="N720" s="40" t="n">
        <v>2000</v>
      </c>
      <c r="O720" s="35"/>
      <c r="P720" s="35" t="s">
        <v>265</v>
      </c>
      <c r="Q720" s="35" t="s">
        <v>67</v>
      </c>
      <c r="R720" s="35" t="s">
        <v>68</v>
      </c>
      <c r="S720" s="42" t="n">
        <v>3</v>
      </c>
      <c r="T720" s="35" t="s">
        <v>246</v>
      </c>
      <c r="U720" s="35" t="s">
        <v>537</v>
      </c>
      <c r="V720" s="36" t="s">
        <v>284</v>
      </c>
      <c r="W720" s="36" t="s">
        <v>524</v>
      </c>
      <c r="X720" s="44" t="s">
        <v>210</v>
      </c>
      <c r="Y720" s="41" t="s">
        <v>2211</v>
      </c>
      <c r="Z720" s="47" t="n">
        <v>38372</v>
      </c>
      <c r="AA720" s="35" t="s">
        <v>526</v>
      </c>
    </row>
    <row r="721" customFormat="false" ht="49.5" hidden="false" customHeight="true" outlineLevel="0" collapsed="false">
      <c r="A721" s="34" t="n">
        <v>720</v>
      </c>
      <c r="B721" s="37" t="s">
        <v>336</v>
      </c>
      <c r="C721" s="45" t="s">
        <v>261</v>
      </c>
      <c r="D721" s="43" t="s">
        <v>262</v>
      </c>
      <c r="E721" s="35" t="s">
        <v>268</v>
      </c>
      <c r="F721" s="39" t="s">
        <v>2212</v>
      </c>
      <c r="G721" s="43" t="s">
        <v>2205</v>
      </c>
      <c r="H721" s="44" t="s">
        <v>2206</v>
      </c>
      <c r="I721" s="45" t="s">
        <v>529</v>
      </c>
      <c r="J721" s="36"/>
      <c r="K721" s="36"/>
      <c r="L721" s="45"/>
      <c r="M721" s="36" t="s">
        <v>521</v>
      </c>
      <c r="N721" s="40" t="n">
        <v>1000</v>
      </c>
      <c r="O721" s="35"/>
      <c r="P721" s="35" t="s">
        <v>265</v>
      </c>
      <c r="Q721" s="35" t="s">
        <v>67</v>
      </c>
      <c r="R721" s="35" t="s">
        <v>68</v>
      </c>
      <c r="S721" s="42" t="n">
        <v>3</v>
      </c>
      <c r="T721" s="35" t="s">
        <v>246</v>
      </c>
      <c r="U721" s="35" t="s">
        <v>537</v>
      </c>
      <c r="V721" s="36" t="s">
        <v>284</v>
      </c>
      <c r="W721" s="36" t="s">
        <v>524</v>
      </c>
      <c r="X721" s="43" t="s">
        <v>932</v>
      </c>
      <c r="Y721" s="41" t="s">
        <v>2213</v>
      </c>
      <c r="Z721" s="47" t="n">
        <v>31502</v>
      </c>
      <c r="AA721" s="35" t="s">
        <v>526</v>
      </c>
    </row>
    <row r="722" customFormat="false" ht="49.5" hidden="false" customHeight="true" outlineLevel="0" collapsed="false">
      <c r="A722" s="34" t="n">
        <v>721</v>
      </c>
      <c r="B722" s="37" t="s">
        <v>336</v>
      </c>
      <c r="C722" s="45" t="s">
        <v>261</v>
      </c>
      <c r="D722" s="43" t="s">
        <v>262</v>
      </c>
      <c r="E722" s="35" t="s">
        <v>268</v>
      </c>
      <c r="F722" s="39" t="s">
        <v>2214</v>
      </c>
      <c r="G722" s="43" t="s">
        <v>2205</v>
      </c>
      <c r="H722" s="44" t="s">
        <v>2206</v>
      </c>
      <c r="I722" s="45" t="s">
        <v>529</v>
      </c>
      <c r="J722" s="36"/>
      <c r="K722" s="36"/>
      <c r="L722" s="45"/>
      <c r="M722" s="36" t="s">
        <v>521</v>
      </c>
      <c r="N722" s="40" t="n">
        <v>1000</v>
      </c>
      <c r="O722" s="35"/>
      <c r="P722" s="35" t="s">
        <v>265</v>
      </c>
      <c r="Q722" s="35" t="s">
        <v>67</v>
      </c>
      <c r="R722" s="35" t="s">
        <v>68</v>
      </c>
      <c r="S722" s="42" t="n">
        <v>3</v>
      </c>
      <c r="T722" s="35" t="s">
        <v>246</v>
      </c>
      <c r="U722" s="35" t="s">
        <v>537</v>
      </c>
      <c r="V722" s="36" t="s">
        <v>284</v>
      </c>
      <c r="W722" s="36" t="s">
        <v>524</v>
      </c>
      <c r="X722" s="43" t="s">
        <v>272</v>
      </c>
      <c r="Y722" s="41" t="s">
        <v>2215</v>
      </c>
      <c r="Z722" s="47" t="n">
        <v>35405</v>
      </c>
      <c r="AA722" s="35" t="s">
        <v>526</v>
      </c>
    </row>
    <row r="723" customFormat="false" ht="49.5" hidden="false" customHeight="true" outlineLevel="0" collapsed="false">
      <c r="A723" s="34" t="n">
        <v>722</v>
      </c>
      <c r="B723" s="37" t="s">
        <v>336</v>
      </c>
      <c r="C723" s="45" t="s">
        <v>261</v>
      </c>
      <c r="D723" s="43" t="s">
        <v>262</v>
      </c>
      <c r="E723" s="35" t="s">
        <v>268</v>
      </c>
      <c r="F723" s="39" t="s">
        <v>2216</v>
      </c>
      <c r="G723" s="43" t="s">
        <v>2205</v>
      </c>
      <c r="H723" s="44" t="s">
        <v>2206</v>
      </c>
      <c r="I723" s="45" t="s">
        <v>529</v>
      </c>
      <c r="J723" s="36"/>
      <c r="K723" s="36"/>
      <c r="L723" s="45"/>
      <c r="M723" s="36" t="s">
        <v>521</v>
      </c>
      <c r="N723" s="40" t="n">
        <v>1000</v>
      </c>
      <c r="O723" s="35"/>
      <c r="P723" s="35" t="s">
        <v>265</v>
      </c>
      <c r="Q723" s="35" t="s">
        <v>67</v>
      </c>
      <c r="R723" s="35" t="s">
        <v>68</v>
      </c>
      <c r="S723" s="42" t="n">
        <v>3</v>
      </c>
      <c r="T723" s="35" t="s">
        <v>246</v>
      </c>
      <c r="U723" s="35" t="s">
        <v>537</v>
      </c>
      <c r="V723" s="36" t="s">
        <v>284</v>
      </c>
      <c r="W723" s="36" t="s">
        <v>524</v>
      </c>
      <c r="X723" s="44" t="s">
        <v>267</v>
      </c>
      <c r="Y723" s="41" t="s">
        <v>2217</v>
      </c>
      <c r="Z723" s="47" t="n">
        <v>36187</v>
      </c>
      <c r="AA723" s="35" t="s">
        <v>526</v>
      </c>
    </row>
    <row r="724" customFormat="false" ht="49.5" hidden="false" customHeight="true" outlineLevel="0" collapsed="false">
      <c r="A724" s="34" t="n">
        <v>723</v>
      </c>
      <c r="B724" s="37" t="s">
        <v>336</v>
      </c>
      <c r="C724" s="45" t="s">
        <v>261</v>
      </c>
      <c r="D724" s="43" t="s">
        <v>262</v>
      </c>
      <c r="E724" s="35" t="s">
        <v>268</v>
      </c>
      <c r="F724" s="39" t="s">
        <v>706</v>
      </c>
      <c r="G724" s="43" t="s">
        <v>2218</v>
      </c>
      <c r="H724" s="44" t="s">
        <v>2219</v>
      </c>
      <c r="I724" s="45" t="s">
        <v>709</v>
      </c>
      <c r="J724" s="36"/>
      <c r="K724" s="36"/>
      <c r="L724" s="45"/>
      <c r="M724" s="36" t="s">
        <v>521</v>
      </c>
      <c r="N724" s="40" t="n">
        <v>1000</v>
      </c>
      <c r="O724" s="35"/>
      <c r="P724" s="35" t="s">
        <v>265</v>
      </c>
      <c r="Q724" s="35" t="s">
        <v>67</v>
      </c>
      <c r="R724" s="35" t="s">
        <v>68</v>
      </c>
      <c r="S724" s="42" t="n">
        <v>2</v>
      </c>
      <c r="T724" s="35" t="s">
        <v>246</v>
      </c>
      <c r="U724" s="35" t="s">
        <v>537</v>
      </c>
      <c r="V724" s="36" t="s">
        <v>284</v>
      </c>
      <c r="W724" s="36" t="s">
        <v>524</v>
      </c>
      <c r="X724" s="44" t="s">
        <v>553</v>
      </c>
      <c r="Y724" s="41" t="s">
        <v>2220</v>
      </c>
      <c r="Z724" s="47" t="n">
        <v>32613</v>
      </c>
      <c r="AA724" s="35" t="s">
        <v>526</v>
      </c>
    </row>
    <row r="725" customFormat="false" ht="49.5" hidden="false" customHeight="true" outlineLevel="0" collapsed="false">
      <c r="A725" s="34" t="n">
        <v>724</v>
      </c>
      <c r="B725" s="37" t="s">
        <v>336</v>
      </c>
      <c r="C725" s="45" t="s">
        <v>261</v>
      </c>
      <c r="D725" s="43" t="s">
        <v>262</v>
      </c>
      <c r="E725" s="35" t="s">
        <v>268</v>
      </c>
      <c r="F725" s="39" t="s">
        <v>346</v>
      </c>
      <c r="G725" s="43" t="s">
        <v>2221</v>
      </c>
      <c r="H725" s="44" t="s">
        <v>348</v>
      </c>
      <c r="I725" s="45" t="s">
        <v>661</v>
      </c>
      <c r="J725" s="36"/>
      <c r="K725" s="36"/>
      <c r="L725" s="45" t="s">
        <v>530</v>
      </c>
      <c r="M725" s="36" t="s">
        <v>521</v>
      </c>
      <c r="N725" s="40" t="n">
        <v>1000</v>
      </c>
      <c r="O725" s="35"/>
      <c r="P725" s="35" t="s">
        <v>265</v>
      </c>
      <c r="Q725" s="35" t="s">
        <v>67</v>
      </c>
      <c r="R725" s="35" t="s">
        <v>91</v>
      </c>
      <c r="S725" s="42" t="n">
        <v>3</v>
      </c>
      <c r="T725" s="35" t="s">
        <v>98</v>
      </c>
      <c r="U725" s="35" t="s">
        <v>204</v>
      </c>
      <c r="V725" s="36" t="s">
        <v>226</v>
      </c>
      <c r="W725" s="36" t="s">
        <v>524</v>
      </c>
      <c r="X725" s="44" t="s">
        <v>230</v>
      </c>
      <c r="Y725" s="41" t="s">
        <v>350</v>
      </c>
      <c r="Z725" s="47" t="n">
        <v>31497</v>
      </c>
      <c r="AA725" s="35" t="s">
        <v>526</v>
      </c>
    </row>
    <row r="726" customFormat="false" ht="49.5" hidden="false" customHeight="true" outlineLevel="0" collapsed="false">
      <c r="A726" s="34" t="n">
        <v>725</v>
      </c>
      <c r="B726" s="37" t="s">
        <v>336</v>
      </c>
      <c r="C726" s="45" t="s">
        <v>261</v>
      </c>
      <c r="D726" s="43" t="s">
        <v>262</v>
      </c>
      <c r="E726" s="35" t="s">
        <v>268</v>
      </c>
      <c r="F726" s="39" t="s">
        <v>487</v>
      </c>
      <c r="G726" s="43" t="s">
        <v>2202</v>
      </c>
      <c r="H726" s="44" t="s">
        <v>1837</v>
      </c>
      <c r="I726" s="45" t="s">
        <v>661</v>
      </c>
      <c r="J726" s="36"/>
      <c r="K726" s="36"/>
      <c r="L726" s="45"/>
      <c r="M726" s="36" t="s">
        <v>521</v>
      </c>
      <c r="N726" s="40" t="n">
        <v>1000</v>
      </c>
      <c r="O726" s="35"/>
      <c r="P726" s="35" t="s">
        <v>265</v>
      </c>
      <c r="Q726" s="35" t="s">
        <v>67</v>
      </c>
      <c r="R726" s="35" t="s">
        <v>144</v>
      </c>
      <c r="S726" s="42" t="n">
        <v>3</v>
      </c>
      <c r="T726" s="35" t="s">
        <v>246</v>
      </c>
      <c r="U726" s="35" t="s">
        <v>204</v>
      </c>
      <c r="V726" s="36" t="s">
        <v>284</v>
      </c>
      <c r="W726" s="36" t="s">
        <v>524</v>
      </c>
      <c r="X726" s="44" t="s">
        <v>230</v>
      </c>
      <c r="Y726" s="41" t="s">
        <v>2222</v>
      </c>
      <c r="Z726" s="47" t="n">
        <v>32281</v>
      </c>
      <c r="AA726" s="35" t="s">
        <v>526</v>
      </c>
    </row>
    <row r="727" customFormat="false" ht="49.5" hidden="false" customHeight="true" outlineLevel="0" collapsed="false">
      <c r="A727" s="34" t="n">
        <v>726</v>
      </c>
      <c r="B727" s="37" t="s">
        <v>336</v>
      </c>
      <c r="C727" s="45" t="s">
        <v>261</v>
      </c>
      <c r="D727" s="43" t="s">
        <v>262</v>
      </c>
      <c r="E727" s="35" t="s">
        <v>268</v>
      </c>
      <c r="F727" s="39" t="s">
        <v>2223</v>
      </c>
      <c r="G727" s="43" t="s">
        <v>2205</v>
      </c>
      <c r="H727" s="44" t="s">
        <v>2206</v>
      </c>
      <c r="I727" s="45" t="s">
        <v>529</v>
      </c>
      <c r="J727" s="36"/>
      <c r="K727" s="36"/>
      <c r="L727" s="45"/>
      <c r="M727" s="36" t="s">
        <v>521</v>
      </c>
      <c r="N727" s="40" t="n">
        <v>1000</v>
      </c>
      <c r="O727" s="35"/>
      <c r="P727" s="35" t="s">
        <v>265</v>
      </c>
      <c r="Q727" s="35" t="s">
        <v>67</v>
      </c>
      <c r="R727" s="35" t="s">
        <v>68</v>
      </c>
      <c r="S727" s="42" t="n">
        <v>3</v>
      </c>
      <c r="T727" s="35" t="s">
        <v>246</v>
      </c>
      <c r="U727" s="35" t="s">
        <v>537</v>
      </c>
      <c r="V727" s="36" t="s">
        <v>284</v>
      </c>
      <c r="W727" s="36" t="s">
        <v>524</v>
      </c>
      <c r="X727" s="43" t="s">
        <v>300</v>
      </c>
      <c r="Y727" s="41" t="s">
        <v>2224</v>
      </c>
      <c r="Z727" s="47" t="n">
        <v>31493</v>
      </c>
      <c r="AA727" s="35" t="s">
        <v>526</v>
      </c>
    </row>
    <row r="728" customFormat="false" ht="64.5" hidden="false" customHeight="true" outlineLevel="0" collapsed="false">
      <c r="A728" s="34" t="n">
        <v>727</v>
      </c>
      <c r="B728" s="37" t="s">
        <v>336</v>
      </c>
      <c r="C728" s="45" t="s">
        <v>228</v>
      </c>
      <c r="D728" s="43" t="s">
        <v>229</v>
      </c>
      <c r="E728" s="35" t="s">
        <v>268</v>
      </c>
      <c r="F728" s="39" t="s">
        <v>2225</v>
      </c>
      <c r="G728" s="43" t="s">
        <v>2226</v>
      </c>
      <c r="H728" s="44" t="s">
        <v>2227</v>
      </c>
      <c r="I728" s="45" t="s">
        <v>2228</v>
      </c>
      <c r="J728" s="36"/>
      <c r="K728" s="36"/>
      <c r="L728" s="45"/>
      <c r="M728" s="36" t="s">
        <v>521</v>
      </c>
      <c r="N728" s="40" t="n">
        <v>1000</v>
      </c>
      <c r="O728" s="35"/>
      <c r="P728" s="35" t="s">
        <v>265</v>
      </c>
      <c r="Q728" s="35" t="s">
        <v>67</v>
      </c>
      <c r="R728" s="35" t="s">
        <v>68</v>
      </c>
      <c r="S728" s="42" t="n">
        <v>3</v>
      </c>
      <c r="T728" s="35" t="s">
        <v>246</v>
      </c>
      <c r="U728" s="35" t="s">
        <v>537</v>
      </c>
      <c r="V728" s="36" t="s">
        <v>284</v>
      </c>
      <c r="W728" s="36" t="s">
        <v>524</v>
      </c>
      <c r="X728" s="44" t="s">
        <v>553</v>
      </c>
      <c r="Y728" s="41" t="s">
        <v>2229</v>
      </c>
      <c r="Z728" s="47" t="n">
        <v>33710</v>
      </c>
      <c r="AA728" s="35" t="s">
        <v>526</v>
      </c>
    </row>
    <row r="729" customFormat="false" ht="64.5" hidden="false" customHeight="true" outlineLevel="0" collapsed="false">
      <c r="A729" s="34" t="n">
        <v>728</v>
      </c>
      <c r="B729" s="37" t="s">
        <v>336</v>
      </c>
      <c r="C729" s="45" t="s">
        <v>228</v>
      </c>
      <c r="D729" s="43" t="s">
        <v>229</v>
      </c>
      <c r="E729" s="35" t="s">
        <v>268</v>
      </c>
      <c r="F729" s="39" t="s">
        <v>2230</v>
      </c>
      <c r="G729" s="43" t="s">
        <v>2231</v>
      </c>
      <c r="H729" s="44" t="s">
        <v>2232</v>
      </c>
      <c r="I729" s="45" t="s">
        <v>2233</v>
      </c>
      <c r="J729" s="36"/>
      <c r="K729" s="36"/>
      <c r="L729" s="45"/>
      <c r="M729" s="36" t="s">
        <v>521</v>
      </c>
      <c r="N729" s="40" t="n">
        <v>1000</v>
      </c>
      <c r="O729" s="35"/>
      <c r="P729" s="35" t="s">
        <v>265</v>
      </c>
      <c r="Q729" s="35" t="s">
        <v>67</v>
      </c>
      <c r="R729" s="35" t="s">
        <v>113</v>
      </c>
      <c r="S729" s="42" t="n">
        <v>2</v>
      </c>
      <c r="T729" s="35" t="s">
        <v>246</v>
      </c>
      <c r="U729" s="35" t="s">
        <v>537</v>
      </c>
      <c r="V729" s="36" t="s">
        <v>284</v>
      </c>
      <c r="W729" s="36" t="s">
        <v>524</v>
      </c>
      <c r="X729" s="44" t="s">
        <v>267</v>
      </c>
      <c r="Y729" s="41" t="s">
        <v>2234</v>
      </c>
      <c r="Z729" s="47" t="n">
        <v>32279</v>
      </c>
      <c r="AA729" s="35" t="s">
        <v>526</v>
      </c>
    </row>
    <row r="730" customFormat="false" ht="64.5" hidden="false" customHeight="true" outlineLevel="0" collapsed="false">
      <c r="A730" s="34" t="n">
        <v>729</v>
      </c>
      <c r="B730" s="37" t="s">
        <v>336</v>
      </c>
      <c r="C730" s="45" t="s">
        <v>1115</v>
      </c>
      <c r="D730" s="43" t="s">
        <v>1116</v>
      </c>
      <c r="E730" s="35" t="s">
        <v>268</v>
      </c>
      <c r="F730" s="39" t="s">
        <v>1117</v>
      </c>
      <c r="G730" s="43" t="s">
        <v>1118</v>
      </c>
      <c r="H730" s="44" t="s">
        <v>1119</v>
      </c>
      <c r="I730" s="45" t="s">
        <v>1120</v>
      </c>
      <c r="J730" s="36" t="s">
        <v>80</v>
      </c>
      <c r="K730" s="36"/>
      <c r="L730" s="45"/>
      <c r="M730" s="36" t="s">
        <v>521</v>
      </c>
      <c r="N730" s="40" t="n">
        <v>2000</v>
      </c>
      <c r="O730" s="35"/>
      <c r="P730" s="35" t="s">
        <v>265</v>
      </c>
      <c r="Q730" s="35" t="s">
        <v>67</v>
      </c>
      <c r="R730" s="35" t="s">
        <v>144</v>
      </c>
      <c r="S730" s="42" t="n">
        <v>2</v>
      </c>
      <c r="T730" s="35" t="s">
        <v>98</v>
      </c>
      <c r="U730" s="35" t="s">
        <v>204</v>
      </c>
      <c r="V730" s="36" t="s">
        <v>226</v>
      </c>
      <c r="W730" s="36" t="s">
        <v>524</v>
      </c>
      <c r="X730" s="44" t="s">
        <v>210</v>
      </c>
      <c r="Y730" s="41" t="s">
        <v>1121</v>
      </c>
      <c r="Z730" s="47" t="n">
        <v>38805</v>
      </c>
      <c r="AA730" s="41" t="s">
        <v>1225</v>
      </c>
    </row>
    <row r="731" customFormat="false" ht="49.5" hidden="false" customHeight="true" outlineLevel="0" collapsed="false">
      <c r="A731" s="34" t="n">
        <v>730</v>
      </c>
      <c r="B731" s="37" t="s">
        <v>336</v>
      </c>
      <c r="C731" s="45" t="s">
        <v>238</v>
      </c>
      <c r="D731" s="43" t="s">
        <v>239</v>
      </c>
      <c r="E731" s="35" t="s">
        <v>268</v>
      </c>
      <c r="F731" s="39" t="s">
        <v>337</v>
      </c>
      <c r="G731" s="43" t="s">
        <v>1472</v>
      </c>
      <c r="H731" s="44" t="s">
        <v>339</v>
      </c>
      <c r="I731" s="45" t="s">
        <v>576</v>
      </c>
      <c r="J731" s="36"/>
      <c r="K731" s="36"/>
      <c r="L731" s="45" t="s">
        <v>527</v>
      </c>
      <c r="M731" s="36" t="s">
        <v>521</v>
      </c>
      <c r="N731" s="40" t="n">
        <v>4000</v>
      </c>
      <c r="O731" s="35"/>
      <c r="P731" s="35" t="s">
        <v>265</v>
      </c>
      <c r="Q731" s="35" t="s">
        <v>67</v>
      </c>
      <c r="R731" s="35" t="s">
        <v>68</v>
      </c>
      <c r="S731" s="42" t="n">
        <v>3</v>
      </c>
      <c r="T731" s="35" t="s">
        <v>90</v>
      </c>
      <c r="U731" s="35" t="s">
        <v>204</v>
      </c>
      <c r="V731" s="36" t="s">
        <v>205</v>
      </c>
      <c r="W731" s="36" t="s">
        <v>524</v>
      </c>
      <c r="X731" s="44" t="s">
        <v>341</v>
      </c>
      <c r="Y731" s="41" t="s">
        <v>342</v>
      </c>
      <c r="Z731" s="47" t="n">
        <v>41540</v>
      </c>
      <c r="AA731" s="35" t="s">
        <v>526</v>
      </c>
    </row>
    <row r="732" customFormat="false" ht="34.5" hidden="false" customHeight="true" outlineLevel="0" collapsed="false">
      <c r="A732" s="34" t="n">
        <v>731</v>
      </c>
      <c r="B732" s="37" t="s">
        <v>352</v>
      </c>
      <c r="C732" s="45" t="s">
        <v>2235</v>
      </c>
      <c r="D732" s="43" t="s">
        <v>2236</v>
      </c>
      <c r="E732" s="35" t="s">
        <v>268</v>
      </c>
      <c r="F732" s="39" t="s">
        <v>2237</v>
      </c>
      <c r="G732" s="43" t="s">
        <v>2238</v>
      </c>
      <c r="H732" s="44" t="s">
        <v>2239</v>
      </c>
      <c r="I732" s="45" t="s">
        <v>576</v>
      </c>
      <c r="J732" s="36"/>
      <c r="K732" s="36"/>
      <c r="L732" s="45"/>
      <c r="M732" s="36" t="s">
        <v>521</v>
      </c>
      <c r="N732" s="40" t="n">
        <v>2000</v>
      </c>
      <c r="O732" s="35"/>
      <c r="P732" s="35" t="s">
        <v>265</v>
      </c>
      <c r="Q732" s="35" t="s">
        <v>67</v>
      </c>
      <c r="R732" s="35" t="s">
        <v>91</v>
      </c>
      <c r="S732" s="42" t="n">
        <v>3</v>
      </c>
      <c r="T732" s="35" t="s">
        <v>98</v>
      </c>
      <c r="U732" s="35" t="s">
        <v>204</v>
      </c>
      <c r="V732" s="36" t="s">
        <v>205</v>
      </c>
      <c r="W732" s="36" t="s">
        <v>524</v>
      </c>
      <c r="X732" s="44" t="s">
        <v>960</v>
      </c>
      <c r="Y732" s="41" t="s">
        <v>2240</v>
      </c>
      <c r="Z732" s="47" t="n">
        <v>36187</v>
      </c>
      <c r="AA732" s="35" t="s">
        <v>526</v>
      </c>
    </row>
    <row r="733" customFormat="false" ht="34.5" hidden="false" customHeight="true" outlineLevel="0" collapsed="false">
      <c r="A733" s="34" t="n">
        <v>732</v>
      </c>
      <c r="B733" s="37" t="s">
        <v>352</v>
      </c>
      <c r="C733" s="45" t="s">
        <v>2241</v>
      </c>
      <c r="D733" s="43" t="s">
        <v>2242</v>
      </c>
      <c r="E733" s="35" t="s">
        <v>268</v>
      </c>
      <c r="F733" s="39" t="s">
        <v>2243</v>
      </c>
      <c r="G733" s="43" t="s">
        <v>2244</v>
      </c>
      <c r="H733" s="44" t="s">
        <v>2245</v>
      </c>
      <c r="I733" s="45" t="s">
        <v>576</v>
      </c>
      <c r="J733" s="36"/>
      <c r="K733" s="36"/>
      <c r="L733" s="45"/>
      <c r="M733" s="36" t="s">
        <v>521</v>
      </c>
      <c r="N733" s="40" t="n">
        <v>4000</v>
      </c>
      <c r="O733" s="35"/>
      <c r="P733" s="35" t="s">
        <v>265</v>
      </c>
      <c r="Q733" s="35" t="s">
        <v>67</v>
      </c>
      <c r="R733" s="35" t="s">
        <v>144</v>
      </c>
      <c r="S733" s="42" t="n">
        <v>3</v>
      </c>
      <c r="T733" s="35" t="s">
        <v>64</v>
      </c>
      <c r="U733" s="35" t="s">
        <v>204</v>
      </c>
      <c r="V733" s="36" t="s">
        <v>205</v>
      </c>
      <c r="W733" s="36" t="s">
        <v>826</v>
      </c>
      <c r="X733" s="44" t="s">
        <v>341</v>
      </c>
      <c r="Y733" s="41" t="s">
        <v>2246</v>
      </c>
      <c r="Z733" s="47" t="n">
        <v>44092</v>
      </c>
      <c r="AA733" s="35" t="s">
        <v>526</v>
      </c>
    </row>
    <row r="734" customFormat="false" ht="34.5" hidden="false" customHeight="true" outlineLevel="0" collapsed="false">
      <c r="A734" s="34" t="n">
        <v>733</v>
      </c>
      <c r="B734" s="37" t="s">
        <v>352</v>
      </c>
      <c r="C734" s="45" t="s">
        <v>2241</v>
      </c>
      <c r="D734" s="43" t="s">
        <v>2242</v>
      </c>
      <c r="E734" s="35" t="s">
        <v>268</v>
      </c>
      <c r="F734" s="39" t="s">
        <v>2247</v>
      </c>
      <c r="G734" s="43" t="s">
        <v>2244</v>
      </c>
      <c r="H734" s="44" t="s">
        <v>2245</v>
      </c>
      <c r="I734" s="45" t="s">
        <v>576</v>
      </c>
      <c r="J734" s="36" t="s">
        <v>80</v>
      </c>
      <c r="K734" s="36"/>
      <c r="L734" s="45"/>
      <c r="M734" s="36" t="s">
        <v>521</v>
      </c>
      <c r="N734" s="40" t="n">
        <v>4000</v>
      </c>
      <c r="O734" s="35"/>
      <c r="P734" s="35" t="s">
        <v>265</v>
      </c>
      <c r="Q734" s="35" t="s">
        <v>67</v>
      </c>
      <c r="R734" s="35" t="s">
        <v>144</v>
      </c>
      <c r="S734" s="42" t="n">
        <v>3</v>
      </c>
      <c r="T734" s="35" t="s">
        <v>64</v>
      </c>
      <c r="U734" s="35" t="s">
        <v>204</v>
      </c>
      <c r="V734" s="36" t="s">
        <v>205</v>
      </c>
      <c r="W734" s="36" t="s">
        <v>524</v>
      </c>
      <c r="X734" s="44" t="s">
        <v>553</v>
      </c>
      <c r="Y734" s="41" t="s">
        <v>2248</v>
      </c>
      <c r="Z734" s="47" t="n">
        <v>39448</v>
      </c>
      <c r="AA734" s="35" t="s">
        <v>578</v>
      </c>
    </row>
    <row r="735" customFormat="false" ht="34.5" hidden="false" customHeight="true" outlineLevel="0" collapsed="false">
      <c r="A735" s="34" t="n">
        <v>734</v>
      </c>
      <c r="B735" s="37" t="s">
        <v>352</v>
      </c>
      <c r="C735" s="45" t="s">
        <v>821</v>
      </c>
      <c r="D735" s="43" t="s">
        <v>822</v>
      </c>
      <c r="E735" s="35" t="s">
        <v>268</v>
      </c>
      <c r="F735" s="39" t="s">
        <v>850</v>
      </c>
      <c r="G735" s="43" t="s">
        <v>824</v>
      </c>
      <c r="H735" s="44" t="s">
        <v>825</v>
      </c>
      <c r="I735" s="45" t="s">
        <v>576</v>
      </c>
      <c r="J735" s="36"/>
      <c r="K735" s="36"/>
      <c r="L735" s="45"/>
      <c r="M735" s="36" t="s">
        <v>521</v>
      </c>
      <c r="N735" s="40" t="n">
        <v>2000</v>
      </c>
      <c r="O735" s="35"/>
      <c r="P735" s="35" t="s">
        <v>265</v>
      </c>
      <c r="Q735" s="35" t="s">
        <v>67</v>
      </c>
      <c r="R735" s="35" t="s">
        <v>68</v>
      </c>
      <c r="S735" s="42" t="n">
        <v>3</v>
      </c>
      <c r="T735" s="35" t="s">
        <v>64</v>
      </c>
      <c r="U735" s="35" t="s">
        <v>537</v>
      </c>
      <c r="V735" s="36" t="s">
        <v>284</v>
      </c>
      <c r="W735" s="36" t="s">
        <v>524</v>
      </c>
      <c r="X735" s="44" t="s">
        <v>210</v>
      </c>
      <c r="Y735" s="41" t="s">
        <v>851</v>
      </c>
      <c r="Z735" s="47" t="n">
        <v>35464</v>
      </c>
      <c r="AA735" s="35" t="s">
        <v>526</v>
      </c>
    </row>
    <row r="736" customFormat="false" ht="34.5" hidden="false" customHeight="true" outlineLevel="0" collapsed="false">
      <c r="A736" s="34" t="n">
        <v>735</v>
      </c>
      <c r="B736" s="37" t="s">
        <v>352</v>
      </c>
      <c r="C736" s="45" t="s">
        <v>821</v>
      </c>
      <c r="D736" s="43" t="s">
        <v>822</v>
      </c>
      <c r="E736" s="35" t="s">
        <v>268</v>
      </c>
      <c r="F736" s="39" t="s">
        <v>860</v>
      </c>
      <c r="G736" s="43" t="s">
        <v>824</v>
      </c>
      <c r="H736" s="44" t="s">
        <v>825</v>
      </c>
      <c r="I736" s="45" t="s">
        <v>576</v>
      </c>
      <c r="J736" s="36"/>
      <c r="K736" s="36"/>
      <c r="L736" s="45"/>
      <c r="M736" s="36" t="s">
        <v>521</v>
      </c>
      <c r="N736" s="40" t="n">
        <v>2000</v>
      </c>
      <c r="O736" s="35"/>
      <c r="P736" s="35" t="s">
        <v>265</v>
      </c>
      <c r="Q736" s="35" t="s">
        <v>67</v>
      </c>
      <c r="R736" s="35" t="s">
        <v>68</v>
      </c>
      <c r="S736" s="42" t="n">
        <v>3</v>
      </c>
      <c r="T736" s="35" t="s">
        <v>64</v>
      </c>
      <c r="U736" s="35" t="s">
        <v>204</v>
      </c>
      <c r="V736" s="36" t="s">
        <v>284</v>
      </c>
      <c r="W736" s="36" t="s">
        <v>524</v>
      </c>
      <c r="X736" s="43" t="s">
        <v>861</v>
      </c>
      <c r="Y736" s="41" t="s">
        <v>862</v>
      </c>
      <c r="Z736" s="47" t="n">
        <v>42964</v>
      </c>
      <c r="AA736" s="35" t="s">
        <v>526</v>
      </c>
    </row>
    <row r="737" customFormat="false" ht="34.5" hidden="false" customHeight="true" outlineLevel="0" collapsed="false">
      <c r="A737" s="34" t="n">
        <v>736</v>
      </c>
      <c r="B737" s="37" t="s">
        <v>352</v>
      </c>
      <c r="C737" s="45" t="s">
        <v>821</v>
      </c>
      <c r="D737" s="43" t="s">
        <v>822</v>
      </c>
      <c r="E737" s="35" t="s">
        <v>268</v>
      </c>
      <c r="F737" s="39" t="s">
        <v>863</v>
      </c>
      <c r="G737" s="43" t="s">
        <v>824</v>
      </c>
      <c r="H737" s="44" t="s">
        <v>825</v>
      </c>
      <c r="I737" s="45" t="s">
        <v>576</v>
      </c>
      <c r="J737" s="36"/>
      <c r="K737" s="36"/>
      <c r="L737" s="45"/>
      <c r="M737" s="36" t="s">
        <v>521</v>
      </c>
      <c r="N737" s="40" t="n">
        <v>2000</v>
      </c>
      <c r="O737" s="35"/>
      <c r="P737" s="35" t="s">
        <v>265</v>
      </c>
      <c r="Q737" s="35" t="s">
        <v>67</v>
      </c>
      <c r="R737" s="35" t="s">
        <v>68</v>
      </c>
      <c r="S737" s="42" t="n">
        <v>3</v>
      </c>
      <c r="T737" s="35" t="s">
        <v>64</v>
      </c>
      <c r="U737" s="35" t="s">
        <v>204</v>
      </c>
      <c r="V737" s="36" t="s">
        <v>284</v>
      </c>
      <c r="W737" s="36" t="s">
        <v>524</v>
      </c>
      <c r="X737" s="43" t="s">
        <v>864</v>
      </c>
      <c r="Y737" s="41" t="s">
        <v>865</v>
      </c>
      <c r="Z737" s="47" t="n">
        <v>43563</v>
      </c>
      <c r="AA737" s="35" t="s">
        <v>526</v>
      </c>
    </row>
    <row r="738" customFormat="false" ht="64.5" hidden="false" customHeight="true" outlineLevel="0" collapsed="false">
      <c r="A738" s="34" t="n">
        <v>737</v>
      </c>
      <c r="B738" s="37" t="s">
        <v>352</v>
      </c>
      <c r="C738" s="45" t="s">
        <v>2249</v>
      </c>
      <c r="D738" s="43" t="s">
        <v>2250</v>
      </c>
      <c r="E738" s="35" t="s">
        <v>268</v>
      </c>
      <c r="F738" s="39" t="s">
        <v>2251</v>
      </c>
      <c r="G738" s="43" t="s">
        <v>2252</v>
      </c>
      <c r="H738" s="44" t="s">
        <v>2253</v>
      </c>
      <c r="I738" s="45" t="s">
        <v>2046</v>
      </c>
      <c r="J738" s="36"/>
      <c r="K738" s="36"/>
      <c r="L738" s="45"/>
      <c r="M738" s="36" t="s">
        <v>521</v>
      </c>
      <c r="N738" s="40" t="n">
        <v>2000</v>
      </c>
      <c r="O738" s="35"/>
      <c r="P738" s="35" t="s">
        <v>265</v>
      </c>
      <c r="Q738" s="35" t="s">
        <v>67</v>
      </c>
      <c r="R738" s="35" t="s">
        <v>144</v>
      </c>
      <c r="S738" s="42" t="n">
        <v>2</v>
      </c>
      <c r="T738" s="35" t="s">
        <v>246</v>
      </c>
      <c r="U738" s="35" t="s">
        <v>537</v>
      </c>
      <c r="V738" s="36" t="s">
        <v>284</v>
      </c>
      <c r="W738" s="36" t="s">
        <v>524</v>
      </c>
      <c r="X738" s="43" t="s">
        <v>272</v>
      </c>
      <c r="Y738" s="41" t="s">
        <v>2254</v>
      </c>
      <c r="Z738" s="47" t="n">
        <v>41008</v>
      </c>
      <c r="AA738" s="35" t="s">
        <v>526</v>
      </c>
    </row>
    <row r="739" customFormat="false" ht="64.5" hidden="false" customHeight="true" outlineLevel="0" collapsed="false">
      <c r="A739" s="34" t="n">
        <v>738</v>
      </c>
      <c r="B739" s="37" t="s">
        <v>352</v>
      </c>
      <c r="C739" s="45" t="s">
        <v>2255</v>
      </c>
      <c r="D739" s="43" t="s">
        <v>2256</v>
      </c>
      <c r="E739" s="35" t="s">
        <v>268</v>
      </c>
      <c r="F739" s="39" t="s">
        <v>2257</v>
      </c>
      <c r="G739" s="43" t="s">
        <v>2258</v>
      </c>
      <c r="H739" s="44" t="s">
        <v>2259</v>
      </c>
      <c r="I739" s="45" t="s">
        <v>2260</v>
      </c>
      <c r="J739" s="36"/>
      <c r="K739" s="36"/>
      <c r="L739" s="45"/>
      <c r="M739" s="36" t="s">
        <v>521</v>
      </c>
      <c r="N739" s="40" t="n">
        <v>2000</v>
      </c>
      <c r="O739" s="35"/>
      <c r="P739" s="35" t="s">
        <v>265</v>
      </c>
      <c r="Q739" s="35" t="s">
        <v>67</v>
      </c>
      <c r="R739" s="35" t="s">
        <v>144</v>
      </c>
      <c r="S739" s="42" t="n">
        <v>3</v>
      </c>
      <c r="T739" s="35" t="s">
        <v>64</v>
      </c>
      <c r="U739" s="35" t="s">
        <v>537</v>
      </c>
      <c r="V739" s="36" t="s">
        <v>226</v>
      </c>
      <c r="W739" s="36" t="s">
        <v>524</v>
      </c>
      <c r="X739" s="44" t="s">
        <v>230</v>
      </c>
      <c r="Y739" s="41" t="s">
        <v>2261</v>
      </c>
      <c r="Z739" s="47" t="n">
        <v>40268</v>
      </c>
      <c r="AA739" s="35" t="s">
        <v>526</v>
      </c>
    </row>
    <row r="740" customFormat="false" ht="64.5" hidden="false" customHeight="true" outlineLevel="0" collapsed="false">
      <c r="A740" s="34" t="n">
        <v>739</v>
      </c>
      <c r="B740" s="37" t="s">
        <v>352</v>
      </c>
      <c r="C740" s="45" t="s">
        <v>2262</v>
      </c>
      <c r="D740" s="43" t="s">
        <v>2263</v>
      </c>
      <c r="E740" s="35" t="s">
        <v>268</v>
      </c>
      <c r="F740" s="39" t="s">
        <v>2264</v>
      </c>
      <c r="G740" s="43" t="s">
        <v>2265</v>
      </c>
      <c r="H740" s="44" t="s">
        <v>2266</v>
      </c>
      <c r="I740" s="45" t="s">
        <v>982</v>
      </c>
      <c r="J740" s="36"/>
      <c r="K740" s="36"/>
      <c r="L740" s="45"/>
      <c r="M740" s="36" t="s">
        <v>521</v>
      </c>
      <c r="N740" s="40" t="n">
        <v>2000</v>
      </c>
      <c r="O740" s="35"/>
      <c r="P740" s="35" t="s">
        <v>265</v>
      </c>
      <c r="Q740" s="35" t="s">
        <v>67</v>
      </c>
      <c r="R740" s="35" t="s">
        <v>68</v>
      </c>
      <c r="S740" s="42" t="n">
        <v>2</v>
      </c>
      <c r="T740" s="35" t="s">
        <v>246</v>
      </c>
      <c r="U740" s="35" t="s">
        <v>204</v>
      </c>
      <c r="V740" s="36" t="s">
        <v>226</v>
      </c>
      <c r="W740" s="36" t="s">
        <v>524</v>
      </c>
      <c r="X740" s="43" t="s">
        <v>300</v>
      </c>
      <c r="Y740" s="41" t="s">
        <v>2267</v>
      </c>
      <c r="Z740" s="47" t="n">
        <v>43578</v>
      </c>
      <c r="AA740" s="35" t="s">
        <v>526</v>
      </c>
    </row>
    <row r="741" customFormat="false" ht="64.5" hidden="false" customHeight="true" outlineLevel="0" collapsed="false">
      <c r="A741" s="34" t="n">
        <v>740</v>
      </c>
      <c r="B741" s="37" t="s">
        <v>352</v>
      </c>
      <c r="C741" s="45" t="s">
        <v>914</v>
      </c>
      <c r="D741" s="43" t="s">
        <v>915</v>
      </c>
      <c r="E741" s="35" t="s">
        <v>268</v>
      </c>
      <c r="F741" s="39" t="s">
        <v>916</v>
      </c>
      <c r="G741" s="43" t="s">
        <v>917</v>
      </c>
      <c r="H741" s="44" t="s">
        <v>918</v>
      </c>
      <c r="I741" s="45" t="s">
        <v>919</v>
      </c>
      <c r="J741" s="36"/>
      <c r="K741" s="36"/>
      <c r="L741" s="45"/>
      <c r="M741" s="36" t="s">
        <v>521</v>
      </c>
      <c r="N741" s="40" t="n">
        <v>1000</v>
      </c>
      <c r="O741" s="35"/>
      <c r="P741" s="35" t="s">
        <v>265</v>
      </c>
      <c r="Q741" s="35" t="s">
        <v>67</v>
      </c>
      <c r="R741" s="35" t="s">
        <v>68</v>
      </c>
      <c r="S741" s="42" t="n">
        <v>2</v>
      </c>
      <c r="T741" s="35" t="s">
        <v>644</v>
      </c>
      <c r="U741" s="35" t="s">
        <v>204</v>
      </c>
      <c r="V741" s="36" t="s">
        <v>226</v>
      </c>
      <c r="W741" s="36" t="s">
        <v>524</v>
      </c>
      <c r="X741" s="44" t="s">
        <v>267</v>
      </c>
      <c r="Y741" s="41" t="s">
        <v>920</v>
      </c>
      <c r="Z741" s="47" t="n">
        <v>42039</v>
      </c>
      <c r="AA741" s="35" t="s">
        <v>526</v>
      </c>
    </row>
    <row r="742" customFormat="false" ht="64.5" hidden="false" customHeight="true" outlineLevel="0" collapsed="false">
      <c r="A742" s="34" t="n">
        <v>741</v>
      </c>
      <c r="B742" s="37" t="s">
        <v>352</v>
      </c>
      <c r="C742" s="45" t="s">
        <v>921</v>
      </c>
      <c r="D742" s="43" t="s">
        <v>922</v>
      </c>
      <c r="E742" s="35" t="s">
        <v>268</v>
      </c>
      <c r="F742" s="39" t="s">
        <v>923</v>
      </c>
      <c r="G742" s="43" t="s">
        <v>924</v>
      </c>
      <c r="H742" s="44" t="s">
        <v>925</v>
      </c>
      <c r="I742" s="45" t="s">
        <v>926</v>
      </c>
      <c r="J742" s="36"/>
      <c r="K742" s="36"/>
      <c r="L742" s="45"/>
      <c r="M742" s="36" t="s">
        <v>521</v>
      </c>
      <c r="N742" s="40" t="n">
        <v>2000</v>
      </c>
      <c r="O742" s="35"/>
      <c r="P742" s="35" t="s">
        <v>265</v>
      </c>
      <c r="Q742" s="35" t="s">
        <v>67</v>
      </c>
      <c r="R742" s="35" t="s">
        <v>144</v>
      </c>
      <c r="S742" s="42" t="n">
        <v>3</v>
      </c>
      <c r="T742" s="35" t="s">
        <v>64</v>
      </c>
      <c r="U742" s="35" t="s">
        <v>537</v>
      </c>
      <c r="V742" s="36" t="s">
        <v>226</v>
      </c>
      <c r="W742" s="36" t="s">
        <v>524</v>
      </c>
      <c r="X742" s="43" t="s">
        <v>272</v>
      </c>
      <c r="Y742" s="41" t="s">
        <v>927</v>
      </c>
      <c r="Z742" s="47" t="n">
        <v>41008</v>
      </c>
      <c r="AA742" s="35" t="s">
        <v>526</v>
      </c>
    </row>
    <row r="743" customFormat="false" ht="64.5" hidden="false" customHeight="true" outlineLevel="0" collapsed="false">
      <c r="A743" s="34" t="n">
        <v>742</v>
      </c>
      <c r="B743" s="37" t="s">
        <v>352</v>
      </c>
      <c r="C743" s="45" t="s">
        <v>943</v>
      </c>
      <c r="D743" s="43" t="s">
        <v>944</v>
      </c>
      <c r="E743" s="35" t="s">
        <v>211</v>
      </c>
      <c r="F743" s="39" t="s">
        <v>945</v>
      </c>
      <c r="G743" s="43" t="s">
        <v>946</v>
      </c>
      <c r="H743" s="44" t="s">
        <v>947</v>
      </c>
      <c r="I743" s="45" t="s">
        <v>948</v>
      </c>
      <c r="J743" s="36"/>
      <c r="K743" s="36"/>
      <c r="L743" s="45"/>
      <c r="M743" s="36" t="s">
        <v>521</v>
      </c>
      <c r="N743" s="40" t="n">
        <v>2000</v>
      </c>
      <c r="O743" s="35"/>
      <c r="P743" s="35" t="s">
        <v>265</v>
      </c>
      <c r="Q743" s="35" t="s">
        <v>67</v>
      </c>
      <c r="R743" s="35" t="s">
        <v>91</v>
      </c>
      <c r="S743" s="42" t="n">
        <v>3</v>
      </c>
      <c r="T743" s="35" t="s">
        <v>64</v>
      </c>
      <c r="U743" s="35" t="s">
        <v>537</v>
      </c>
      <c r="V743" s="36" t="s">
        <v>284</v>
      </c>
      <c r="W743" s="36" t="s">
        <v>524</v>
      </c>
      <c r="X743" s="43" t="s">
        <v>272</v>
      </c>
      <c r="Y743" s="41" t="s">
        <v>949</v>
      </c>
      <c r="Z743" s="47" t="n">
        <v>43350</v>
      </c>
      <c r="AA743" s="35" t="s">
        <v>526</v>
      </c>
    </row>
    <row r="744" customFormat="false" ht="34.5" hidden="false" customHeight="true" outlineLevel="0" collapsed="false">
      <c r="A744" s="34" t="n">
        <v>743</v>
      </c>
      <c r="B744" s="37" t="s">
        <v>352</v>
      </c>
      <c r="C744" s="45" t="s">
        <v>571</v>
      </c>
      <c r="D744" s="43" t="s">
        <v>572</v>
      </c>
      <c r="E744" s="35" t="s">
        <v>268</v>
      </c>
      <c r="F744" s="39" t="s">
        <v>2268</v>
      </c>
      <c r="G744" s="43" t="s">
        <v>2269</v>
      </c>
      <c r="H744" s="44" t="s">
        <v>2270</v>
      </c>
      <c r="I744" s="45" t="s">
        <v>584</v>
      </c>
      <c r="J744" s="36"/>
      <c r="K744" s="36"/>
      <c r="L744" s="45"/>
      <c r="M744" s="36" t="s">
        <v>521</v>
      </c>
      <c r="N744" s="40" t="n">
        <v>1000</v>
      </c>
      <c r="O744" s="35"/>
      <c r="P744" s="35" t="s">
        <v>265</v>
      </c>
      <c r="Q744" s="35" t="s">
        <v>67</v>
      </c>
      <c r="R744" s="35" t="s">
        <v>113</v>
      </c>
      <c r="S744" s="42" t="n">
        <v>3</v>
      </c>
      <c r="T744" s="35" t="s">
        <v>610</v>
      </c>
      <c r="U744" s="35" t="s">
        <v>537</v>
      </c>
      <c r="V744" s="36" t="s">
        <v>205</v>
      </c>
      <c r="W744" s="36" t="s">
        <v>524</v>
      </c>
      <c r="X744" s="43" t="s">
        <v>861</v>
      </c>
      <c r="Y744" s="41" t="s">
        <v>2271</v>
      </c>
      <c r="Z744" s="47" t="n">
        <v>42460</v>
      </c>
      <c r="AA744" s="35" t="s">
        <v>526</v>
      </c>
    </row>
    <row r="745" customFormat="false" ht="34.5" hidden="false" customHeight="true" outlineLevel="0" collapsed="false">
      <c r="A745" s="34" t="n">
        <v>744</v>
      </c>
      <c r="B745" s="37" t="s">
        <v>352</v>
      </c>
      <c r="C745" s="45" t="s">
        <v>571</v>
      </c>
      <c r="D745" s="43" t="s">
        <v>572</v>
      </c>
      <c r="E745" s="35" t="s">
        <v>268</v>
      </c>
      <c r="F745" s="39" t="s">
        <v>2272</v>
      </c>
      <c r="G745" s="43" t="s">
        <v>2269</v>
      </c>
      <c r="H745" s="44" t="s">
        <v>2270</v>
      </c>
      <c r="I745" s="45" t="s">
        <v>584</v>
      </c>
      <c r="J745" s="36"/>
      <c r="K745" s="36"/>
      <c r="L745" s="45"/>
      <c r="M745" s="36" t="s">
        <v>521</v>
      </c>
      <c r="N745" s="40" t="n">
        <v>1000</v>
      </c>
      <c r="O745" s="35"/>
      <c r="P745" s="35" t="s">
        <v>265</v>
      </c>
      <c r="Q745" s="35" t="s">
        <v>67</v>
      </c>
      <c r="R745" s="35" t="s">
        <v>113</v>
      </c>
      <c r="S745" s="42" t="n">
        <v>3</v>
      </c>
      <c r="T745" s="35" t="s">
        <v>610</v>
      </c>
      <c r="U745" s="35" t="s">
        <v>537</v>
      </c>
      <c r="V745" s="36" t="s">
        <v>205</v>
      </c>
      <c r="W745" s="36" t="s">
        <v>524</v>
      </c>
      <c r="X745" s="43" t="s">
        <v>932</v>
      </c>
      <c r="Y745" s="41" t="s">
        <v>2273</v>
      </c>
      <c r="Z745" s="47" t="n">
        <v>34426</v>
      </c>
      <c r="AA745" s="35" t="s">
        <v>526</v>
      </c>
    </row>
    <row r="746" customFormat="false" ht="64.5" hidden="false" customHeight="true" outlineLevel="0" collapsed="false">
      <c r="A746" s="34" t="n">
        <v>745</v>
      </c>
      <c r="B746" s="37" t="s">
        <v>352</v>
      </c>
      <c r="C746" s="45" t="s">
        <v>977</v>
      </c>
      <c r="D746" s="43" t="s">
        <v>978</v>
      </c>
      <c r="E746" s="35" t="s">
        <v>211</v>
      </c>
      <c r="F746" s="39" t="s">
        <v>979</v>
      </c>
      <c r="G746" s="43" t="s">
        <v>980</v>
      </c>
      <c r="H746" s="44" t="s">
        <v>981</v>
      </c>
      <c r="I746" s="45" t="s">
        <v>982</v>
      </c>
      <c r="J746" s="36"/>
      <c r="K746" s="36"/>
      <c r="L746" s="45"/>
      <c r="M746" s="36" t="s">
        <v>521</v>
      </c>
      <c r="N746" s="40" t="n">
        <v>2000</v>
      </c>
      <c r="O746" s="35"/>
      <c r="P746" s="35" t="s">
        <v>265</v>
      </c>
      <c r="Q746" s="35" t="s">
        <v>67</v>
      </c>
      <c r="R746" s="35" t="s">
        <v>144</v>
      </c>
      <c r="S746" s="42" t="n">
        <v>3</v>
      </c>
      <c r="T746" s="35" t="s">
        <v>610</v>
      </c>
      <c r="U746" s="35" t="s">
        <v>204</v>
      </c>
      <c r="V746" s="36" t="s">
        <v>226</v>
      </c>
      <c r="W746" s="36" t="s">
        <v>524</v>
      </c>
      <c r="X746" s="43" t="s">
        <v>932</v>
      </c>
      <c r="Y746" s="41" t="s">
        <v>983</v>
      </c>
      <c r="Z746" s="47" t="n">
        <v>43770</v>
      </c>
      <c r="AA746" s="35" t="s">
        <v>526</v>
      </c>
    </row>
    <row r="747" customFormat="false" ht="34.5" hidden="false" customHeight="true" outlineLevel="0" collapsed="false">
      <c r="A747" s="34" t="n">
        <v>746</v>
      </c>
      <c r="B747" s="37" t="s">
        <v>352</v>
      </c>
      <c r="C747" s="45" t="s">
        <v>2274</v>
      </c>
      <c r="D747" s="43" t="s">
        <v>2275</v>
      </c>
      <c r="E747" s="35" t="s">
        <v>268</v>
      </c>
      <c r="F747" s="39" t="s">
        <v>2276</v>
      </c>
      <c r="G747" s="43" t="s">
        <v>2277</v>
      </c>
      <c r="H747" s="44" t="s">
        <v>2278</v>
      </c>
      <c r="I747" s="45" t="s">
        <v>1984</v>
      </c>
      <c r="J747" s="36" t="s">
        <v>80</v>
      </c>
      <c r="K747" s="36"/>
      <c r="L747" s="45"/>
      <c r="M747" s="36" t="s">
        <v>521</v>
      </c>
      <c r="N747" s="40" t="n">
        <v>1000</v>
      </c>
      <c r="O747" s="35"/>
      <c r="P747" s="35" t="s">
        <v>265</v>
      </c>
      <c r="Q747" s="35" t="s">
        <v>67</v>
      </c>
      <c r="R747" s="35" t="s">
        <v>68</v>
      </c>
      <c r="S747" s="42" t="n">
        <v>2</v>
      </c>
      <c r="T747" s="35" t="s">
        <v>64</v>
      </c>
      <c r="U747" s="35" t="s">
        <v>204</v>
      </c>
      <c r="V747" s="36" t="s">
        <v>205</v>
      </c>
      <c r="W747" s="36" t="s">
        <v>826</v>
      </c>
      <c r="X747" s="44" t="s">
        <v>267</v>
      </c>
      <c r="Y747" s="41" t="s">
        <v>2279</v>
      </c>
      <c r="Z747" s="47" t="n">
        <v>39814</v>
      </c>
      <c r="AA747" s="35" t="s">
        <v>526</v>
      </c>
    </row>
    <row r="748" customFormat="false" ht="34.5" hidden="false" customHeight="true" outlineLevel="0" collapsed="false">
      <c r="A748" s="34" t="n">
        <v>747</v>
      </c>
      <c r="B748" s="37" t="s">
        <v>352</v>
      </c>
      <c r="C748" s="45" t="s">
        <v>2274</v>
      </c>
      <c r="D748" s="43" t="s">
        <v>2275</v>
      </c>
      <c r="E748" s="35" t="s">
        <v>268</v>
      </c>
      <c r="F748" s="39" t="s">
        <v>2276</v>
      </c>
      <c r="G748" s="43" t="s">
        <v>2277</v>
      </c>
      <c r="H748" s="44" t="s">
        <v>2278</v>
      </c>
      <c r="I748" s="45" t="s">
        <v>1984</v>
      </c>
      <c r="J748" s="36" t="s">
        <v>80</v>
      </c>
      <c r="K748" s="36"/>
      <c r="L748" s="45"/>
      <c r="M748" s="36" t="s">
        <v>521</v>
      </c>
      <c r="N748" s="40" t="n">
        <v>1000</v>
      </c>
      <c r="O748" s="35"/>
      <c r="P748" s="35" t="s">
        <v>265</v>
      </c>
      <c r="Q748" s="35" t="s">
        <v>67</v>
      </c>
      <c r="R748" s="35" t="s">
        <v>68</v>
      </c>
      <c r="S748" s="42" t="n">
        <v>2</v>
      </c>
      <c r="T748" s="35" t="s">
        <v>64</v>
      </c>
      <c r="U748" s="35" t="s">
        <v>204</v>
      </c>
      <c r="V748" s="36" t="s">
        <v>205</v>
      </c>
      <c r="W748" s="36" t="s">
        <v>524</v>
      </c>
      <c r="X748" s="44" t="s">
        <v>267</v>
      </c>
      <c r="Y748" s="41" t="s">
        <v>2280</v>
      </c>
      <c r="Z748" s="47" t="n">
        <v>40960</v>
      </c>
      <c r="AA748" s="35" t="s">
        <v>578</v>
      </c>
    </row>
    <row r="749" customFormat="false" ht="64.5" hidden="false" customHeight="true" outlineLevel="0" collapsed="false">
      <c r="A749" s="34" t="n">
        <v>748</v>
      </c>
      <c r="B749" s="37" t="s">
        <v>352</v>
      </c>
      <c r="C749" s="45" t="s">
        <v>2281</v>
      </c>
      <c r="D749" s="43" t="s">
        <v>2282</v>
      </c>
      <c r="E749" s="35" t="s">
        <v>268</v>
      </c>
      <c r="F749" s="39" t="s">
        <v>2283</v>
      </c>
      <c r="G749" s="43" t="s">
        <v>2284</v>
      </c>
      <c r="H749" s="44" t="s">
        <v>2285</v>
      </c>
      <c r="I749" s="45" t="s">
        <v>2286</v>
      </c>
      <c r="J749" s="36" t="s">
        <v>80</v>
      </c>
      <c r="K749" s="36"/>
      <c r="L749" s="45"/>
      <c r="M749" s="36" t="s">
        <v>521</v>
      </c>
      <c r="N749" s="40" t="n">
        <v>2000</v>
      </c>
      <c r="O749" s="35"/>
      <c r="P749" s="35" t="s">
        <v>265</v>
      </c>
      <c r="Q749" s="35" t="s">
        <v>67</v>
      </c>
      <c r="R749" s="35" t="s">
        <v>113</v>
      </c>
      <c r="S749" s="42" t="n">
        <v>2</v>
      </c>
      <c r="T749" s="35" t="s">
        <v>64</v>
      </c>
      <c r="U749" s="35" t="s">
        <v>204</v>
      </c>
      <c r="V749" s="36" t="s">
        <v>284</v>
      </c>
      <c r="W749" s="36" t="s">
        <v>524</v>
      </c>
      <c r="X749" s="44" t="s">
        <v>210</v>
      </c>
      <c r="Y749" s="41" t="s">
        <v>2287</v>
      </c>
      <c r="Z749" s="47" t="n">
        <v>39902</v>
      </c>
      <c r="AA749" s="35" t="s">
        <v>578</v>
      </c>
    </row>
    <row r="750" customFormat="false" ht="34.5" hidden="false" customHeight="true" outlineLevel="0" collapsed="false">
      <c r="A750" s="34" t="n">
        <v>749</v>
      </c>
      <c r="B750" s="37" t="s">
        <v>352</v>
      </c>
      <c r="C750" s="45" t="s">
        <v>297</v>
      </c>
      <c r="D750" s="43" t="s">
        <v>298</v>
      </c>
      <c r="E750" s="35" t="s">
        <v>211</v>
      </c>
      <c r="F750" s="39" t="s">
        <v>1431</v>
      </c>
      <c r="G750" s="43" t="s">
        <v>1432</v>
      </c>
      <c r="H750" s="44" t="s">
        <v>296</v>
      </c>
      <c r="I750" s="45" t="s">
        <v>679</v>
      </c>
      <c r="J750" s="36"/>
      <c r="K750" s="36"/>
      <c r="L750" s="45"/>
      <c r="M750" s="36" t="s">
        <v>521</v>
      </c>
      <c r="N750" s="40" t="n">
        <v>2000</v>
      </c>
      <c r="O750" s="35"/>
      <c r="P750" s="35" t="s">
        <v>265</v>
      </c>
      <c r="Q750" s="35" t="s">
        <v>67</v>
      </c>
      <c r="R750" s="35" t="s">
        <v>68</v>
      </c>
      <c r="S750" s="42" t="n">
        <v>2</v>
      </c>
      <c r="T750" s="35" t="s">
        <v>98</v>
      </c>
      <c r="U750" s="35" t="s">
        <v>204</v>
      </c>
      <c r="V750" s="36" t="s">
        <v>226</v>
      </c>
      <c r="W750" s="36" t="s">
        <v>524</v>
      </c>
      <c r="X750" s="44" t="s">
        <v>221</v>
      </c>
      <c r="Y750" s="41" t="s">
        <v>1433</v>
      </c>
      <c r="Z750" s="47" t="n">
        <v>44915</v>
      </c>
      <c r="AA750" s="35" t="s">
        <v>526</v>
      </c>
    </row>
    <row r="751" customFormat="false" ht="34.5" hidden="false" customHeight="true" outlineLevel="0" collapsed="false">
      <c r="A751" s="34" t="n">
        <v>750</v>
      </c>
      <c r="B751" s="37" t="s">
        <v>352</v>
      </c>
      <c r="C751" s="45" t="s">
        <v>297</v>
      </c>
      <c r="D751" s="43" t="s">
        <v>298</v>
      </c>
      <c r="E751" s="35" t="s">
        <v>268</v>
      </c>
      <c r="F751" s="39" t="s">
        <v>2288</v>
      </c>
      <c r="G751" s="43" t="s">
        <v>1435</v>
      </c>
      <c r="H751" s="44" t="s">
        <v>296</v>
      </c>
      <c r="I751" s="45" t="s">
        <v>576</v>
      </c>
      <c r="J751" s="36"/>
      <c r="K751" s="36"/>
      <c r="L751" s="45"/>
      <c r="M751" s="36" t="s">
        <v>521</v>
      </c>
      <c r="N751" s="40" t="n">
        <v>1000</v>
      </c>
      <c r="O751" s="35"/>
      <c r="P751" s="35" t="s">
        <v>265</v>
      </c>
      <c r="Q751" s="35" t="s">
        <v>67</v>
      </c>
      <c r="R751" s="35" t="s">
        <v>144</v>
      </c>
      <c r="S751" s="42" t="n">
        <v>3</v>
      </c>
      <c r="T751" s="35" t="s">
        <v>665</v>
      </c>
      <c r="U751" s="35" t="s">
        <v>537</v>
      </c>
      <c r="V751" s="36" t="s">
        <v>284</v>
      </c>
      <c r="W751" s="36" t="s">
        <v>524</v>
      </c>
      <c r="X751" s="44" t="s">
        <v>960</v>
      </c>
      <c r="Y751" s="41" t="s">
        <v>2289</v>
      </c>
      <c r="Z751" s="47" t="n">
        <v>40480</v>
      </c>
      <c r="AA751" s="35" t="s">
        <v>526</v>
      </c>
    </row>
    <row r="752" customFormat="false" ht="34.5" hidden="false" customHeight="true" outlineLevel="0" collapsed="false">
      <c r="A752" s="34" t="n">
        <v>751</v>
      </c>
      <c r="B752" s="37" t="s">
        <v>352</v>
      </c>
      <c r="C752" s="45" t="s">
        <v>297</v>
      </c>
      <c r="D752" s="43" t="s">
        <v>298</v>
      </c>
      <c r="E752" s="35" t="s">
        <v>268</v>
      </c>
      <c r="F752" s="39" t="s">
        <v>1437</v>
      </c>
      <c r="G752" s="43" t="s">
        <v>1432</v>
      </c>
      <c r="H752" s="44" t="s">
        <v>296</v>
      </c>
      <c r="I752" s="45" t="s">
        <v>679</v>
      </c>
      <c r="J752" s="36"/>
      <c r="K752" s="36"/>
      <c r="L752" s="45"/>
      <c r="M752" s="36" t="s">
        <v>521</v>
      </c>
      <c r="N752" s="40" t="n">
        <v>2000</v>
      </c>
      <c r="O752" s="35"/>
      <c r="P752" s="35" t="s">
        <v>265</v>
      </c>
      <c r="Q752" s="35" t="s">
        <v>67</v>
      </c>
      <c r="R752" s="35" t="s">
        <v>68</v>
      </c>
      <c r="S752" s="42" t="n">
        <v>2</v>
      </c>
      <c r="T752" s="35" t="s">
        <v>98</v>
      </c>
      <c r="U752" s="35" t="s">
        <v>204</v>
      </c>
      <c r="V752" s="36" t="s">
        <v>226</v>
      </c>
      <c r="W752" s="36" t="s">
        <v>524</v>
      </c>
      <c r="X752" s="44" t="s">
        <v>834</v>
      </c>
      <c r="Y752" s="41" t="s">
        <v>1438</v>
      </c>
      <c r="Z752" s="47" t="n">
        <v>41684</v>
      </c>
      <c r="AA752" s="35" t="s">
        <v>526</v>
      </c>
    </row>
    <row r="753" customFormat="false" ht="34.5" hidden="false" customHeight="true" outlineLevel="0" collapsed="false">
      <c r="A753" s="34" t="n">
        <v>752</v>
      </c>
      <c r="B753" s="37" t="s">
        <v>352</v>
      </c>
      <c r="C753" s="45" t="s">
        <v>297</v>
      </c>
      <c r="D753" s="43" t="s">
        <v>298</v>
      </c>
      <c r="E753" s="35" t="s">
        <v>268</v>
      </c>
      <c r="F753" s="39" t="s">
        <v>1439</v>
      </c>
      <c r="G753" s="43" t="s">
        <v>1432</v>
      </c>
      <c r="H753" s="44" t="s">
        <v>296</v>
      </c>
      <c r="I753" s="45" t="s">
        <v>679</v>
      </c>
      <c r="J753" s="36"/>
      <c r="K753" s="36"/>
      <c r="L753" s="45"/>
      <c r="M753" s="36" t="s">
        <v>521</v>
      </c>
      <c r="N753" s="40" t="n">
        <v>2000</v>
      </c>
      <c r="O753" s="35"/>
      <c r="P753" s="35" t="s">
        <v>265</v>
      </c>
      <c r="Q753" s="35" t="s">
        <v>67</v>
      </c>
      <c r="R753" s="35" t="s">
        <v>68</v>
      </c>
      <c r="S753" s="42" t="n">
        <v>2</v>
      </c>
      <c r="T753" s="35" t="s">
        <v>98</v>
      </c>
      <c r="U753" s="35" t="s">
        <v>204</v>
      </c>
      <c r="V753" s="36" t="s">
        <v>226</v>
      </c>
      <c r="W753" s="36" t="s">
        <v>524</v>
      </c>
      <c r="X753" s="44" t="s">
        <v>856</v>
      </c>
      <c r="Y753" s="41" t="s">
        <v>1441</v>
      </c>
      <c r="Z753" s="47" t="n">
        <v>44560</v>
      </c>
      <c r="AA753" s="35" t="s">
        <v>526</v>
      </c>
    </row>
    <row r="754" customFormat="false" ht="34.5" hidden="false" customHeight="true" outlineLevel="0" collapsed="false">
      <c r="A754" s="34" t="n">
        <v>753</v>
      </c>
      <c r="B754" s="37" t="s">
        <v>352</v>
      </c>
      <c r="C754" s="45" t="s">
        <v>297</v>
      </c>
      <c r="D754" s="43" t="s">
        <v>298</v>
      </c>
      <c r="E754" s="35" t="s">
        <v>268</v>
      </c>
      <c r="F754" s="39" t="s">
        <v>1439</v>
      </c>
      <c r="G754" s="43" t="s">
        <v>1432</v>
      </c>
      <c r="H754" s="44" t="s">
        <v>296</v>
      </c>
      <c r="I754" s="45" t="s">
        <v>679</v>
      </c>
      <c r="J754" s="36"/>
      <c r="K754" s="36"/>
      <c r="L754" s="45"/>
      <c r="M754" s="36" t="s">
        <v>521</v>
      </c>
      <c r="N754" s="40" t="n">
        <v>2000</v>
      </c>
      <c r="O754" s="35"/>
      <c r="P754" s="35" t="s">
        <v>265</v>
      </c>
      <c r="Q754" s="35" t="s">
        <v>67</v>
      </c>
      <c r="R754" s="35" t="s">
        <v>68</v>
      </c>
      <c r="S754" s="42" t="n">
        <v>2</v>
      </c>
      <c r="T754" s="35" t="s">
        <v>98</v>
      </c>
      <c r="U754" s="35" t="s">
        <v>204</v>
      </c>
      <c r="V754" s="36" t="s">
        <v>226</v>
      </c>
      <c r="W754" s="36" t="s">
        <v>826</v>
      </c>
      <c r="X754" s="44" t="s">
        <v>856</v>
      </c>
      <c r="Y754" s="41" t="s">
        <v>1440</v>
      </c>
      <c r="Z754" s="47" t="n">
        <v>42998</v>
      </c>
      <c r="AA754" s="35" t="s">
        <v>526</v>
      </c>
    </row>
    <row r="755" customFormat="false" ht="34.5" hidden="false" customHeight="true" outlineLevel="0" collapsed="false">
      <c r="A755" s="34" t="n">
        <v>754</v>
      </c>
      <c r="B755" s="37" t="s">
        <v>352</v>
      </c>
      <c r="C755" s="45" t="s">
        <v>297</v>
      </c>
      <c r="D755" s="43" t="s">
        <v>298</v>
      </c>
      <c r="E755" s="35" t="s">
        <v>268</v>
      </c>
      <c r="F755" s="39" t="s">
        <v>295</v>
      </c>
      <c r="G755" s="43" t="s">
        <v>1432</v>
      </c>
      <c r="H755" s="44" t="s">
        <v>296</v>
      </c>
      <c r="I755" s="45" t="s">
        <v>679</v>
      </c>
      <c r="J755" s="36" t="s">
        <v>80</v>
      </c>
      <c r="K755" s="36" t="s">
        <v>577</v>
      </c>
      <c r="L755" s="45" t="s">
        <v>530</v>
      </c>
      <c r="M755" s="36" t="s">
        <v>521</v>
      </c>
      <c r="N755" s="40" t="n">
        <v>2000</v>
      </c>
      <c r="O755" s="35"/>
      <c r="P755" s="35" t="s">
        <v>265</v>
      </c>
      <c r="Q755" s="35" t="s">
        <v>67</v>
      </c>
      <c r="R755" s="35" t="s">
        <v>68</v>
      </c>
      <c r="S755" s="42" t="n">
        <v>2</v>
      </c>
      <c r="T755" s="35" t="s">
        <v>98</v>
      </c>
      <c r="U755" s="35" t="s">
        <v>204</v>
      </c>
      <c r="V755" s="36" t="s">
        <v>226</v>
      </c>
      <c r="W755" s="36" t="s">
        <v>524</v>
      </c>
      <c r="X755" s="43" t="s">
        <v>300</v>
      </c>
      <c r="Y755" s="41" t="s">
        <v>301</v>
      </c>
      <c r="Z755" s="47" t="n">
        <v>33695</v>
      </c>
      <c r="AA755" s="35" t="s">
        <v>578</v>
      </c>
    </row>
    <row r="756" customFormat="false" ht="34.5" hidden="false" customHeight="true" outlineLevel="0" collapsed="false">
      <c r="A756" s="34" t="n">
        <v>755</v>
      </c>
      <c r="B756" s="37" t="s">
        <v>352</v>
      </c>
      <c r="C756" s="45" t="s">
        <v>297</v>
      </c>
      <c r="D756" s="43" t="s">
        <v>298</v>
      </c>
      <c r="E756" s="35" t="s">
        <v>268</v>
      </c>
      <c r="F756" s="39" t="s">
        <v>1444</v>
      </c>
      <c r="G756" s="43" t="s">
        <v>1432</v>
      </c>
      <c r="H756" s="44" t="s">
        <v>296</v>
      </c>
      <c r="I756" s="45" t="s">
        <v>679</v>
      </c>
      <c r="J756" s="36"/>
      <c r="K756" s="36"/>
      <c r="L756" s="45"/>
      <c r="M756" s="36" t="s">
        <v>521</v>
      </c>
      <c r="N756" s="40" t="n">
        <v>2000</v>
      </c>
      <c r="O756" s="35"/>
      <c r="P756" s="35" t="s">
        <v>265</v>
      </c>
      <c r="Q756" s="35" t="s">
        <v>67</v>
      </c>
      <c r="R756" s="35" t="s">
        <v>68</v>
      </c>
      <c r="S756" s="42" t="n">
        <v>2</v>
      </c>
      <c r="T756" s="35" t="s">
        <v>98</v>
      </c>
      <c r="U756" s="35" t="s">
        <v>204</v>
      </c>
      <c r="V756" s="36" t="s">
        <v>226</v>
      </c>
      <c r="W756" s="36" t="s">
        <v>524</v>
      </c>
      <c r="X756" s="44" t="s">
        <v>847</v>
      </c>
      <c r="Y756" s="41" t="s">
        <v>1445</v>
      </c>
      <c r="Z756" s="47" t="n">
        <v>44362</v>
      </c>
      <c r="AA756" s="35" t="s">
        <v>526</v>
      </c>
    </row>
    <row r="757" customFormat="false" ht="34.5" hidden="false" customHeight="true" outlineLevel="0" collapsed="false">
      <c r="A757" s="34" t="n">
        <v>756</v>
      </c>
      <c r="B757" s="37" t="s">
        <v>352</v>
      </c>
      <c r="C757" s="45" t="s">
        <v>297</v>
      </c>
      <c r="D757" s="43" t="s">
        <v>298</v>
      </c>
      <c r="E757" s="35" t="s">
        <v>211</v>
      </c>
      <c r="F757" s="39" t="s">
        <v>1446</v>
      </c>
      <c r="G757" s="43" t="s">
        <v>1435</v>
      </c>
      <c r="H757" s="44" t="s">
        <v>296</v>
      </c>
      <c r="I757" s="45" t="s">
        <v>576</v>
      </c>
      <c r="J757" s="36"/>
      <c r="K757" s="36"/>
      <c r="L757" s="45"/>
      <c r="M757" s="36" t="s">
        <v>521</v>
      </c>
      <c r="N757" s="40" t="n">
        <v>1000</v>
      </c>
      <c r="O757" s="35"/>
      <c r="P757" s="35" t="s">
        <v>265</v>
      </c>
      <c r="Q757" s="35" t="s">
        <v>67</v>
      </c>
      <c r="R757" s="35" t="s">
        <v>144</v>
      </c>
      <c r="S757" s="42" t="n">
        <v>3</v>
      </c>
      <c r="T757" s="35" t="s">
        <v>665</v>
      </c>
      <c r="U757" s="35" t="s">
        <v>537</v>
      </c>
      <c r="V757" s="36" t="s">
        <v>284</v>
      </c>
      <c r="W757" s="36" t="s">
        <v>524</v>
      </c>
      <c r="X757" s="44" t="s">
        <v>341</v>
      </c>
      <c r="Y757" s="41" t="s">
        <v>1447</v>
      </c>
      <c r="Z757" s="47" t="n">
        <v>45383</v>
      </c>
      <c r="AA757" s="35" t="s">
        <v>526</v>
      </c>
    </row>
    <row r="758" customFormat="false" ht="34.5" hidden="false" customHeight="true" outlineLevel="0" collapsed="false">
      <c r="A758" s="34" t="n">
        <v>757</v>
      </c>
      <c r="B758" s="37" t="s">
        <v>352</v>
      </c>
      <c r="C758" s="45" t="s">
        <v>297</v>
      </c>
      <c r="D758" s="43" t="s">
        <v>298</v>
      </c>
      <c r="E758" s="35" t="s">
        <v>268</v>
      </c>
      <c r="F758" s="39" t="s">
        <v>2290</v>
      </c>
      <c r="G758" s="43" t="s">
        <v>2291</v>
      </c>
      <c r="H758" s="44" t="s">
        <v>2292</v>
      </c>
      <c r="I758" s="45" t="s">
        <v>576</v>
      </c>
      <c r="J758" s="36"/>
      <c r="K758" s="36"/>
      <c r="L758" s="45"/>
      <c r="M758" s="36" t="s">
        <v>521</v>
      </c>
      <c r="N758" s="40" t="n">
        <v>2000</v>
      </c>
      <c r="O758" s="35"/>
      <c r="P758" s="35" t="s">
        <v>265</v>
      </c>
      <c r="Q758" s="35" t="s">
        <v>67</v>
      </c>
      <c r="R758" s="35" t="s">
        <v>68</v>
      </c>
      <c r="S758" s="42" t="n">
        <v>2</v>
      </c>
      <c r="T758" s="35" t="s">
        <v>246</v>
      </c>
      <c r="U758" s="35" t="s">
        <v>537</v>
      </c>
      <c r="V758" s="36" t="s">
        <v>284</v>
      </c>
      <c r="W758" s="36" t="s">
        <v>524</v>
      </c>
      <c r="X758" s="43" t="s">
        <v>369</v>
      </c>
      <c r="Y758" s="41" t="s">
        <v>2293</v>
      </c>
      <c r="Z758" s="47" t="n">
        <v>34423</v>
      </c>
      <c r="AA758" s="35" t="s">
        <v>526</v>
      </c>
    </row>
    <row r="759" customFormat="false" ht="49.5" hidden="false" customHeight="true" outlineLevel="0" collapsed="false">
      <c r="A759" s="34" t="n">
        <v>758</v>
      </c>
      <c r="B759" s="37" t="s">
        <v>352</v>
      </c>
      <c r="C759" s="45" t="s">
        <v>1452</v>
      </c>
      <c r="D759" s="43" t="s">
        <v>1453</v>
      </c>
      <c r="E759" s="35" t="s">
        <v>211</v>
      </c>
      <c r="F759" s="39" t="s">
        <v>1454</v>
      </c>
      <c r="G759" s="43" t="s">
        <v>1455</v>
      </c>
      <c r="H759" s="44" t="s">
        <v>1456</v>
      </c>
      <c r="I759" s="45" t="s">
        <v>679</v>
      </c>
      <c r="J759" s="36"/>
      <c r="K759" s="36"/>
      <c r="L759" s="45"/>
      <c r="M759" s="36" t="s">
        <v>521</v>
      </c>
      <c r="N759" s="40" t="n">
        <v>2000</v>
      </c>
      <c r="O759" s="35"/>
      <c r="P759" s="35" t="s">
        <v>265</v>
      </c>
      <c r="Q759" s="35" t="s">
        <v>67</v>
      </c>
      <c r="R759" s="35" t="s">
        <v>68</v>
      </c>
      <c r="S759" s="42" t="n">
        <v>3</v>
      </c>
      <c r="T759" s="35" t="s">
        <v>64</v>
      </c>
      <c r="U759" s="35" t="s">
        <v>204</v>
      </c>
      <c r="V759" s="36" t="s">
        <v>284</v>
      </c>
      <c r="W759" s="36" t="s">
        <v>524</v>
      </c>
      <c r="X759" s="43" t="s">
        <v>861</v>
      </c>
      <c r="Y759" s="41" t="s">
        <v>1457</v>
      </c>
      <c r="Z759" s="47" t="n">
        <v>45383</v>
      </c>
      <c r="AA759" s="35" t="s">
        <v>526</v>
      </c>
    </row>
    <row r="760" customFormat="false" ht="49.5" hidden="false" customHeight="true" outlineLevel="0" collapsed="false">
      <c r="A760" s="34" t="n">
        <v>759</v>
      </c>
      <c r="B760" s="37" t="s">
        <v>352</v>
      </c>
      <c r="C760" s="45" t="s">
        <v>1452</v>
      </c>
      <c r="D760" s="43" t="s">
        <v>1453</v>
      </c>
      <c r="E760" s="35" t="s">
        <v>268</v>
      </c>
      <c r="F760" s="39" t="s">
        <v>1647</v>
      </c>
      <c r="G760" s="43" t="s">
        <v>1640</v>
      </c>
      <c r="H760" s="44" t="s">
        <v>1641</v>
      </c>
      <c r="I760" s="45" t="s">
        <v>1645</v>
      </c>
      <c r="J760" s="36"/>
      <c r="K760" s="36"/>
      <c r="L760" s="45"/>
      <c r="M760" s="36" t="s">
        <v>521</v>
      </c>
      <c r="N760" s="40" t="n">
        <v>2000</v>
      </c>
      <c r="O760" s="35"/>
      <c r="P760" s="35" t="s">
        <v>265</v>
      </c>
      <c r="Q760" s="35" t="s">
        <v>67</v>
      </c>
      <c r="R760" s="35" t="s">
        <v>144</v>
      </c>
      <c r="S760" s="42" t="n">
        <v>3</v>
      </c>
      <c r="T760" s="35" t="s">
        <v>64</v>
      </c>
      <c r="U760" s="35" t="s">
        <v>204</v>
      </c>
      <c r="V760" s="36" t="s">
        <v>226</v>
      </c>
      <c r="W760" s="36" t="s">
        <v>524</v>
      </c>
      <c r="X760" s="43" t="s">
        <v>330</v>
      </c>
      <c r="Y760" s="41" t="s">
        <v>1648</v>
      </c>
      <c r="Z760" s="47" t="n">
        <v>41008</v>
      </c>
      <c r="AA760" s="35" t="s">
        <v>526</v>
      </c>
    </row>
    <row r="761" customFormat="false" ht="49.5" hidden="false" customHeight="true" outlineLevel="0" collapsed="false">
      <c r="A761" s="34" t="n">
        <v>760</v>
      </c>
      <c r="B761" s="37" t="s">
        <v>352</v>
      </c>
      <c r="C761" s="45" t="s">
        <v>1452</v>
      </c>
      <c r="D761" s="43" t="s">
        <v>1453</v>
      </c>
      <c r="E761" s="35" t="s">
        <v>211</v>
      </c>
      <c r="F761" s="39" t="s">
        <v>2294</v>
      </c>
      <c r="G761" s="43" t="s">
        <v>1455</v>
      </c>
      <c r="H761" s="44" t="s">
        <v>1456</v>
      </c>
      <c r="I761" s="45" t="s">
        <v>679</v>
      </c>
      <c r="J761" s="36"/>
      <c r="K761" s="36"/>
      <c r="L761" s="45"/>
      <c r="M761" s="36" t="s">
        <v>521</v>
      </c>
      <c r="N761" s="40" t="n">
        <v>2000</v>
      </c>
      <c r="O761" s="35"/>
      <c r="P761" s="35" t="s">
        <v>265</v>
      </c>
      <c r="Q761" s="35" t="s">
        <v>67</v>
      </c>
      <c r="R761" s="35" t="s">
        <v>68</v>
      </c>
      <c r="S761" s="42" t="n">
        <v>3</v>
      </c>
      <c r="T761" s="35" t="s">
        <v>64</v>
      </c>
      <c r="U761" s="35" t="s">
        <v>204</v>
      </c>
      <c r="V761" s="36" t="s">
        <v>284</v>
      </c>
      <c r="W761" s="36" t="s">
        <v>524</v>
      </c>
      <c r="X761" s="44" t="s">
        <v>341</v>
      </c>
      <c r="Y761" s="41" t="s">
        <v>2295</v>
      </c>
      <c r="Z761" s="47" t="n">
        <v>45833</v>
      </c>
      <c r="AA761" s="35" t="s">
        <v>526</v>
      </c>
    </row>
    <row r="762" customFormat="false" ht="49.5" hidden="false" customHeight="true" outlineLevel="0" collapsed="false">
      <c r="A762" s="34" t="n">
        <v>761</v>
      </c>
      <c r="B762" s="37" t="s">
        <v>352</v>
      </c>
      <c r="C762" s="45" t="s">
        <v>1452</v>
      </c>
      <c r="D762" s="43" t="s">
        <v>1453</v>
      </c>
      <c r="E762" s="35" t="s">
        <v>211</v>
      </c>
      <c r="F762" s="39" t="s">
        <v>2296</v>
      </c>
      <c r="G762" s="43" t="s">
        <v>1455</v>
      </c>
      <c r="H762" s="44" t="s">
        <v>1456</v>
      </c>
      <c r="I762" s="45" t="s">
        <v>679</v>
      </c>
      <c r="J762" s="36"/>
      <c r="K762" s="36"/>
      <c r="L762" s="45"/>
      <c r="M762" s="36" t="s">
        <v>521</v>
      </c>
      <c r="N762" s="40" t="n">
        <v>2000</v>
      </c>
      <c r="O762" s="35"/>
      <c r="P762" s="35" t="s">
        <v>265</v>
      </c>
      <c r="Q762" s="35" t="s">
        <v>67</v>
      </c>
      <c r="R762" s="35" t="s">
        <v>68</v>
      </c>
      <c r="S762" s="42" t="n">
        <v>3</v>
      </c>
      <c r="T762" s="35" t="s">
        <v>64</v>
      </c>
      <c r="U762" s="35" t="s">
        <v>204</v>
      </c>
      <c r="V762" s="36" t="s">
        <v>284</v>
      </c>
      <c r="W762" s="36" t="s">
        <v>524</v>
      </c>
      <c r="X762" s="44" t="s">
        <v>221</v>
      </c>
      <c r="Y762" s="41" t="s">
        <v>2297</v>
      </c>
      <c r="Z762" s="47" t="n">
        <v>45579</v>
      </c>
      <c r="AA762" s="35" t="s">
        <v>526</v>
      </c>
    </row>
    <row r="763" customFormat="false" ht="49.5" hidden="false" customHeight="true" outlineLevel="0" collapsed="false">
      <c r="A763" s="34" t="n">
        <v>762</v>
      </c>
      <c r="B763" s="37" t="s">
        <v>352</v>
      </c>
      <c r="C763" s="45" t="s">
        <v>1452</v>
      </c>
      <c r="D763" s="43" t="s">
        <v>1453</v>
      </c>
      <c r="E763" s="35" t="s">
        <v>268</v>
      </c>
      <c r="F763" s="39" t="s">
        <v>2298</v>
      </c>
      <c r="G763" s="43" t="s">
        <v>2299</v>
      </c>
      <c r="H763" s="44" t="s">
        <v>2300</v>
      </c>
      <c r="I763" s="45" t="s">
        <v>2301</v>
      </c>
      <c r="J763" s="36"/>
      <c r="K763" s="36"/>
      <c r="L763" s="45"/>
      <c r="M763" s="36" t="s">
        <v>521</v>
      </c>
      <c r="N763" s="40" t="n">
        <v>2000</v>
      </c>
      <c r="O763" s="35"/>
      <c r="P763" s="35" t="s">
        <v>265</v>
      </c>
      <c r="Q763" s="35" t="s">
        <v>67</v>
      </c>
      <c r="R763" s="35" t="s">
        <v>68</v>
      </c>
      <c r="S763" s="42" t="n">
        <v>2</v>
      </c>
      <c r="T763" s="35" t="s">
        <v>98</v>
      </c>
      <c r="U763" s="35" t="s">
        <v>204</v>
      </c>
      <c r="V763" s="36" t="s">
        <v>205</v>
      </c>
      <c r="W763" s="36" t="s">
        <v>524</v>
      </c>
      <c r="X763" s="44" t="s">
        <v>341</v>
      </c>
      <c r="Y763" s="41" t="s">
        <v>2302</v>
      </c>
      <c r="Z763" s="47" t="n">
        <v>43424</v>
      </c>
      <c r="AA763" s="35" t="s">
        <v>526</v>
      </c>
    </row>
    <row r="764" customFormat="false" ht="49.5" hidden="false" customHeight="true" outlineLevel="0" collapsed="false">
      <c r="A764" s="34" t="n">
        <v>763</v>
      </c>
      <c r="B764" s="37" t="s">
        <v>352</v>
      </c>
      <c r="C764" s="45" t="s">
        <v>1452</v>
      </c>
      <c r="D764" s="43" t="s">
        <v>1453</v>
      </c>
      <c r="E764" s="35" t="s">
        <v>268</v>
      </c>
      <c r="F764" s="39" t="s">
        <v>2298</v>
      </c>
      <c r="G764" s="43" t="s">
        <v>2299</v>
      </c>
      <c r="H764" s="44" t="s">
        <v>2300</v>
      </c>
      <c r="I764" s="45" t="s">
        <v>2301</v>
      </c>
      <c r="J764" s="36"/>
      <c r="K764" s="36"/>
      <c r="L764" s="45"/>
      <c r="M764" s="36" t="s">
        <v>521</v>
      </c>
      <c r="N764" s="40" t="n">
        <v>2000</v>
      </c>
      <c r="O764" s="35"/>
      <c r="P764" s="35" t="s">
        <v>265</v>
      </c>
      <c r="Q764" s="35" t="s">
        <v>67</v>
      </c>
      <c r="R764" s="35" t="s">
        <v>68</v>
      </c>
      <c r="S764" s="42" t="n">
        <v>2</v>
      </c>
      <c r="T764" s="35" t="s">
        <v>98</v>
      </c>
      <c r="U764" s="35" t="s">
        <v>204</v>
      </c>
      <c r="V764" s="36" t="s">
        <v>205</v>
      </c>
      <c r="W764" s="36" t="s">
        <v>826</v>
      </c>
      <c r="X764" s="44" t="s">
        <v>341</v>
      </c>
      <c r="Y764" s="41" t="s">
        <v>2303</v>
      </c>
      <c r="Z764" s="47" t="n">
        <v>43948</v>
      </c>
      <c r="AA764" s="35" t="s">
        <v>526</v>
      </c>
    </row>
    <row r="765" customFormat="false" ht="49.5" hidden="false" customHeight="true" outlineLevel="0" collapsed="false">
      <c r="A765" s="34" t="n">
        <v>764</v>
      </c>
      <c r="B765" s="37" t="s">
        <v>352</v>
      </c>
      <c r="C765" s="45" t="s">
        <v>1452</v>
      </c>
      <c r="D765" s="43" t="s">
        <v>1453</v>
      </c>
      <c r="E765" s="35" t="s">
        <v>268</v>
      </c>
      <c r="F765" s="39" t="s">
        <v>2298</v>
      </c>
      <c r="G765" s="43" t="s">
        <v>2299</v>
      </c>
      <c r="H765" s="44" t="s">
        <v>2300</v>
      </c>
      <c r="I765" s="45" t="s">
        <v>2301</v>
      </c>
      <c r="J765" s="36"/>
      <c r="K765" s="36"/>
      <c r="L765" s="45"/>
      <c r="M765" s="36" t="s">
        <v>521</v>
      </c>
      <c r="N765" s="40" t="n">
        <v>2000</v>
      </c>
      <c r="O765" s="35"/>
      <c r="P765" s="35" t="s">
        <v>265</v>
      </c>
      <c r="Q765" s="35" t="s">
        <v>67</v>
      </c>
      <c r="R765" s="35" t="s">
        <v>68</v>
      </c>
      <c r="S765" s="42" t="n">
        <v>2</v>
      </c>
      <c r="T765" s="35" t="s">
        <v>98</v>
      </c>
      <c r="U765" s="35" t="s">
        <v>204</v>
      </c>
      <c r="V765" s="36" t="s">
        <v>205</v>
      </c>
      <c r="W765" s="36" t="s">
        <v>826</v>
      </c>
      <c r="X765" s="43" t="s">
        <v>1541</v>
      </c>
      <c r="Y765" s="41" t="s">
        <v>2304</v>
      </c>
      <c r="Z765" s="47" t="n">
        <v>43948</v>
      </c>
      <c r="AA765" s="35" t="s">
        <v>526</v>
      </c>
    </row>
    <row r="766" customFormat="false" ht="49.5" hidden="false" customHeight="true" outlineLevel="0" collapsed="false">
      <c r="A766" s="34" t="n">
        <v>765</v>
      </c>
      <c r="B766" s="37" t="s">
        <v>352</v>
      </c>
      <c r="C766" s="45" t="s">
        <v>1452</v>
      </c>
      <c r="D766" s="43" t="s">
        <v>1453</v>
      </c>
      <c r="E766" s="35" t="s">
        <v>268</v>
      </c>
      <c r="F766" s="39" t="s">
        <v>2305</v>
      </c>
      <c r="G766" s="43" t="s">
        <v>1455</v>
      </c>
      <c r="H766" s="44" t="s">
        <v>1456</v>
      </c>
      <c r="I766" s="45" t="s">
        <v>679</v>
      </c>
      <c r="J766" s="36"/>
      <c r="K766" s="36"/>
      <c r="L766" s="45"/>
      <c r="M766" s="36" t="s">
        <v>521</v>
      </c>
      <c r="N766" s="40" t="n">
        <v>2000</v>
      </c>
      <c r="O766" s="35"/>
      <c r="P766" s="35" t="s">
        <v>265</v>
      </c>
      <c r="Q766" s="35" t="s">
        <v>67</v>
      </c>
      <c r="R766" s="35" t="s">
        <v>68</v>
      </c>
      <c r="S766" s="42" t="n">
        <v>3</v>
      </c>
      <c r="T766" s="35" t="s">
        <v>64</v>
      </c>
      <c r="U766" s="35" t="s">
        <v>204</v>
      </c>
      <c r="V766" s="36" t="s">
        <v>226</v>
      </c>
      <c r="W766" s="36" t="s">
        <v>524</v>
      </c>
      <c r="X766" s="44" t="s">
        <v>210</v>
      </c>
      <c r="Y766" s="41" t="s">
        <v>2306</v>
      </c>
      <c r="Z766" s="47" t="n">
        <v>38440</v>
      </c>
      <c r="AA766" s="35" t="s">
        <v>526</v>
      </c>
    </row>
    <row r="767" customFormat="false" ht="49.5" hidden="false" customHeight="true" outlineLevel="0" collapsed="false">
      <c r="A767" s="34" t="n">
        <v>766</v>
      </c>
      <c r="B767" s="37" t="s">
        <v>352</v>
      </c>
      <c r="C767" s="45" t="s">
        <v>2307</v>
      </c>
      <c r="D767" s="43" t="s">
        <v>2308</v>
      </c>
      <c r="E767" s="35" t="s">
        <v>268</v>
      </c>
      <c r="F767" s="39" t="s">
        <v>2309</v>
      </c>
      <c r="G767" s="43" t="s">
        <v>2310</v>
      </c>
      <c r="H767" s="44" t="s">
        <v>2311</v>
      </c>
      <c r="I767" s="45" t="s">
        <v>964</v>
      </c>
      <c r="J767" s="36"/>
      <c r="K767" s="36"/>
      <c r="L767" s="45"/>
      <c r="M767" s="36" t="s">
        <v>521</v>
      </c>
      <c r="N767" s="40" t="n">
        <v>2000</v>
      </c>
      <c r="O767" s="35"/>
      <c r="P767" s="35" t="s">
        <v>265</v>
      </c>
      <c r="Q767" s="35" t="s">
        <v>67</v>
      </c>
      <c r="R767" s="35" t="s">
        <v>68</v>
      </c>
      <c r="S767" s="42" t="n">
        <v>2</v>
      </c>
      <c r="T767" s="35" t="s">
        <v>64</v>
      </c>
      <c r="U767" s="35" t="s">
        <v>204</v>
      </c>
      <c r="V767" s="36" t="s">
        <v>205</v>
      </c>
      <c r="W767" s="36" t="s">
        <v>524</v>
      </c>
      <c r="X767" s="43" t="s">
        <v>300</v>
      </c>
      <c r="Y767" s="41" t="s">
        <v>2312</v>
      </c>
      <c r="Z767" s="47" t="n">
        <v>39722</v>
      </c>
      <c r="AA767" s="35" t="s">
        <v>526</v>
      </c>
    </row>
    <row r="768" customFormat="false" ht="49.5" hidden="false" customHeight="true" outlineLevel="0" collapsed="false">
      <c r="A768" s="34" t="n">
        <v>767</v>
      </c>
      <c r="B768" s="37" t="s">
        <v>352</v>
      </c>
      <c r="C768" s="45" t="s">
        <v>2307</v>
      </c>
      <c r="D768" s="43" t="s">
        <v>2308</v>
      </c>
      <c r="E768" s="35" t="s">
        <v>268</v>
      </c>
      <c r="F768" s="39" t="s">
        <v>2313</v>
      </c>
      <c r="G768" s="43" t="s">
        <v>2314</v>
      </c>
      <c r="H768" s="44" t="s">
        <v>2315</v>
      </c>
      <c r="I768" s="45" t="s">
        <v>576</v>
      </c>
      <c r="J768" s="36"/>
      <c r="K768" s="36"/>
      <c r="L768" s="45"/>
      <c r="M768" s="36" t="s">
        <v>521</v>
      </c>
      <c r="N768" s="40" t="n">
        <v>1000</v>
      </c>
      <c r="O768" s="35"/>
      <c r="P768" s="35" t="s">
        <v>265</v>
      </c>
      <c r="Q768" s="35" t="s">
        <v>67</v>
      </c>
      <c r="R768" s="35" t="s">
        <v>144</v>
      </c>
      <c r="S768" s="42" t="n">
        <v>2</v>
      </c>
      <c r="T768" s="35" t="s">
        <v>610</v>
      </c>
      <c r="U768" s="35" t="s">
        <v>204</v>
      </c>
      <c r="V768" s="36" t="s">
        <v>226</v>
      </c>
      <c r="W768" s="36" t="s">
        <v>524</v>
      </c>
      <c r="X768" s="43" t="s">
        <v>932</v>
      </c>
      <c r="Y768" s="41" t="s">
        <v>2316</v>
      </c>
      <c r="Z768" s="47" t="n">
        <v>42395</v>
      </c>
      <c r="AA768" s="35" t="s">
        <v>526</v>
      </c>
    </row>
    <row r="769" customFormat="false" ht="64.5" hidden="false" customHeight="true" outlineLevel="0" collapsed="false">
      <c r="A769" s="34" t="n">
        <v>768</v>
      </c>
      <c r="B769" s="37" t="s">
        <v>352</v>
      </c>
      <c r="C769" s="45" t="s">
        <v>2317</v>
      </c>
      <c r="D769" s="43" t="s">
        <v>2318</v>
      </c>
      <c r="E769" s="35" t="s">
        <v>268</v>
      </c>
      <c r="F769" s="39" t="s">
        <v>2319</v>
      </c>
      <c r="G769" s="43" t="s">
        <v>2320</v>
      </c>
      <c r="H769" s="44" t="s">
        <v>2321</v>
      </c>
      <c r="I769" s="45" t="s">
        <v>2322</v>
      </c>
      <c r="J769" s="36"/>
      <c r="K769" s="36"/>
      <c r="L769" s="45"/>
      <c r="M769" s="36" t="s">
        <v>521</v>
      </c>
      <c r="N769" s="40" t="n">
        <v>2000</v>
      </c>
      <c r="O769" s="35"/>
      <c r="P769" s="35" t="s">
        <v>265</v>
      </c>
      <c r="Q769" s="35" t="s">
        <v>67</v>
      </c>
      <c r="R769" s="35" t="s">
        <v>144</v>
      </c>
      <c r="S769" s="42" t="n">
        <v>3</v>
      </c>
      <c r="T769" s="35" t="s">
        <v>64</v>
      </c>
      <c r="U769" s="35" t="s">
        <v>204</v>
      </c>
      <c r="V769" s="36" t="s">
        <v>205</v>
      </c>
      <c r="W769" s="36" t="s">
        <v>524</v>
      </c>
      <c r="X769" s="43" t="s">
        <v>932</v>
      </c>
      <c r="Y769" s="41" t="s">
        <v>2323</v>
      </c>
      <c r="Z769" s="47" t="n">
        <v>41841</v>
      </c>
      <c r="AA769" s="35" t="s">
        <v>526</v>
      </c>
    </row>
    <row r="770" customFormat="false" ht="64.5" hidden="false" customHeight="true" outlineLevel="0" collapsed="false">
      <c r="A770" s="34" t="n">
        <v>769</v>
      </c>
      <c r="B770" s="37" t="s">
        <v>352</v>
      </c>
      <c r="C770" s="45" t="s">
        <v>2324</v>
      </c>
      <c r="D770" s="43" t="s">
        <v>2325</v>
      </c>
      <c r="E770" s="35" t="s">
        <v>268</v>
      </c>
      <c r="F770" s="39" t="s">
        <v>2326</v>
      </c>
      <c r="G770" s="43" t="s">
        <v>2327</v>
      </c>
      <c r="H770" s="44" t="s">
        <v>2328</v>
      </c>
      <c r="I770" s="45" t="s">
        <v>1415</v>
      </c>
      <c r="J770" s="36"/>
      <c r="K770" s="36"/>
      <c r="L770" s="45"/>
      <c r="M770" s="36" t="s">
        <v>521</v>
      </c>
      <c r="N770" s="40" t="n">
        <v>2000</v>
      </c>
      <c r="O770" s="35"/>
      <c r="P770" s="35" t="s">
        <v>265</v>
      </c>
      <c r="Q770" s="35" t="s">
        <v>67</v>
      </c>
      <c r="R770" s="35" t="s">
        <v>144</v>
      </c>
      <c r="S770" s="42" t="n">
        <v>3</v>
      </c>
      <c r="T770" s="35" t="s">
        <v>64</v>
      </c>
      <c r="U770" s="35" t="s">
        <v>204</v>
      </c>
      <c r="V770" s="36" t="s">
        <v>205</v>
      </c>
      <c r="W770" s="36" t="s">
        <v>524</v>
      </c>
      <c r="X770" s="44" t="s">
        <v>267</v>
      </c>
      <c r="Y770" s="41" t="s">
        <v>2329</v>
      </c>
      <c r="Z770" s="47" t="n">
        <v>40466</v>
      </c>
      <c r="AA770" s="35" t="s">
        <v>526</v>
      </c>
    </row>
    <row r="771" customFormat="false" ht="79.5" hidden="false" customHeight="true" outlineLevel="0" collapsed="false">
      <c r="A771" s="34" t="n">
        <v>770</v>
      </c>
      <c r="B771" s="37" t="s">
        <v>352</v>
      </c>
      <c r="C771" s="45" t="s">
        <v>2330</v>
      </c>
      <c r="D771" s="43" t="s">
        <v>2331</v>
      </c>
      <c r="E771" s="35" t="s">
        <v>268</v>
      </c>
      <c r="F771" s="39" t="s">
        <v>2332</v>
      </c>
      <c r="G771" s="43" t="s">
        <v>2333</v>
      </c>
      <c r="H771" s="44" t="s">
        <v>2334</v>
      </c>
      <c r="I771" s="45" t="s">
        <v>2335</v>
      </c>
      <c r="J771" s="36"/>
      <c r="K771" s="36"/>
      <c r="L771" s="45"/>
      <c r="M771" s="36" t="s">
        <v>521</v>
      </c>
      <c r="N771" s="40" t="n">
        <v>2000</v>
      </c>
      <c r="O771" s="35"/>
      <c r="P771" s="35" t="s">
        <v>265</v>
      </c>
      <c r="Q771" s="35" t="s">
        <v>67</v>
      </c>
      <c r="R771" s="35" t="s">
        <v>68</v>
      </c>
      <c r="S771" s="42" t="n">
        <v>2</v>
      </c>
      <c r="T771" s="35" t="s">
        <v>64</v>
      </c>
      <c r="U771" s="35" t="s">
        <v>204</v>
      </c>
      <c r="V771" s="36" t="s">
        <v>205</v>
      </c>
      <c r="W771" s="36" t="s">
        <v>524</v>
      </c>
      <c r="X771" s="43" t="s">
        <v>272</v>
      </c>
      <c r="Y771" s="41" t="s">
        <v>2336</v>
      </c>
      <c r="Z771" s="47" t="n">
        <v>45532</v>
      </c>
      <c r="AA771" s="35" t="s">
        <v>526</v>
      </c>
    </row>
    <row r="772" customFormat="false" ht="79.5" hidden="false" customHeight="true" outlineLevel="0" collapsed="false">
      <c r="A772" s="34" t="n">
        <v>771</v>
      </c>
      <c r="B772" s="37" t="s">
        <v>352</v>
      </c>
      <c r="C772" s="45" t="s">
        <v>286</v>
      </c>
      <c r="D772" s="43" t="s">
        <v>287</v>
      </c>
      <c r="E772" s="35" t="s">
        <v>211</v>
      </c>
      <c r="F772" s="39" t="s">
        <v>282</v>
      </c>
      <c r="G772" s="43" t="s">
        <v>1060</v>
      </c>
      <c r="H772" s="44" t="s">
        <v>285</v>
      </c>
      <c r="I772" s="45" t="s">
        <v>1061</v>
      </c>
      <c r="J772" s="36" t="s">
        <v>80</v>
      </c>
      <c r="K772" s="36"/>
      <c r="L772" s="45" t="s">
        <v>527</v>
      </c>
      <c r="M772" s="36" t="s">
        <v>521</v>
      </c>
      <c r="N772" s="40" t="n">
        <v>2000</v>
      </c>
      <c r="O772" s="35"/>
      <c r="P772" s="35" t="s">
        <v>265</v>
      </c>
      <c r="Q772" s="35" t="s">
        <v>67</v>
      </c>
      <c r="R772" s="35" t="s">
        <v>144</v>
      </c>
      <c r="S772" s="42" t="n">
        <v>2</v>
      </c>
      <c r="T772" s="35" t="s">
        <v>64</v>
      </c>
      <c r="U772" s="35" t="s">
        <v>204</v>
      </c>
      <c r="V772" s="36" t="s">
        <v>284</v>
      </c>
      <c r="W772" s="36" t="s">
        <v>524</v>
      </c>
      <c r="X772" s="43" t="s">
        <v>272</v>
      </c>
      <c r="Y772" s="41" t="s">
        <v>289</v>
      </c>
      <c r="Z772" s="47" t="n">
        <v>45238</v>
      </c>
      <c r="AA772" s="35" t="s">
        <v>578</v>
      </c>
    </row>
    <row r="773" customFormat="false" ht="49.5" hidden="false" customHeight="true" outlineLevel="0" collapsed="false">
      <c r="A773" s="34" t="n">
        <v>772</v>
      </c>
      <c r="B773" s="37" t="s">
        <v>352</v>
      </c>
      <c r="C773" s="45" t="s">
        <v>367</v>
      </c>
      <c r="D773" s="43" t="s">
        <v>368</v>
      </c>
      <c r="E773" s="35" t="s">
        <v>268</v>
      </c>
      <c r="F773" s="39" t="s">
        <v>1062</v>
      </c>
      <c r="G773" s="43" t="s">
        <v>1063</v>
      </c>
      <c r="H773" s="44" t="s">
        <v>1064</v>
      </c>
      <c r="I773" s="45" t="s">
        <v>1027</v>
      </c>
      <c r="J773" s="36"/>
      <c r="K773" s="36"/>
      <c r="L773" s="45"/>
      <c r="M773" s="36" t="s">
        <v>521</v>
      </c>
      <c r="N773" s="40" t="n">
        <v>1000</v>
      </c>
      <c r="O773" s="35"/>
      <c r="P773" s="35" t="s">
        <v>265</v>
      </c>
      <c r="Q773" s="35" t="s">
        <v>67</v>
      </c>
      <c r="R773" s="35" t="s">
        <v>144</v>
      </c>
      <c r="S773" s="42" t="n">
        <v>2</v>
      </c>
      <c r="T773" s="35" t="s">
        <v>665</v>
      </c>
      <c r="U773" s="35" t="s">
        <v>204</v>
      </c>
      <c r="V773" s="36" t="s">
        <v>226</v>
      </c>
      <c r="W773" s="36" t="s">
        <v>524</v>
      </c>
      <c r="X773" s="44" t="s">
        <v>230</v>
      </c>
      <c r="Y773" s="41" t="s">
        <v>1065</v>
      </c>
      <c r="Z773" s="47" t="n">
        <v>43235</v>
      </c>
      <c r="AA773" s="35" t="s">
        <v>526</v>
      </c>
    </row>
    <row r="774" customFormat="false" ht="49.5" hidden="false" customHeight="true" outlineLevel="0" collapsed="false">
      <c r="A774" s="34" t="n">
        <v>773</v>
      </c>
      <c r="B774" s="37" t="s">
        <v>352</v>
      </c>
      <c r="C774" s="45" t="s">
        <v>367</v>
      </c>
      <c r="D774" s="43" t="s">
        <v>368</v>
      </c>
      <c r="E774" s="35" t="s">
        <v>211</v>
      </c>
      <c r="F774" s="39" t="s">
        <v>364</v>
      </c>
      <c r="G774" s="43" t="s">
        <v>1066</v>
      </c>
      <c r="H774" s="44" t="s">
        <v>366</v>
      </c>
      <c r="I774" s="45" t="s">
        <v>1067</v>
      </c>
      <c r="J774" s="36" t="s">
        <v>80</v>
      </c>
      <c r="K774" s="36"/>
      <c r="L774" s="45" t="s">
        <v>667</v>
      </c>
      <c r="M774" s="36" t="s">
        <v>521</v>
      </c>
      <c r="N774" s="40" t="n">
        <v>5000</v>
      </c>
      <c r="O774" s="35"/>
      <c r="P774" s="35" t="s">
        <v>265</v>
      </c>
      <c r="Q774" s="35" t="s">
        <v>67</v>
      </c>
      <c r="R774" s="35" t="s">
        <v>68</v>
      </c>
      <c r="S774" s="42" t="n">
        <v>2</v>
      </c>
      <c r="T774" s="35" t="s">
        <v>64</v>
      </c>
      <c r="U774" s="35" t="s">
        <v>204</v>
      </c>
      <c r="V774" s="36" t="s">
        <v>205</v>
      </c>
      <c r="W774" s="36" t="s">
        <v>524</v>
      </c>
      <c r="X774" s="43" t="s">
        <v>369</v>
      </c>
      <c r="Y774" s="41" t="s">
        <v>370</v>
      </c>
      <c r="Z774" s="47" t="n">
        <v>45712</v>
      </c>
      <c r="AA774" s="35" t="s">
        <v>578</v>
      </c>
    </row>
    <row r="775" customFormat="false" ht="49.5" hidden="false" customHeight="true" outlineLevel="0" collapsed="false">
      <c r="A775" s="34" t="n">
        <v>774</v>
      </c>
      <c r="B775" s="37" t="s">
        <v>352</v>
      </c>
      <c r="C775" s="45" t="s">
        <v>367</v>
      </c>
      <c r="D775" s="43" t="s">
        <v>368</v>
      </c>
      <c r="E775" s="35" t="s">
        <v>211</v>
      </c>
      <c r="F775" s="39" t="s">
        <v>364</v>
      </c>
      <c r="G775" s="43" t="s">
        <v>1066</v>
      </c>
      <c r="H775" s="44" t="s">
        <v>366</v>
      </c>
      <c r="I775" s="45" t="s">
        <v>1067</v>
      </c>
      <c r="J775" s="36" t="s">
        <v>80</v>
      </c>
      <c r="K775" s="36"/>
      <c r="L775" s="45" t="s">
        <v>667</v>
      </c>
      <c r="M775" s="36" t="s">
        <v>521</v>
      </c>
      <c r="N775" s="40" t="n">
        <v>5000</v>
      </c>
      <c r="O775" s="35"/>
      <c r="P775" s="35" t="s">
        <v>265</v>
      </c>
      <c r="Q775" s="35" t="s">
        <v>67</v>
      </c>
      <c r="R775" s="35" t="s">
        <v>68</v>
      </c>
      <c r="S775" s="42" t="n">
        <v>2</v>
      </c>
      <c r="T775" s="35" t="s">
        <v>64</v>
      </c>
      <c r="U775" s="35" t="s">
        <v>204</v>
      </c>
      <c r="V775" s="36" t="s">
        <v>205</v>
      </c>
      <c r="W775" s="36" t="s">
        <v>826</v>
      </c>
      <c r="X775" s="43" t="s">
        <v>369</v>
      </c>
      <c r="Y775" s="41" t="s">
        <v>1068</v>
      </c>
      <c r="Z775" s="47" t="n">
        <v>44711</v>
      </c>
      <c r="AA775" s="35" t="s">
        <v>526</v>
      </c>
    </row>
    <row r="776" customFormat="false" ht="49.5" hidden="false" customHeight="true" outlineLevel="0" collapsed="false">
      <c r="A776" s="34" t="n">
        <v>775</v>
      </c>
      <c r="B776" s="37" t="s">
        <v>352</v>
      </c>
      <c r="C776" s="45" t="s">
        <v>367</v>
      </c>
      <c r="D776" s="43" t="s">
        <v>368</v>
      </c>
      <c r="E776" s="35" t="s">
        <v>211</v>
      </c>
      <c r="F776" s="39" t="s">
        <v>1069</v>
      </c>
      <c r="G776" s="43" t="s">
        <v>1070</v>
      </c>
      <c r="H776" s="44" t="s">
        <v>1071</v>
      </c>
      <c r="I776" s="45" t="s">
        <v>584</v>
      </c>
      <c r="J776" s="36"/>
      <c r="K776" s="36"/>
      <c r="L776" s="45"/>
      <c r="M776" s="36" t="s">
        <v>521</v>
      </c>
      <c r="N776" s="40" t="n">
        <v>2000</v>
      </c>
      <c r="O776" s="35"/>
      <c r="P776" s="35" t="s">
        <v>265</v>
      </c>
      <c r="Q776" s="35" t="s">
        <v>67</v>
      </c>
      <c r="R776" s="35" t="s">
        <v>68</v>
      </c>
      <c r="S776" s="42" t="n">
        <v>3</v>
      </c>
      <c r="T776" s="35" t="s">
        <v>246</v>
      </c>
      <c r="U776" s="35" t="s">
        <v>204</v>
      </c>
      <c r="V776" s="36" t="s">
        <v>226</v>
      </c>
      <c r="W776" s="36" t="s">
        <v>524</v>
      </c>
      <c r="X776" s="43" t="s">
        <v>300</v>
      </c>
      <c r="Y776" s="41" t="s">
        <v>1072</v>
      </c>
      <c r="Z776" s="47" t="n">
        <v>43934</v>
      </c>
      <c r="AA776" s="35" t="s">
        <v>526</v>
      </c>
    </row>
    <row r="777" customFormat="false" ht="49.5" hidden="false" customHeight="true" outlineLevel="0" collapsed="false">
      <c r="A777" s="34" t="n">
        <v>776</v>
      </c>
      <c r="B777" s="37" t="s">
        <v>352</v>
      </c>
      <c r="C777" s="45" t="s">
        <v>367</v>
      </c>
      <c r="D777" s="43" t="s">
        <v>368</v>
      </c>
      <c r="E777" s="35" t="s">
        <v>268</v>
      </c>
      <c r="F777" s="39" t="s">
        <v>1073</v>
      </c>
      <c r="G777" s="43" t="s">
        <v>1074</v>
      </c>
      <c r="H777" s="44" t="s">
        <v>1064</v>
      </c>
      <c r="I777" s="45" t="s">
        <v>1031</v>
      </c>
      <c r="J777" s="36"/>
      <c r="K777" s="36"/>
      <c r="L777" s="45"/>
      <c r="M777" s="36" t="s">
        <v>521</v>
      </c>
      <c r="N777" s="40" t="n">
        <v>2000</v>
      </c>
      <c r="O777" s="35"/>
      <c r="P777" s="35" t="s">
        <v>265</v>
      </c>
      <c r="Q777" s="35" t="s">
        <v>67</v>
      </c>
      <c r="R777" s="35" t="s">
        <v>144</v>
      </c>
      <c r="S777" s="42" t="n">
        <v>2</v>
      </c>
      <c r="T777" s="35" t="s">
        <v>246</v>
      </c>
      <c r="U777" s="35" t="s">
        <v>204</v>
      </c>
      <c r="V777" s="36" t="s">
        <v>226</v>
      </c>
      <c r="W777" s="36" t="s">
        <v>524</v>
      </c>
      <c r="X777" s="44" t="s">
        <v>267</v>
      </c>
      <c r="Y777" s="41" t="s">
        <v>1075</v>
      </c>
      <c r="Z777" s="47" t="n">
        <v>43235</v>
      </c>
      <c r="AA777" s="35" t="s">
        <v>526</v>
      </c>
    </row>
    <row r="778" customFormat="false" ht="79.5" hidden="false" customHeight="true" outlineLevel="0" collapsed="false">
      <c r="A778" s="34" t="n">
        <v>777</v>
      </c>
      <c r="B778" s="37" t="s">
        <v>352</v>
      </c>
      <c r="C778" s="45" t="s">
        <v>1083</v>
      </c>
      <c r="D778" s="43" t="s">
        <v>1084</v>
      </c>
      <c r="E778" s="35" t="s">
        <v>211</v>
      </c>
      <c r="F778" s="39" t="s">
        <v>1085</v>
      </c>
      <c r="G778" s="43" t="s">
        <v>1086</v>
      </c>
      <c r="H778" s="44" t="s">
        <v>1087</v>
      </c>
      <c r="I778" s="45" t="s">
        <v>1088</v>
      </c>
      <c r="J778" s="36"/>
      <c r="K778" s="36"/>
      <c r="L778" s="45"/>
      <c r="M778" s="36" t="s">
        <v>521</v>
      </c>
      <c r="N778" s="40" t="n">
        <v>2000</v>
      </c>
      <c r="O778" s="35"/>
      <c r="P778" s="35" t="s">
        <v>265</v>
      </c>
      <c r="Q778" s="35" t="s">
        <v>67</v>
      </c>
      <c r="R778" s="35" t="s">
        <v>144</v>
      </c>
      <c r="S778" s="42" t="n">
        <v>2</v>
      </c>
      <c r="T778" s="35" t="s">
        <v>246</v>
      </c>
      <c r="U778" s="35" t="s">
        <v>204</v>
      </c>
      <c r="V778" s="36" t="s">
        <v>226</v>
      </c>
      <c r="W778" s="36" t="s">
        <v>524</v>
      </c>
      <c r="X778" s="44" t="s">
        <v>210</v>
      </c>
      <c r="Y778" s="41" t="s">
        <v>1089</v>
      </c>
      <c r="Z778" s="47" t="n">
        <v>44252</v>
      </c>
      <c r="AA778" s="35" t="s">
        <v>526</v>
      </c>
    </row>
    <row r="779" customFormat="false" ht="34.5" hidden="false" customHeight="true" outlineLevel="0" collapsed="false">
      <c r="A779" s="34" t="n">
        <v>778</v>
      </c>
      <c r="B779" s="37" t="s">
        <v>352</v>
      </c>
      <c r="C779" s="45" t="s">
        <v>2337</v>
      </c>
      <c r="D779" s="43" t="s">
        <v>2338</v>
      </c>
      <c r="E779" s="35" t="s">
        <v>211</v>
      </c>
      <c r="F779" s="39" t="s">
        <v>2339</v>
      </c>
      <c r="G779" s="43" t="s">
        <v>2340</v>
      </c>
      <c r="H779" s="44" t="s">
        <v>2341</v>
      </c>
      <c r="I779" s="45" t="s">
        <v>679</v>
      </c>
      <c r="J779" s="36"/>
      <c r="K779" s="36"/>
      <c r="L779" s="45"/>
      <c r="M779" s="36" t="s">
        <v>521</v>
      </c>
      <c r="N779" s="40" t="n">
        <v>2000</v>
      </c>
      <c r="O779" s="35"/>
      <c r="P779" s="35" t="s">
        <v>265</v>
      </c>
      <c r="Q779" s="35" t="s">
        <v>67</v>
      </c>
      <c r="R779" s="35" t="s">
        <v>68</v>
      </c>
      <c r="S779" s="42" t="n">
        <v>2</v>
      </c>
      <c r="T779" s="35" t="s">
        <v>610</v>
      </c>
      <c r="U779" s="35" t="s">
        <v>204</v>
      </c>
      <c r="V779" s="36" t="s">
        <v>205</v>
      </c>
      <c r="W779" s="36" t="s">
        <v>524</v>
      </c>
      <c r="X779" s="44" t="s">
        <v>553</v>
      </c>
      <c r="Y779" s="41" t="s">
        <v>2342</v>
      </c>
      <c r="Z779" s="47" t="n">
        <v>44067</v>
      </c>
      <c r="AA779" s="35" t="s">
        <v>526</v>
      </c>
    </row>
    <row r="780" customFormat="false" ht="34.5" hidden="false" customHeight="true" outlineLevel="0" collapsed="false">
      <c r="A780" s="34" t="n">
        <v>779</v>
      </c>
      <c r="B780" s="37" t="s">
        <v>352</v>
      </c>
      <c r="C780" s="45" t="s">
        <v>2337</v>
      </c>
      <c r="D780" s="43" t="s">
        <v>2338</v>
      </c>
      <c r="E780" s="35" t="s">
        <v>211</v>
      </c>
      <c r="F780" s="39" t="s">
        <v>2343</v>
      </c>
      <c r="G780" s="43" t="s">
        <v>2344</v>
      </c>
      <c r="H780" s="44" t="s">
        <v>2341</v>
      </c>
      <c r="I780" s="45" t="s">
        <v>679</v>
      </c>
      <c r="J780" s="36" t="s">
        <v>80</v>
      </c>
      <c r="K780" s="36"/>
      <c r="L780" s="45"/>
      <c r="M780" s="36" t="s">
        <v>521</v>
      </c>
      <c r="N780" s="40" t="n">
        <v>2000</v>
      </c>
      <c r="O780" s="35"/>
      <c r="P780" s="35" t="s">
        <v>265</v>
      </c>
      <c r="Q780" s="35" t="s">
        <v>67</v>
      </c>
      <c r="R780" s="35" t="s">
        <v>68</v>
      </c>
      <c r="S780" s="42" t="n">
        <v>2</v>
      </c>
      <c r="T780" s="35" t="s">
        <v>64</v>
      </c>
      <c r="U780" s="35" t="s">
        <v>204</v>
      </c>
      <c r="V780" s="36" t="s">
        <v>205</v>
      </c>
      <c r="W780" s="36" t="s">
        <v>524</v>
      </c>
      <c r="X780" s="44" t="s">
        <v>267</v>
      </c>
      <c r="Y780" s="41" t="s">
        <v>2345</v>
      </c>
      <c r="Z780" s="47" t="n">
        <v>44253</v>
      </c>
      <c r="AA780" s="35" t="s">
        <v>578</v>
      </c>
    </row>
    <row r="781" customFormat="false" ht="49.5" hidden="false" customHeight="true" outlineLevel="0" collapsed="false">
      <c r="A781" s="34" t="n">
        <v>780</v>
      </c>
      <c r="B781" s="37" t="s">
        <v>352</v>
      </c>
      <c r="C781" s="45" t="s">
        <v>2346</v>
      </c>
      <c r="D781" s="43" t="s">
        <v>2347</v>
      </c>
      <c r="E781" s="35" t="s">
        <v>211</v>
      </c>
      <c r="F781" s="39" t="s">
        <v>2348</v>
      </c>
      <c r="G781" s="43" t="s">
        <v>2349</v>
      </c>
      <c r="H781" s="44" t="s">
        <v>2350</v>
      </c>
      <c r="I781" s="45" t="s">
        <v>2351</v>
      </c>
      <c r="J781" s="36"/>
      <c r="K781" s="36"/>
      <c r="L781" s="45"/>
      <c r="M781" s="36" t="s">
        <v>521</v>
      </c>
      <c r="N781" s="40" t="n">
        <v>2000</v>
      </c>
      <c r="O781" s="35"/>
      <c r="P781" s="35" t="s">
        <v>265</v>
      </c>
      <c r="Q781" s="35" t="s">
        <v>67</v>
      </c>
      <c r="R781" s="35" t="s">
        <v>68</v>
      </c>
      <c r="S781" s="42" t="n">
        <v>2</v>
      </c>
      <c r="T781" s="35" t="s">
        <v>64</v>
      </c>
      <c r="U781" s="35" t="s">
        <v>204</v>
      </c>
      <c r="V781" s="36" t="s">
        <v>205</v>
      </c>
      <c r="W781" s="36" t="s">
        <v>524</v>
      </c>
      <c r="X781" s="44" t="s">
        <v>230</v>
      </c>
      <c r="Y781" s="41" t="s">
        <v>2352</v>
      </c>
      <c r="Z781" s="47" t="n">
        <v>44211</v>
      </c>
      <c r="AA781" s="35" t="s">
        <v>526</v>
      </c>
    </row>
    <row r="782" customFormat="false" ht="64.5" hidden="false" customHeight="true" outlineLevel="0" collapsed="false">
      <c r="A782" s="34" t="n">
        <v>781</v>
      </c>
      <c r="B782" s="37" t="s">
        <v>352</v>
      </c>
      <c r="C782" s="45" t="s">
        <v>2353</v>
      </c>
      <c r="D782" s="43" t="s">
        <v>2354</v>
      </c>
      <c r="E782" s="35" t="s">
        <v>211</v>
      </c>
      <c r="F782" s="39" t="s">
        <v>2355</v>
      </c>
      <c r="G782" s="43" t="s">
        <v>2356</v>
      </c>
      <c r="H782" s="44" t="s">
        <v>2357</v>
      </c>
      <c r="I782" s="45" t="s">
        <v>2358</v>
      </c>
      <c r="J782" s="36"/>
      <c r="K782" s="36"/>
      <c r="L782" s="45"/>
      <c r="M782" s="36" t="s">
        <v>521</v>
      </c>
      <c r="N782" s="40" t="n">
        <v>2000</v>
      </c>
      <c r="O782" s="35"/>
      <c r="P782" s="35" t="s">
        <v>265</v>
      </c>
      <c r="Q782" s="35" t="s">
        <v>67</v>
      </c>
      <c r="R782" s="35" t="s">
        <v>68</v>
      </c>
      <c r="S782" s="42" t="n">
        <v>2</v>
      </c>
      <c r="T782" s="35" t="s">
        <v>64</v>
      </c>
      <c r="U782" s="35" t="s">
        <v>204</v>
      </c>
      <c r="V782" s="36" t="s">
        <v>284</v>
      </c>
      <c r="W782" s="36" t="s">
        <v>524</v>
      </c>
      <c r="X782" s="43" t="s">
        <v>300</v>
      </c>
      <c r="Y782" s="41" t="s">
        <v>2359</v>
      </c>
      <c r="Z782" s="47" t="n">
        <v>44194</v>
      </c>
      <c r="AA782" s="35" t="s">
        <v>526</v>
      </c>
    </row>
    <row r="783" customFormat="false" ht="64.5" hidden="false" customHeight="true" outlineLevel="0" collapsed="false">
      <c r="A783" s="34" t="n">
        <v>782</v>
      </c>
      <c r="B783" s="37" t="s">
        <v>352</v>
      </c>
      <c r="C783" s="45" t="s">
        <v>2360</v>
      </c>
      <c r="D783" s="43" t="s">
        <v>2361</v>
      </c>
      <c r="E783" s="35" t="s">
        <v>211</v>
      </c>
      <c r="F783" s="39" t="s">
        <v>2362</v>
      </c>
      <c r="G783" s="43" t="s">
        <v>2363</v>
      </c>
      <c r="H783" s="44" t="s">
        <v>2364</v>
      </c>
      <c r="I783" s="45" t="s">
        <v>2365</v>
      </c>
      <c r="J783" s="36"/>
      <c r="K783" s="36"/>
      <c r="L783" s="45"/>
      <c r="M783" s="36" t="s">
        <v>521</v>
      </c>
      <c r="N783" s="40" t="n">
        <v>2000</v>
      </c>
      <c r="O783" s="35"/>
      <c r="P783" s="35" t="s">
        <v>265</v>
      </c>
      <c r="Q783" s="35" t="s">
        <v>67</v>
      </c>
      <c r="R783" s="35" t="s">
        <v>68</v>
      </c>
      <c r="S783" s="42" t="n">
        <v>2</v>
      </c>
      <c r="T783" s="35" t="s">
        <v>64</v>
      </c>
      <c r="U783" s="35" t="s">
        <v>537</v>
      </c>
      <c r="V783" s="36" t="s">
        <v>226</v>
      </c>
      <c r="W783" s="36" t="s">
        <v>524</v>
      </c>
      <c r="X783" s="44" t="s">
        <v>210</v>
      </c>
      <c r="Y783" s="41" t="s">
        <v>2366</v>
      </c>
      <c r="Z783" s="47" t="n">
        <v>45883</v>
      </c>
      <c r="AA783" s="35" t="s">
        <v>526</v>
      </c>
    </row>
    <row r="784" customFormat="false" ht="34.5" hidden="false" customHeight="true" outlineLevel="0" collapsed="false">
      <c r="A784" s="34" t="n">
        <v>783</v>
      </c>
      <c r="B784" s="37" t="s">
        <v>352</v>
      </c>
      <c r="C784" s="45" t="s">
        <v>1092</v>
      </c>
      <c r="D784" s="43" t="s">
        <v>1093</v>
      </c>
      <c r="E784" s="35" t="s">
        <v>268</v>
      </c>
      <c r="F784" s="39" t="s">
        <v>1094</v>
      </c>
      <c r="G784" s="43" t="s">
        <v>1095</v>
      </c>
      <c r="H784" s="44" t="s">
        <v>1096</v>
      </c>
      <c r="I784" s="45" t="s">
        <v>576</v>
      </c>
      <c r="J784" s="36"/>
      <c r="K784" s="36"/>
      <c r="L784" s="45"/>
      <c r="M784" s="36" t="s">
        <v>521</v>
      </c>
      <c r="N784" s="40" t="n">
        <v>1000</v>
      </c>
      <c r="O784" s="35"/>
      <c r="P784" s="35" t="s">
        <v>265</v>
      </c>
      <c r="Q784" s="35" t="s">
        <v>67</v>
      </c>
      <c r="R784" s="35" t="s">
        <v>68</v>
      </c>
      <c r="S784" s="42" t="n">
        <v>2</v>
      </c>
      <c r="T784" s="35" t="s">
        <v>64</v>
      </c>
      <c r="U784" s="35" t="s">
        <v>537</v>
      </c>
      <c r="V784" s="36" t="s">
        <v>205</v>
      </c>
      <c r="W784" s="36" t="s">
        <v>524</v>
      </c>
      <c r="X784" s="44" t="s">
        <v>267</v>
      </c>
      <c r="Y784" s="41" t="s">
        <v>1097</v>
      </c>
      <c r="Z784" s="47" t="n">
        <v>44067</v>
      </c>
      <c r="AA784" s="35" t="s">
        <v>526</v>
      </c>
    </row>
    <row r="785" customFormat="false" ht="34.5" hidden="false" customHeight="true" outlineLevel="0" collapsed="false">
      <c r="A785" s="34" t="n">
        <v>784</v>
      </c>
      <c r="B785" s="37" t="s">
        <v>352</v>
      </c>
      <c r="C785" s="45" t="s">
        <v>261</v>
      </c>
      <c r="D785" s="43" t="s">
        <v>262</v>
      </c>
      <c r="E785" s="35" t="s">
        <v>268</v>
      </c>
      <c r="F785" s="39" t="s">
        <v>682</v>
      </c>
      <c r="G785" s="43" t="s">
        <v>2367</v>
      </c>
      <c r="H785" s="44" t="s">
        <v>1837</v>
      </c>
      <c r="I785" s="45" t="s">
        <v>529</v>
      </c>
      <c r="J785" s="36"/>
      <c r="K785" s="36"/>
      <c r="L785" s="45"/>
      <c r="M785" s="36" t="s">
        <v>521</v>
      </c>
      <c r="N785" s="40" t="n">
        <v>1000</v>
      </c>
      <c r="O785" s="35"/>
      <c r="P785" s="35" t="s">
        <v>265</v>
      </c>
      <c r="Q785" s="35" t="s">
        <v>67</v>
      </c>
      <c r="R785" s="35" t="s">
        <v>144</v>
      </c>
      <c r="S785" s="42" t="n">
        <v>3</v>
      </c>
      <c r="T785" s="35" t="s">
        <v>64</v>
      </c>
      <c r="U785" s="35" t="s">
        <v>204</v>
      </c>
      <c r="V785" s="36" t="s">
        <v>284</v>
      </c>
      <c r="W785" s="36" t="s">
        <v>826</v>
      </c>
      <c r="X785" s="44" t="s">
        <v>230</v>
      </c>
      <c r="Y785" s="41" t="s">
        <v>2368</v>
      </c>
      <c r="Z785" s="47" t="n">
        <v>42039</v>
      </c>
      <c r="AA785" s="35" t="s">
        <v>526</v>
      </c>
    </row>
    <row r="786" customFormat="false" ht="34.5" hidden="false" customHeight="true" outlineLevel="0" collapsed="false">
      <c r="A786" s="34" t="n">
        <v>785</v>
      </c>
      <c r="B786" s="37" t="s">
        <v>352</v>
      </c>
      <c r="C786" s="45" t="s">
        <v>261</v>
      </c>
      <c r="D786" s="43" t="s">
        <v>262</v>
      </c>
      <c r="E786" s="35" t="s">
        <v>268</v>
      </c>
      <c r="F786" s="39" t="s">
        <v>682</v>
      </c>
      <c r="G786" s="43" t="s">
        <v>2367</v>
      </c>
      <c r="H786" s="44" t="s">
        <v>1837</v>
      </c>
      <c r="I786" s="45" t="s">
        <v>529</v>
      </c>
      <c r="J786" s="36"/>
      <c r="K786" s="36"/>
      <c r="L786" s="45"/>
      <c r="M786" s="36" t="s">
        <v>521</v>
      </c>
      <c r="N786" s="40" t="n">
        <v>1000</v>
      </c>
      <c r="O786" s="35"/>
      <c r="P786" s="35" t="s">
        <v>265</v>
      </c>
      <c r="Q786" s="35" t="s">
        <v>67</v>
      </c>
      <c r="R786" s="35" t="s">
        <v>144</v>
      </c>
      <c r="S786" s="42" t="n">
        <v>3</v>
      </c>
      <c r="T786" s="35" t="s">
        <v>64</v>
      </c>
      <c r="U786" s="35" t="s">
        <v>204</v>
      </c>
      <c r="V786" s="36" t="s">
        <v>284</v>
      </c>
      <c r="W786" s="36" t="s">
        <v>524</v>
      </c>
      <c r="X786" s="44" t="s">
        <v>230</v>
      </c>
      <c r="Y786" s="41" t="s">
        <v>2369</v>
      </c>
      <c r="Z786" s="47" t="n">
        <v>43731</v>
      </c>
      <c r="AA786" s="35" t="s">
        <v>526</v>
      </c>
    </row>
    <row r="787" customFormat="false" ht="34.5" hidden="false" customHeight="true" outlineLevel="0" collapsed="false">
      <c r="A787" s="34" t="n">
        <v>786</v>
      </c>
      <c r="B787" s="37" t="s">
        <v>352</v>
      </c>
      <c r="C787" s="45" t="s">
        <v>261</v>
      </c>
      <c r="D787" s="43" t="s">
        <v>262</v>
      </c>
      <c r="E787" s="35" t="s">
        <v>268</v>
      </c>
      <c r="F787" s="39" t="s">
        <v>1098</v>
      </c>
      <c r="G787" s="43" t="s">
        <v>1099</v>
      </c>
      <c r="H787" s="44" t="s">
        <v>1100</v>
      </c>
      <c r="I787" s="45" t="s">
        <v>1101</v>
      </c>
      <c r="J787" s="36"/>
      <c r="K787" s="36"/>
      <c r="L787" s="45"/>
      <c r="M787" s="36" t="s">
        <v>521</v>
      </c>
      <c r="N787" s="40" t="n">
        <v>2000</v>
      </c>
      <c r="O787" s="35"/>
      <c r="P787" s="35" t="s">
        <v>265</v>
      </c>
      <c r="Q787" s="35" t="s">
        <v>67</v>
      </c>
      <c r="R787" s="35" t="s">
        <v>91</v>
      </c>
      <c r="S787" s="42" t="n">
        <v>2</v>
      </c>
      <c r="T787" s="35" t="s">
        <v>64</v>
      </c>
      <c r="U787" s="35" t="s">
        <v>204</v>
      </c>
      <c r="V787" s="36" t="s">
        <v>205</v>
      </c>
      <c r="W787" s="36" t="s">
        <v>524</v>
      </c>
      <c r="X787" s="44" t="s">
        <v>210</v>
      </c>
      <c r="Y787" s="41" t="s">
        <v>1102</v>
      </c>
      <c r="Z787" s="47" t="n">
        <v>38372</v>
      </c>
      <c r="AA787" s="35" t="s">
        <v>526</v>
      </c>
    </row>
    <row r="788" customFormat="false" ht="49.5" hidden="false" customHeight="true" outlineLevel="0" collapsed="false">
      <c r="A788" s="34" t="n">
        <v>787</v>
      </c>
      <c r="B788" s="37" t="s">
        <v>352</v>
      </c>
      <c r="C788" s="45" t="s">
        <v>248</v>
      </c>
      <c r="D788" s="43" t="s">
        <v>249</v>
      </c>
      <c r="E788" s="35" t="s">
        <v>268</v>
      </c>
      <c r="F788" s="39" t="s">
        <v>2370</v>
      </c>
      <c r="G788" s="43" t="s">
        <v>2371</v>
      </c>
      <c r="H788" s="44" t="s">
        <v>2372</v>
      </c>
      <c r="I788" s="45" t="s">
        <v>661</v>
      </c>
      <c r="J788" s="36"/>
      <c r="K788" s="36"/>
      <c r="L788" s="45"/>
      <c r="M788" s="36" t="s">
        <v>521</v>
      </c>
      <c r="N788" s="40" t="n">
        <v>1000</v>
      </c>
      <c r="O788" s="35"/>
      <c r="P788" s="35" t="s">
        <v>265</v>
      </c>
      <c r="Q788" s="35" t="s">
        <v>67</v>
      </c>
      <c r="R788" s="35" t="s">
        <v>68</v>
      </c>
      <c r="S788" s="42" t="n">
        <v>3</v>
      </c>
      <c r="T788" s="35" t="s">
        <v>246</v>
      </c>
      <c r="U788" s="35" t="s">
        <v>204</v>
      </c>
      <c r="V788" s="36" t="s">
        <v>226</v>
      </c>
      <c r="W788" s="36" t="s">
        <v>826</v>
      </c>
      <c r="X788" s="44" t="s">
        <v>210</v>
      </c>
      <c r="Y788" s="41" t="s">
        <v>2373</v>
      </c>
      <c r="Z788" s="47" t="n">
        <v>46132</v>
      </c>
      <c r="AA788" s="35" t="s">
        <v>526</v>
      </c>
    </row>
    <row r="789" customFormat="false" ht="49.5" hidden="false" customHeight="true" outlineLevel="0" collapsed="false">
      <c r="A789" s="34" t="n">
        <v>788</v>
      </c>
      <c r="B789" s="37" t="s">
        <v>352</v>
      </c>
      <c r="C789" s="45" t="s">
        <v>248</v>
      </c>
      <c r="D789" s="43" t="s">
        <v>249</v>
      </c>
      <c r="E789" s="35" t="s">
        <v>268</v>
      </c>
      <c r="F789" s="39" t="s">
        <v>2370</v>
      </c>
      <c r="G789" s="43" t="s">
        <v>2371</v>
      </c>
      <c r="H789" s="44" t="s">
        <v>2372</v>
      </c>
      <c r="I789" s="45" t="s">
        <v>661</v>
      </c>
      <c r="J789" s="36"/>
      <c r="K789" s="36"/>
      <c r="L789" s="45"/>
      <c r="M789" s="36" t="s">
        <v>521</v>
      </c>
      <c r="N789" s="40" t="n">
        <v>1000</v>
      </c>
      <c r="O789" s="35"/>
      <c r="P789" s="35" t="s">
        <v>265</v>
      </c>
      <c r="Q789" s="35" t="s">
        <v>67</v>
      </c>
      <c r="R789" s="35" t="s">
        <v>68</v>
      </c>
      <c r="S789" s="42" t="n">
        <v>3</v>
      </c>
      <c r="T789" s="35" t="s">
        <v>246</v>
      </c>
      <c r="U789" s="35" t="s">
        <v>204</v>
      </c>
      <c r="V789" s="36" t="s">
        <v>226</v>
      </c>
      <c r="W789" s="36" t="s">
        <v>826</v>
      </c>
      <c r="X789" s="43" t="s">
        <v>2374</v>
      </c>
      <c r="Y789" s="41" t="s">
        <v>2375</v>
      </c>
      <c r="Z789" s="47" t="n">
        <v>38019</v>
      </c>
      <c r="AA789" s="35" t="s">
        <v>526</v>
      </c>
    </row>
    <row r="790" customFormat="false" ht="49.5" hidden="false" customHeight="true" outlineLevel="0" collapsed="false">
      <c r="A790" s="34" t="n">
        <v>789</v>
      </c>
      <c r="B790" s="37" t="s">
        <v>352</v>
      </c>
      <c r="C790" s="45" t="s">
        <v>248</v>
      </c>
      <c r="D790" s="43" t="s">
        <v>249</v>
      </c>
      <c r="E790" s="35" t="s">
        <v>268</v>
      </c>
      <c r="F790" s="39" t="s">
        <v>777</v>
      </c>
      <c r="G790" s="43" t="s">
        <v>2376</v>
      </c>
      <c r="H790" s="44" t="s">
        <v>1248</v>
      </c>
      <c r="I790" s="45" t="s">
        <v>779</v>
      </c>
      <c r="J790" s="36"/>
      <c r="K790" s="36"/>
      <c r="L790" s="45"/>
      <c r="M790" s="36" t="s">
        <v>521</v>
      </c>
      <c r="N790" s="40" t="n">
        <v>3000</v>
      </c>
      <c r="O790" s="35"/>
      <c r="P790" s="35" t="s">
        <v>265</v>
      </c>
      <c r="Q790" s="35" t="s">
        <v>67</v>
      </c>
      <c r="R790" s="35" t="s">
        <v>144</v>
      </c>
      <c r="S790" s="42" t="n">
        <v>3</v>
      </c>
      <c r="T790" s="35" t="s">
        <v>780</v>
      </c>
      <c r="U790" s="35" t="s">
        <v>537</v>
      </c>
      <c r="V790" s="36" t="s">
        <v>284</v>
      </c>
      <c r="W790" s="36" t="s">
        <v>524</v>
      </c>
      <c r="X790" s="43" t="s">
        <v>369</v>
      </c>
      <c r="Y790" s="41" t="s">
        <v>2377</v>
      </c>
      <c r="Z790" s="47" t="n">
        <v>43875</v>
      </c>
      <c r="AA790" s="35" t="s">
        <v>526</v>
      </c>
    </row>
    <row r="791" customFormat="false" ht="49.5" hidden="false" customHeight="true" outlineLevel="0" collapsed="false">
      <c r="A791" s="34" t="n">
        <v>790</v>
      </c>
      <c r="B791" s="37" t="s">
        <v>352</v>
      </c>
      <c r="C791" s="45" t="s">
        <v>248</v>
      </c>
      <c r="D791" s="43" t="s">
        <v>249</v>
      </c>
      <c r="E791" s="35" t="s">
        <v>268</v>
      </c>
      <c r="F791" s="39" t="s">
        <v>777</v>
      </c>
      <c r="G791" s="43" t="s">
        <v>2376</v>
      </c>
      <c r="H791" s="44" t="s">
        <v>1248</v>
      </c>
      <c r="I791" s="45" t="s">
        <v>779</v>
      </c>
      <c r="J791" s="36"/>
      <c r="K791" s="36"/>
      <c r="L791" s="45"/>
      <c r="M791" s="36" t="s">
        <v>521</v>
      </c>
      <c r="N791" s="40" t="n">
        <v>3000</v>
      </c>
      <c r="O791" s="35"/>
      <c r="P791" s="35" t="s">
        <v>265</v>
      </c>
      <c r="Q791" s="35" t="s">
        <v>67</v>
      </c>
      <c r="R791" s="35" t="s">
        <v>144</v>
      </c>
      <c r="S791" s="42" t="n">
        <v>3</v>
      </c>
      <c r="T791" s="35" t="s">
        <v>780</v>
      </c>
      <c r="U791" s="35" t="s">
        <v>537</v>
      </c>
      <c r="V791" s="36" t="s">
        <v>284</v>
      </c>
      <c r="W791" s="36" t="s">
        <v>826</v>
      </c>
      <c r="X791" s="43" t="s">
        <v>369</v>
      </c>
      <c r="Y791" s="41" t="s">
        <v>2378</v>
      </c>
      <c r="Z791" s="47" t="n">
        <v>43686</v>
      </c>
      <c r="AA791" s="35" t="s">
        <v>526</v>
      </c>
    </row>
    <row r="792" customFormat="false" ht="49.5" hidden="false" customHeight="true" outlineLevel="0" collapsed="false">
      <c r="A792" s="34" t="n">
        <v>791</v>
      </c>
      <c r="B792" s="37" t="s">
        <v>352</v>
      </c>
      <c r="C792" s="45" t="s">
        <v>248</v>
      </c>
      <c r="D792" s="43" t="s">
        <v>249</v>
      </c>
      <c r="E792" s="35" t="s">
        <v>268</v>
      </c>
      <c r="F792" s="39" t="s">
        <v>782</v>
      </c>
      <c r="G792" s="43" t="s">
        <v>1247</v>
      </c>
      <c r="H792" s="44" t="s">
        <v>1248</v>
      </c>
      <c r="I792" s="45" t="s">
        <v>739</v>
      </c>
      <c r="J792" s="36"/>
      <c r="K792" s="36"/>
      <c r="L792" s="45"/>
      <c r="M792" s="36" t="s">
        <v>521</v>
      </c>
      <c r="N792" s="40" t="n">
        <v>3000</v>
      </c>
      <c r="O792" s="35"/>
      <c r="P792" s="35" t="s">
        <v>265</v>
      </c>
      <c r="Q792" s="35" t="s">
        <v>67</v>
      </c>
      <c r="R792" s="35" t="s">
        <v>144</v>
      </c>
      <c r="S792" s="42" t="n">
        <v>2</v>
      </c>
      <c r="T792" s="35" t="s">
        <v>784</v>
      </c>
      <c r="U792" s="35" t="s">
        <v>537</v>
      </c>
      <c r="V792" s="36" t="s">
        <v>284</v>
      </c>
      <c r="W792" s="36" t="s">
        <v>524</v>
      </c>
      <c r="X792" s="43" t="s">
        <v>864</v>
      </c>
      <c r="Y792" s="41" t="s">
        <v>1249</v>
      </c>
      <c r="Z792" s="47" t="n">
        <v>43362</v>
      </c>
      <c r="AA792" s="35" t="s">
        <v>526</v>
      </c>
    </row>
    <row r="793" customFormat="false" ht="49.5" hidden="false" customHeight="true" outlineLevel="0" collapsed="false">
      <c r="A793" s="34" t="n">
        <v>792</v>
      </c>
      <c r="B793" s="37" t="s">
        <v>352</v>
      </c>
      <c r="C793" s="45" t="s">
        <v>248</v>
      </c>
      <c r="D793" s="43" t="s">
        <v>249</v>
      </c>
      <c r="E793" s="35" t="s">
        <v>268</v>
      </c>
      <c r="F793" s="39" t="s">
        <v>795</v>
      </c>
      <c r="G793" s="43" t="s">
        <v>1253</v>
      </c>
      <c r="H793" s="44" t="s">
        <v>1248</v>
      </c>
      <c r="I793" s="45" t="s">
        <v>739</v>
      </c>
      <c r="J793" s="36"/>
      <c r="K793" s="36"/>
      <c r="L793" s="45"/>
      <c r="M793" s="36" t="s">
        <v>521</v>
      </c>
      <c r="N793" s="40" t="n">
        <v>3000</v>
      </c>
      <c r="O793" s="35"/>
      <c r="P793" s="35" t="s">
        <v>265</v>
      </c>
      <c r="Q793" s="35" t="s">
        <v>67</v>
      </c>
      <c r="R793" s="35" t="s">
        <v>68</v>
      </c>
      <c r="S793" s="42" t="n">
        <v>2</v>
      </c>
      <c r="T793" s="35" t="s">
        <v>246</v>
      </c>
      <c r="U793" s="35" t="s">
        <v>537</v>
      </c>
      <c r="V793" s="36" t="s">
        <v>284</v>
      </c>
      <c r="W793" s="36" t="s">
        <v>826</v>
      </c>
      <c r="X793" s="44" t="s">
        <v>267</v>
      </c>
      <c r="Y793" s="41" t="s">
        <v>1254</v>
      </c>
      <c r="Z793" s="47" t="n">
        <v>34801</v>
      </c>
      <c r="AA793" s="35" t="s">
        <v>526</v>
      </c>
    </row>
    <row r="794" customFormat="false" ht="49.5" hidden="false" customHeight="true" outlineLevel="0" collapsed="false">
      <c r="A794" s="34" t="n">
        <v>793</v>
      </c>
      <c r="B794" s="37" t="s">
        <v>352</v>
      </c>
      <c r="C794" s="45" t="s">
        <v>248</v>
      </c>
      <c r="D794" s="43" t="s">
        <v>249</v>
      </c>
      <c r="E794" s="35" t="s">
        <v>268</v>
      </c>
      <c r="F794" s="39" t="s">
        <v>803</v>
      </c>
      <c r="G794" s="43" t="s">
        <v>1247</v>
      </c>
      <c r="H794" s="44" t="s">
        <v>1248</v>
      </c>
      <c r="I794" s="45" t="s">
        <v>739</v>
      </c>
      <c r="J794" s="36"/>
      <c r="K794" s="36"/>
      <c r="L794" s="45"/>
      <c r="M794" s="36" t="s">
        <v>521</v>
      </c>
      <c r="N794" s="40" t="n">
        <v>3000</v>
      </c>
      <c r="O794" s="35"/>
      <c r="P794" s="35" t="s">
        <v>265</v>
      </c>
      <c r="Q794" s="35" t="s">
        <v>67</v>
      </c>
      <c r="R794" s="35" t="s">
        <v>144</v>
      </c>
      <c r="S794" s="42" t="n">
        <v>2</v>
      </c>
      <c r="T794" s="35" t="s">
        <v>784</v>
      </c>
      <c r="U794" s="35" t="s">
        <v>537</v>
      </c>
      <c r="V794" s="36" t="s">
        <v>284</v>
      </c>
      <c r="W794" s="36" t="s">
        <v>524</v>
      </c>
      <c r="X794" s="43" t="s">
        <v>861</v>
      </c>
      <c r="Y794" s="41" t="s">
        <v>1261</v>
      </c>
      <c r="Z794" s="47" t="n">
        <v>42584</v>
      </c>
      <c r="AA794" s="35" t="s">
        <v>526</v>
      </c>
    </row>
    <row r="795" customFormat="false" ht="64.5" hidden="false" customHeight="true" outlineLevel="0" collapsed="false">
      <c r="A795" s="34" t="n">
        <v>794</v>
      </c>
      <c r="B795" s="37" t="s">
        <v>352</v>
      </c>
      <c r="C795" s="45" t="s">
        <v>1266</v>
      </c>
      <c r="D795" s="43" t="s">
        <v>1267</v>
      </c>
      <c r="E795" s="35" t="s">
        <v>268</v>
      </c>
      <c r="F795" s="39" t="s">
        <v>2379</v>
      </c>
      <c r="G795" s="43" t="s">
        <v>1269</v>
      </c>
      <c r="H795" s="44" t="s">
        <v>1270</v>
      </c>
      <c r="I795" s="45" t="s">
        <v>2380</v>
      </c>
      <c r="J795" s="36"/>
      <c r="K795" s="36"/>
      <c r="L795" s="45"/>
      <c r="M795" s="36" t="s">
        <v>521</v>
      </c>
      <c r="N795" s="40" t="n">
        <v>2000</v>
      </c>
      <c r="O795" s="35"/>
      <c r="P795" s="35" t="s">
        <v>265</v>
      </c>
      <c r="Q795" s="35" t="s">
        <v>67</v>
      </c>
      <c r="R795" s="35" t="s">
        <v>91</v>
      </c>
      <c r="S795" s="42" t="n">
        <v>2</v>
      </c>
      <c r="T795" s="35" t="s">
        <v>64</v>
      </c>
      <c r="U795" s="35" t="s">
        <v>537</v>
      </c>
      <c r="V795" s="36" t="s">
        <v>284</v>
      </c>
      <c r="W795" s="36" t="s">
        <v>524</v>
      </c>
      <c r="X795" s="43" t="s">
        <v>272</v>
      </c>
      <c r="Y795" s="41" t="s">
        <v>2381</v>
      </c>
      <c r="Z795" s="47" t="n">
        <v>43871</v>
      </c>
      <c r="AA795" s="35" t="s">
        <v>526</v>
      </c>
    </row>
    <row r="796" customFormat="false" ht="64.5" hidden="false" customHeight="true" outlineLevel="0" collapsed="false">
      <c r="A796" s="34" t="n">
        <v>795</v>
      </c>
      <c r="B796" s="37" t="s">
        <v>352</v>
      </c>
      <c r="C796" s="45" t="s">
        <v>1266</v>
      </c>
      <c r="D796" s="43" t="s">
        <v>1267</v>
      </c>
      <c r="E796" s="35" t="s">
        <v>211</v>
      </c>
      <c r="F796" s="39" t="s">
        <v>1268</v>
      </c>
      <c r="G796" s="43" t="s">
        <v>1269</v>
      </c>
      <c r="H796" s="44" t="s">
        <v>1270</v>
      </c>
      <c r="I796" s="45" t="s">
        <v>1271</v>
      </c>
      <c r="J796" s="36"/>
      <c r="K796" s="36"/>
      <c r="L796" s="45"/>
      <c r="M796" s="36" t="s">
        <v>521</v>
      </c>
      <c r="N796" s="40" t="n">
        <v>3000</v>
      </c>
      <c r="O796" s="35"/>
      <c r="P796" s="35" t="s">
        <v>265</v>
      </c>
      <c r="Q796" s="35" t="s">
        <v>67</v>
      </c>
      <c r="R796" s="35" t="s">
        <v>91</v>
      </c>
      <c r="S796" s="42" t="n">
        <v>2</v>
      </c>
      <c r="T796" s="35" t="s">
        <v>64</v>
      </c>
      <c r="U796" s="35" t="s">
        <v>537</v>
      </c>
      <c r="V796" s="36" t="s">
        <v>284</v>
      </c>
      <c r="W796" s="36" t="s">
        <v>524</v>
      </c>
      <c r="X796" s="44" t="s">
        <v>221</v>
      </c>
      <c r="Y796" s="41" t="s">
        <v>1272</v>
      </c>
      <c r="Z796" s="47" t="n">
        <v>43770</v>
      </c>
      <c r="AA796" s="35" t="s">
        <v>526</v>
      </c>
    </row>
    <row r="797" customFormat="false" ht="79.5" hidden="false" customHeight="true" outlineLevel="0" collapsed="false">
      <c r="A797" s="34" t="n">
        <v>796</v>
      </c>
      <c r="B797" s="37" t="s">
        <v>352</v>
      </c>
      <c r="C797" s="45" t="s">
        <v>2382</v>
      </c>
      <c r="D797" s="43" t="s">
        <v>2383</v>
      </c>
      <c r="E797" s="35" t="s">
        <v>268</v>
      </c>
      <c r="F797" s="39" t="s">
        <v>2384</v>
      </c>
      <c r="G797" s="43" t="s">
        <v>2385</v>
      </c>
      <c r="H797" s="44" t="s">
        <v>2386</v>
      </c>
      <c r="I797" s="45" t="s">
        <v>2387</v>
      </c>
      <c r="J797" s="36"/>
      <c r="K797" s="36"/>
      <c r="L797" s="45"/>
      <c r="M797" s="36" t="s">
        <v>521</v>
      </c>
      <c r="N797" s="40" t="n">
        <v>2000</v>
      </c>
      <c r="O797" s="35"/>
      <c r="P797" s="35" t="s">
        <v>265</v>
      </c>
      <c r="Q797" s="35" t="s">
        <v>67</v>
      </c>
      <c r="R797" s="35" t="s">
        <v>68</v>
      </c>
      <c r="S797" s="42" t="n">
        <v>2</v>
      </c>
      <c r="T797" s="35" t="s">
        <v>64</v>
      </c>
      <c r="U797" s="35" t="s">
        <v>204</v>
      </c>
      <c r="V797" s="36" t="s">
        <v>284</v>
      </c>
      <c r="W797" s="36" t="s">
        <v>524</v>
      </c>
      <c r="X797" s="44" t="s">
        <v>210</v>
      </c>
      <c r="Y797" s="41" t="s">
        <v>2388</v>
      </c>
      <c r="Z797" s="47" t="n">
        <v>41939</v>
      </c>
      <c r="AA797" s="35" t="s">
        <v>526</v>
      </c>
    </row>
    <row r="798" customFormat="false" ht="64.5" hidden="false" customHeight="true" outlineLevel="0" collapsed="false">
      <c r="A798" s="34" t="n">
        <v>797</v>
      </c>
      <c r="B798" s="37" t="s">
        <v>352</v>
      </c>
      <c r="C798" s="45" t="s">
        <v>359</v>
      </c>
      <c r="D798" s="43" t="s">
        <v>360</v>
      </c>
      <c r="E798" s="35" t="s">
        <v>268</v>
      </c>
      <c r="F798" s="39" t="s">
        <v>357</v>
      </c>
      <c r="G798" s="43" t="s">
        <v>1282</v>
      </c>
      <c r="H798" s="44" t="s">
        <v>358</v>
      </c>
      <c r="I798" s="45" t="s">
        <v>1283</v>
      </c>
      <c r="J798" s="36" t="s">
        <v>80</v>
      </c>
      <c r="K798" s="36" t="s">
        <v>577</v>
      </c>
      <c r="L798" s="45" t="s">
        <v>541</v>
      </c>
      <c r="M798" s="36" t="s">
        <v>521</v>
      </c>
      <c r="N798" s="40" t="n">
        <v>2000</v>
      </c>
      <c r="O798" s="35"/>
      <c r="P798" s="35" t="s">
        <v>265</v>
      </c>
      <c r="Q798" s="35" t="s">
        <v>67</v>
      </c>
      <c r="R798" s="35" t="s">
        <v>68</v>
      </c>
      <c r="S798" s="42" t="n">
        <v>2</v>
      </c>
      <c r="T798" s="35" t="s">
        <v>98</v>
      </c>
      <c r="U798" s="35" t="s">
        <v>204</v>
      </c>
      <c r="V798" s="36" t="s">
        <v>226</v>
      </c>
      <c r="W798" s="36" t="s">
        <v>524</v>
      </c>
      <c r="X798" s="43" t="s">
        <v>272</v>
      </c>
      <c r="Y798" s="41" t="s">
        <v>362</v>
      </c>
      <c r="Z798" s="47" t="n">
        <v>42584</v>
      </c>
      <c r="AA798" s="35" t="s">
        <v>578</v>
      </c>
    </row>
    <row r="799" customFormat="false" ht="64.5" hidden="false" customHeight="true" outlineLevel="0" collapsed="false">
      <c r="A799" s="34" t="n">
        <v>798</v>
      </c>
      <c r="B799" s="37" t="s">
        <v>352</v>
      </c>
      <c r="C799" s="45" t="s">
        <v>359</v>
      </c>
      <c r="D799" s="43" t="s">
        <v>360</v>
      </c>
      <c r="E799" s="35" t="s">
        <v>211</v>
      </c>
      <c r="F799" s="39" t="s">
        <v>1284</v>
      </c>
      <c r="G799" s="43" t="s">
        <v>1285</v>
      </c>
      <c r="H799" s="44" t="s">
        <v>358</v>
      </c>
      <c r="I799" s="45" t="s">
        <v>1286</v>
      </c>
      <c r="J799" s="36"/>
      <c r="K799" s="36"/>
      <c r="L799" s="45"/>
      <c r="M799" s="36" t="s">
        <v>521</v>
      </c>
      <c r="N799" s="40" t="n">
        <v>2000</v>
      </c>
      <c r="O799" s="35"/>
      <c r="P799" s="35" t="s">
        <v>265</v>
      </c>
      <c r="Q799" s="35" t="s">
        <v>67</v>
      </c>
      <c r="R799" s="35" t="s">
        <v>144</v>
      </c>
      <c r="S799" s="42" t="n">
        <v>2</v>
      </c>
      <c r="T799" s="35" t="s">
        <v>64</v>
      </c>
      <c r="U799" s="35" t="s">
        <v>537</v>
      </c>
      <c r="V799" s="36" t="s">
        <v>226</v>
      </c>
      <c r="W799" s="36" t="s">
        <v>524</v>
      </c>
      <c r="X799" s="43" t="s">
        <v>272</v>
      </c>
      <c r="Y799" s="41" t="s">
        <v>1287</v>
      </c>
      <c r="Z799" s="47" t="n">
        <v>43578</v>
      </c>
      <c r="AA799" s="35" t="s">
        <v>526</v>
      </c>
    </row>
    <row r="800" customFormat="false" ht="79.5" hidden="false" customHeight="true" outlineLevel="0" collapsed="false">
      <c r="A800" s="34" t="n">
        <v>799</v>
      </c>
      <c r="B800" s="37" t="s">
        <v>352</v>
      </c>
      <c r="C800" s="45" t="s">
        <v>1288</v>
      </c>
      <c r="D800" s="43" t="s">
        <v>1289</v>
      </c>
      <c r="E800" s="35" t="s">
        <v>268</v>
      </c>
      <c r="F800" s="39" t="s">
        <v>1290</v>
      </c>
      <c r="G800" s="43" t="s">
        <v>1291</v>
      </c>
      <c r="H800" s="44" t="s">
        <v>1292</v>
      </c>
      <c r="I800" s="45" t="s">
        <v>1293</v>
      </c>
      <c r="J800" s="36"/>
      <c r="K800" s="36"/>
      <c r="L800" s="45"/>
      <c r="M800" s="36" t="s">
        <v>521</v>
      </c>
      <c r="N800" s="40" t="n">
        <v>2000</v>
      </c>
      <c r="O800" s="35"/>
      <c r="P800" s="35" t="s">
        <v>265</v>
      </c>
      <c r="Q800" s="35" t="s">
        <v>67</v>
      </c>
      <c r="R800" s="35" t="s">
        <v>68</v>
      </c>
      <c r="S800" s="42" t="n">
        <v>2</v>
      </c>
      <c r="T800" s="35" t="s">
        <v>64</v>
      </c>
      <c r="U800" s="35" t="s">
        <v>537</v>
      </c>
      <c r="V800" s="36" t="s">
        <v>284</v>
      </c>
      <c r="W800" s="36" t="s">
        <v>524</v>
      </c>
      <c r="X800" s="43" t="s">
        <v>861</v>
      </c>
      <c r="Y800" s="41" t="s">
        <v>1294</v>
      </c>
      <c r="Z800" s="47" t="n">
        <v>42584</v>
      </c>
      <c r="AA800" s="35" t="s">
        <v>526</v>
      </c>
    </row>
    <row r="801" customFormat="false" ht="79.5" hidden="false" customHeight="true" outlineLevel="0" collapsed="false">
      <c r="A801" s="34" t="n">
        <v>800</v>
      </c>
      <c r="B801" s="37" t="s">
        <v>352</v>
      </c>
      <c r="C801" s="45" t="s">
        <v>1288</v>
      </c>
      <c r="D801" s="43" t="s">
        <v>1289</v>
      </c>
      <c r="E801" s="35" t="s">
        <v>211</v>
      </c>
      <c r="F801" s="39" t="s">
        <v>1545</v>
      </c>
      <c r="G801" s="43" t="s">
        <v>1546</v>
      </c>
      <c r="H801" s="44" t="s">
        <v>1547</v>
      </c>
      <c r="I801" s="45" t="s">
        <v>1548</v>
      </c>
      <c r="J801" s="36"/>
      <c r="K801" s="36"/>
      <c r="L801" s="45"/>
      <c r="M801" s="36" t="s">
        <v>521</v>
      </c>
      <c r="N801" s="40" t="n">
        <v>2500</v>
      </c>
      <c r="O801" s="35"/>
      <c r="P801" s="35" t="s">
        <v>265</v>
      </c>
      <c r="Q801" s="35" t="s">
        <v>67</v>
      </c>
      <c r="R801" s="35" t="s">
        <v>91</v>
      </c>
      <c r="S801" s="42" t="n">
        <v>2</v>
      </c>
      <c r="T801" s="35" t="s">
        <v>64</v>
      </c>
      <c r="U801" s="35" t="s">
        <v>537</v>
      </c>
      <c r="V801" s="36" t="s">
        <v>226</v>
      </c>
      <c r="W801" s="36" t="s">
        <v>826</v>
      </c>
      <c r="X801" s="43" t="s">
        <v>330</v>
      </c>
      <c r="Y801" s="41" t="s">
        <v>1549</v>
      </c>
      <c r="Z801" s="47" t="n">
        <v>43578</v>
      </c>
      <c r="AA801" s="35" t="s">
        <v>526</v>
      </c>
    </row>
    <row r="802" customFormat="false" ht="79.5" hidden="false" customHeight="true" outlineLevel="0" collapsed="false">
      <c r="A802" s="34" t="n">
        <v>801</v>
      </c>
      <c r="B802" s="37" t="s">
        <v>352</v>
      </c>
      <c r="C802" s="45" t="s">
        <v>1288</v>
      </c>
      <c r="D802" s="43" t="s">
        <v>1289</v>
      </c>
      <c r="E802" s="35" t="s">
        <v>268</v>
      </c>
      <c r="F802" s="39" t="s">
        <v>2389</v>
      </c>
      <c r="G802" s="43" t="s">
        <v>1546</v>
      </c>
      <c r="H802" s="44" t="s">
        <v>1547</v>
      </c>
      <c r="I802" s="45" t="s">
        <v>2390</v>
      </c>
      <c r="J802" s="36"/>
      <c r="K802" s="36"/>
      <c r="L802" s="45"/>
      <c r="M802" s="36" t="s">
        <v>521</v>
      </c>
      <c r="N802" s="40" t="n">
        <v>3000</v>
      </c>
      <c r="O802" s="35"/>
      <c r="P802" s="35" t="s">
        <v>265</v>
      </c>
      <c r="Q802" s="35" t="s">
        <v>67</v>
      </c>
      <c r="R802" s="35" t="s">
        <v>68</v>
      </c>
      <c r="S802" s="42" t="n">
        <v>2</v>
      </c>
      <c r="T802" s="35" t="s">
        <v>64</v>
      </c>
      <c r="U802" s="35" t="s">
        <v>537</v>
      </c>
      <c r="V802" s="36" t="s">
        <v>226</v>
      </c>
      <c r="W802" s="36" t="s">
        <v>524</v>
      </c>
      <c r="X802" s="44" t="s">
        <v>267</v>
      </c>
      <c r="Y802" s="41" t="s">
        <v>2391</v>
      </c>
      <c r="Z802" s="47" t="n">
        <v>44586</v>
      </c>
      <c r="AA802" s="35" t="s">
        <v>526</v>
      </c>
    </row>
    <row r="803" customFormat="false" ht="79.5" hidden="false" customHeight="true" outlineLevel="0" collapsed="false">
      <c r="A803" s="34" t="n">
        <v>802</v>
      </c>
      <c r="B803" s="37" t="s">
        <v>352</v>
      </c>
      <c r="C803" s="45" t="s">
        <v>2392</v>
      </c>
      <c r="D803" s="43" t="s">
        <v>2393</v>
      </c>
      <c r="E803" s="35" t="s">
        <v>268</v>
      </c>
      <c r="F803" s="39" t="s">
        <v>2394</v>
      </c>
      <c r="G803" s="43" t="s">
        <v>2395</v>
      </c>
      <c r="H803" s="44" t="s">
        <v>2396</v>
      </c>
      <c r="I803" s="45" t="s">
        <v>2397</v>
      </c>
      <c r="J803" s="36"/>
      <c r="K803" s="36"/>
      <c r="L803" s="45"/>
      <c r="M803" s="36" t="s">
        <v>521</v>
      </c>
      <c r="N803" s="40" t="n">
        <v>1000</v>
      </c>
      <c r="O803" s="35"/>
      <c r="P803" s="35" t="s">
        <v>265</v>
      </c>
      <c r="Q803" s="35" t="s">
        <v>67</v>
      </c>
      <c r="R803" s="35" t="s">
        <v>144</v>
      </c>
      <c r="S803" s="42" t="n">
        <v>2</v>
      </c>
      <c r="T803" s="35" t="s">
        <v>610</v>
      </c>
      <c r="U803" s="35" t="s">
        <v>537</v>
      </c>
      <c r="V803" s="36" t="s">
        <v>226</v>
      </c>
      <c r="W803" s="36" t="s">
        <v>524</v>
      </c>
      <c r="X803" s="44" t="s">
        <v>553</v>
      </c>
      <c r="Y803" s="41" t="s">
        <v>2398</v>
      </c>
      <c r="Z803" s="47" t="n">
        <v>42584</v>
      </c>
      <c r="AA803" s="35" t="s">
        <v>526</v>
      </c>
    </row>
    <row r="804" customFormat="false" ht="79.5" hidden="false" customHeight="true" outlineLevel="0" collapsed="false">
      <c r="A804" s="34" t="n">
        <v>803</v>
      </c>
      <c r="B804" s="37" t="s">
        <v>352</v>
      </c>
      <c r="C804" s="45" t="s">
        <v>2399</v>
      </c>
      <c r="D804" s="43" t="s">
        <v>2400</v>
      </c>
      <c r="E804" s="35" t="s">
        <v>211</v>
      </c>
      <c r="F804" s="39" t="s">
        <v>2401</v>
      </c>
      <c r="G804" s="43" t="s">
        <v>2402</v>
      </c>
      <c r="H804" s="44" t="s">
        <v>2403</v>
      </c>
      <c r="I804" s="45" t="s">
        <v>1283</v>
      </c>
      <c r="J804" s="36"/>
      <c r="K804" s="36"/>
      <c r="L804" s="45"/>
      <c r="M804" s="36" t="s">
        <v>521</v>
      </c>
      <c r="N804" s="40" t="n">
        <v>2000</v>
      </c>
      <c r="O804" s="35"/>
      <c r="P804" s="35" t="s">
        <v>265</v>
      </c>
      <c r="Q804" s="35" t="s">
        <v>67</v>
      </c>
      <c r="R804" s="35" t="s">
        <v>68</v>
      </c>
      <c r="S804" s="42" t="n">
        <v>2</v>
      </c>
      <c r="T804" s="35" t="s">
        <v>64</v>
      </c>
      <c r="U804" s="35" t="s">
        <v>537</v>
      </c>
      <c r="V804" s="36" t="s">
        <v>284</v>
      </c>
      <c r="W804" s="36" t="s">
        <v>524</v>
      </c>
      <c r="X804" s="44" t="s">
        <v>210</v>
      </c>
      <c r="Y804" s="41" t="s">
        <v>2404</v>
      </c>
      <c r="Z804" s="47" t="n">
        <v>44204</v>
      </c>
      <c r="AA804" s="35" t="s">
        <v>526</v>
      </c>
    </row>
    <row r="805" customFormat="false" ht="79.5" hidden="false" customHeight="true" outlineLevel="0" collapsed="false">
      <c r="A805" s="34" t="n">
        <v>804</v>
      </c>
      <c r="B805" s="37" t="s">
        <v>352</v>
      </c>
      <c r="C805" s="45" t="s">
        <v>1298</v>
      </c>
      <c r="D805" s="43" t="s">
        <v>1299</v>
      </c>
      <c r="E805" s="35" t="s">
        <v>268</v>
      </c>
      <c r="F805" s="39" t="s">
        <v>1308</v>
      </c>
      <c r="G805" s="43" t="s">
        <v>1301</v>
      </c>
      <c r="H805" s="44" t="s">
        <v>1306</v>
      </c>
      <c r="I805" s="45" t="s">
        <v>1303</v>
      </c>
      <c r="J805" s="36"/>
      <c r="K805" s="36"/>
      <c r="L805" s="45"/>
      <c r="M805" s="36" t="s">
        <v>521</v>
      </c>
      <c r="N805" s="40" t="n">
        <v>2000</v>
      </c>
      <c r="O805" s="35"/>
      <c r="P805" s="35" t="s">
        <v>265</v>
      </c>
      <c r="Q805" s="35" t="s">
        <v>67</v>
      </c>
      <c r="R805" s="35" t="s">
        <v>144</v>
      </c>
      <c r="S805" s="42" t="n">
        <v>3</v>
      </c>
      <c r="T805" s="35" t="s">
        <v>64</v>
      </c>
      <c r="U805" s="35" t="s">
        <v>537</v>
      </c>
      <c r="V805" s="36" t="s">
        <v>284</v>
      </c>
      <c r="W805" s="36" t="s">
        <v>826</v>
      </c>
      <c r="X805" s="43" t="s">
        <v>369</v>
      </c>
      <c r="Y805" s="41" t="s">
        <v>1309</v>
      </c>
      <c r="Z805" s="47" t="n">
        <v>40283</v>
      </c>
      <c r="AA805" s="35" t="s">
        <v>526</v>
      </c>
    </row>
    <row r="806" customFormat="false" ht="79.5" hidden="false" customHeight="true" outlineLevel="0" collapsed="false">
      <c r="A806" s="34" t="n">
        <v>805</v>
      </c>
      <c r="B806" s="37" t="s">
        <v>352</v>
      </c>
      <c r="C806" s="45" t="s">
        <v>1298</v>
      </c>
      <c r="D806" s="43" t="s">
        <v>1299</v>
      </c>
      <c r="E806" s="35" t="s">
        <v>211</v>
      </c>
      <c r="F806" s="39" t="s">
        <v>1308</v>
      </c>
      <c r="G806" s="43" t="s">
        <v>1301</v>
      </c>
      <c r="H806" s="44" t="s">
        <v>1302</v>
      </c>
      <c r="I806" s="45" t="s">
        <v>1303</v>
      </c>
      <c r="J806" s="36"/>
      <c r="K806" s="36"/>
      <c r="L806" s="45"/>
      <c r="M806" s="36" t="s">
        <v>521</v>
      </c>
      <c r="N806" s="40" t="n">
        <v>2000</v>
      </c>
      <c r="O806" s="35"/>
      <c r="P806" s="35" t="s">
        <v>265</v>
      </c>
      <c r="Q806" s="35" t="s">
        <v>67</v>
      </c>
      <c r="R806" s="35" t="s">
        <v>144</v>
      </c>
      <c r="S806" s="42" t="n">
        <v>3</v>
      </c>
      <c r="T806" s="35" t="s">
        <v>64</v>
      </c>
      <c r="U806" s="35" t="s">
        <v>537</v>
      </c>
      <c r="V806" s="36" t="s">
        <v>284</v>
      </c>
      <c r="W806" s="36" t="s">
        <v>524</v>
      </c>
      <c r="X806" s="43" t="s">
        <v>369</v>
      </c>
      <c r="Y806" s="41" t="s">
        <v>1310</v>
      </c>
      <c r="Z806" s="47" t="n">
        <v>45912</v>
      </c>
      <c r="AA806" s="35" t="s">
        <v>526</v>
      </c>
    </row>
    <row r="807" customFormat="false" ht="79.5" hidden="false" customHeight="true" outlineLevel="0" collapsed="false">
      <c r="A807" s="34" t="n">
        <v>806</v>
      </c>
      <c r="B807" s="37" t="s">
        <v>352</v>
      </c>
      <c r="C807" s="45" t="s">
        <v>1298</v>
      </c>
      <c r="D807" s="43" t="s">
        <v>1299</v>
      </c>
      <c r="E807" s="35" t="s">
        <v>211</v>
      </c>
      <c r="F807" s="39" t="s">
        <v>1315</v>
      </c>
      <c r="G807" s="43" t="s">
        <v>1301</v>
      </c>
      <c r="H807" s="44" t="s">
        <v>1306</v>
      </c>
      <c r="I807" s="45" t="s">
        <v>1303</v>
      </c>
      <c r="J807" s="36"/>
      <c r="K807" s="36"/>
      <c r="L807" s="45"/>
      <c r="M807" s="36" t="s">
        <v>521</v>
      </c>
      <c r="N807" s="40" t="n">
        <v>2000</v>
      </c>
      <c r="O807" s="35"/>
      <c r="P807" s="35" t="s">
        <v>265</v>
      </c>
      <c r="Q807" s="35" t="s">
        <v>67</v>
      </c>
      <c r="R807" s="35" t="s">
        <v>144</v>
      </c>
      <c r="S807" s="42" t="n">
        <v>3</v>
      </c>
      <c r="T807" s="35" t="s">
        <v>64</v>
      </c>
      <c r="U807" s="35" t="s">
        <v>537</v>
      </c>
      <c r="V807" s="36" t="s">
        <v>284</v>
      </c>
      <c r="W807" s="36" t="s">
        <v>826</v>
      </c>
      <c r="X807" s="43" t="s">
        <v>853</v>
      </c>
      <c r="Y807" s="41" t="s">
        <v>1316</v>
      </c>
      <c r="Z807" s="47" t="n">
        <v>44575</v>
      </c>
      <c r="AA807" s="35" t="s">
        <v>526</v>
      </c>
    </row>
    <row r="808" customFormat="false" ht="79.5" hidden="false" customHeight="true" outlineLevel="0" collapsed="false">
      <c r="A808" s="34" t="n">
        <v>807</v>
      </c>
      <c r="B808" s="37" t="s">
        <v>352</v>
      </c>
      <c r="C808" s="45" t="s">
        <v>1298</v>
      </c>
      <c r="D808" s="43" t="s">
        <v>1299</v>
      </c>
      <c r="E808" s="35" t="s">
        <v>211</v>
      </c>
      <c r="F808" s="39" t="s">
        <v>1317</v>
      </c>
      <c r="G808" s="43" t="s">
        <v>1301</v>
      </c>
      <c r="H808" s="44" t="s">
        <v>1302</v>
      </c>
      <c r="I808" s="45" t="s">
        <v>1303</v>
      </c>
      <c r="J808" s="36"/>
      <c r="K808" s="36"/>
      <c r="L808" s="45"/>
      <c r="M808" s="36" t="s">
        <v>521</v>
      </c>
      <c r="N808" s="40" t="n">
        <v>2000</v>
      </c>
      <c r="O808" s="35"/>
      <c r="P808" s="35" t="s">
        <v>265</v>
      </c>
      <c r="Q808" s="35" t="s">
        <v>67</v>
      </c>
      <c r="R808" s="35" t="s">
        <v>144</v>
      </c>
      <c r="S808" s="42" t="n">
        <v>3</v>
      </c>
      <c r="T808" s="35" t="s">
        <v>64</v>
      </c>
      <c r="U808" s="35" t="s">
        <v>537</v>
      </c>
      <c r="V808" s="36" t="s">
        <v>226</v>
      </c>
      <c r="W808" s="36" t="s">
        <v>524</v>
      </c>
      <c r="X808" s="44" t="s">
        <v>341</v>
      </c>
      <c r="Y808" s="41" t="s">
        <v>1318</v>
      </c>
      <c r="Z808" s="47" t="n">
        <v>46232</v>
      </c>
      <c r="AA808" s="35" t="s">
        <v>526</v>
      </c>
    </row>
    <row r="809" customFormat="false" ht="79.5" hidden="false" customHeight="true" outlineLevel="0" collapsed="false">
      <c r="A809" s="34" t="n">
        <v>808</v>
      </c>
      <c r="B809" s="37" t="s">
        <v>352</v>
      </c>
      <c r="C809" s="45" t="s">
        <v>308</v>
      </c>
      <c r="D809" s="43" t="s">
        <v>309</v>
      </c>
      <c r="E809" s="35" t="s">
        <v>211</v>
      </c>
      <c r="F809" s="39" t="s">
        <v>2405</v>
      </c>
      <c r="G809" s="43" t="s">
        <v>2406</v>
      </c>
      <c r="H809" s="44" t="s">
        <v>2407</v>
      </c>
      <c r="I809" s="45" t="s">
        <v>2408</v>
      </c>
      <c r="J809" s="36"/>
      <c r="K809" s="36"/>
      <c r="L809" s="45"/>
      <c r="M809" s="36" t="s">
        <v>521</v>
      </c>
      <c r="N809" s="40" t="n">
        <v>2000</v>
      </c>
      <c r="O809" s="35"/>
      <c r="P809" s="35" t="s">
        <v>265</v>
      </c>
      <c r="Q809" s="35" t="s">
        <v>67</v>
      </c>
      <c r="R809" s="35" t="s">
        <v>68</v>
      </c>
      <c r="S809" s="42" t="n">
        <v>2</v>
      </c>
      <c r="T809" s="35" t="s">
        <v>90</v>
      </c>
      <c r="U809" s="35" t="s">
        <v>204</v>
      </c>
      <c r="V809" s="36" t="s">
        <v>284</v>
      </c>
      <c r="W809" s="36" t="s">
        <v>524</v>
      </c>
      <c r="X809" s="44" t="s">
        <v>221</v>
      </c>
      <c r="Y809" s="41" t="s">
        <v>2409</v>
      </c>
      <c r="Z809" s="47" t="n">
        <v>43452</v>
      </c>
      <c r="AA809" s="35" t="s">
        <v>526</v>
      </c>
    </row>
    <row r="810" customFormat="false" ht="79.5" hidden="false" customHeight="true" outlineLevel="0" collapsed="false">
      <c r="A810" s="34" t="n">
        <v>809</v>
      </c>
      <c r="B810" s="37" t="s">
        <v>352</v>
      </c>
      <c r="C810" s="45" t="s">
        <v>308</v>
      </c>
      <c r="D810" s="43" t="s">
        <v>309</v>
      </c>
      <c r="E810" s="35" t="s">
        <v>211</v>
      </c>
      <c r="F810" s="39" t="s">
        <v>2405</v>
      </c>
      <c r="G810" s="43" t="s">
        <v>2406</v>
      </c>
      <c r="H810" s="44" t="s">
        <v>2410</v>
      </c>
      <c r="I810" s="45" t="s">
        <v>2408</v>
      </c>
      <c r="J810" s="36"/>
      <c r="K810" s="36"/>
      <c r="L810" s="45"/>
      <c r="M810" s="36" t="s">
        <v>521</v>
      </c>
      <c r="N810" s="40" t="n">
        <v>2000</v>
      </c>
      <c r="O810" s="35"/>
      <c r="P810" s="35" t="s">
        <v>265</v>
      </c>
      <c r="Q810" s="35" t="s">
        <v>67</v>
      </c>
      <c r="R810" s="35" t="s">
        <v>68</v>
      </c>
      <c r="S810" s="42" t="n">
        <v>2</v>
      </c>
      <c r="T810" s="35" t="s">
        <v>90</v>
      </c>
      <c r="U810" s="35" t="s">
        <v>204</v>
      </c>
      <c r="V810" s="36" t="s">
        <v>284</v>
      </c>
      <c r="W810" s="36" t="s">
        <v>524</v>
      </c>
      <c r="X810" s="44" t="s">
        <v>547</v>
      </c>
      <c r="Y810" s="41" t="s">
        <v>2411</v>
      </c>
      <c r="Z810" s="47" t="n">
        <v>46014</v>
      </c>
      <c r="AA810" s="35" t="s">
        <v>526</v>
      </c>
    </row>
    <row r="811" customFormat="false" ht="64.5" hidden="false" customHeight="true" outlineLevel="0" collapsed="false">
      <c r="A811" s="34" t="n">
        <v>810</v>
      </c>
      <c r="B811" s="37" t="s">
        <v>352</v>
      </c>
      <c r="C811" s="45" t="s">
        <v>1321</v>
      </c>
      <c r="D811" s="43" t="s">
        <v>1322</v>
      </c>
      <c r="E811" s="35" t="s">
        <v>268</v>
      </c>
      <c r="F811" s="39" t="s">
        <v>1328</v>
      </c>
      <c r="G811" s="43" t="s">
        <v>1329</v>
      </c>
      <c r="H811" s="44" t="s">
        <v>1330</v>
      </c>
      <c r="I811" s="45" t="s">
        <v>1331</v>
      </c>
      <c r="J811" s="36"/>
      <c r="K811" s="36"/>
      <c r="L811" s="45"/>
      <c r="M811" s="36" t="s">
        <v>521</v>
      </c>
      <c r="N811" s="40" t="n">
        <v>1500</v>
      </c>
      <c r="O811" s="35"/>
      <c r="P811" s="35" t="s">
        <v>265</v>
      </c>
      <c r="Q811" s="35" t="s">
        <v>67</v>
      </c>
      <c r="R811" s="35" t="s">
        <v>68</v>
      </c>
      <c r="S811" s="42" t="n">
        <v>2</v>
      </c>
      <c r="T811" s="35" t="s">
        <v>64</v>
      </c>
      <c r="U811" s="35" t="s">
        <v>537</v>
      </c>
      <c r="V811" s="36" t="s">
        <v>226</v>
      </c>
      <c r="W811" s="36" t="s">
        <v>524</v>
      </c>
      <c r="X811" s="44" t="s">
        <v>553</v>
      </c>
      <c r="Y811" s="41" t="s">
        <v>1332</v>
      </c>
      <c r="Z811" s="47" t="n">
        <v>44067</v>
      </c>
      <c r="AA811" s="35" t="s">
        <v>526</v>
      </c>
    </row>
    <row r="812" customFormat="false" ht="79.5" hidden="false" customHeight="true" outlineLevel="0" collapsed="false">
      <c r="A812" s="34" t="n">
        <v>811</v>
      </c>
      <c r="B812" s="37" t="s">
        <v>352</v>
      </c>
      <c r="C812" s="45" t="s">
        <v>1333</v>
      </c>
      <c r="D812" s="43" t="s">
        <v>1334</v>
      </c>
      <c r="E812" s="35" t="s">
        <v>268</v>
      </c>
      <c r="F812" s="39" t="s">
        <v>1335</v>
      </c>
      <c r="G812" s="43" t="s">
        <v>1336</v>
      </c>
      <c r="H812" s="44" t="s">
        <v>1337</v>
      </c>
      <c r="I812" s="45" t="s">
        <v>1338</v>
      </c>
      <c r="J812" s="36" t="s">
        <v>80</v>
      </c>
      <c r="K812" s="36"/>
      <c r="L812" s="45"/>
      <c r="M812" s="36" t="s">
        <v>521</v>
      </c>
      <c r="N812" s="40" t="n">
        <v>2000</v>
      </c>
      <c r="O812" s="35"/>
      <c r="P812" s="35" t="s">
        <v>265</v>
      </c>
      <c r="Q812" s="35" t="s">
        <v>67</v>
      </c>
      <c r="R812" s="35" t="s">
        <v>144</v>
      </c>
      <c r="S812" s="42" t="n">
        <v>2</v>
      </c>
      <c r="T812" s="35" t="s">
        <v>665</v>
      </c>
      <c r="U812" s="35" t="s">
        <v>537</v>
      </c>
      <c r="V812" s="36" t="s">
        <v>284</v>
      </c>
      <c r="W812" s="36" t="s">
        <v>826</v>
      </c>
      <c r="X812" s="43" t="s">
        <v>932</v>
      </c>
      <c r="Y812" s="41" t="s">
        <v>1341</v>
      </c>
      <c r="Z812" s="47" t="n">
        <v>43076</v>
      </c>
      <c r="AA812" s="35" t="s">
        <v>526</v>
      </c>
    </row>
    <row r="813" customFormat="false" ht="79.5" hidden="false" customHeight="true" outlineLevel="0" collapsed="false">
      <c r="A813" s="34" t="n">
        <v>812</v>
      </c>
      <c r="B813" s="37" t="s">
        <v>352</v>
      </c>
      <c r="C813" s="45" t="s">
        <v>1333</v>
      </c>
      <c r="D813" s="43" t="s">
        <v>1334</v>
      </c>
      <c r="E813" s="35" t="s">
        <v>268</v>
      </c>
      <c r="F813" s="39" t="s">
        <v>1335</v>
      </c>
      <c r="G813" s="43" t="s">
        <v>1336</v>
      </c>
      <c r="H813" s="44" t="s">
        <v>1337</v>
      </c>
      <c r="I813" s="45" t="s">
        <v>1338</v>
      </c>
      <c r="J813" s="36" t="s">
        <v>80</v>
      </c>
      <c r="K813" s="36"/>
      <c r="L813" s="45"/>
      <c r="M813" s="36" t="s">
        <v>521</v>
      </c>
      <c r="N813" s="40" t="n">
        <v>2000</v>
      </c>
      <c r="O813" s="35"/>
      <c r="P813" s="35" t="s">
        <v>265</v>
      </c>
      <c r="Q813" s="35" t="s">
        <v>67</v>
      </c>
      <c r="R813" s="35" t="s">
        <v>144</v>
      </c>
      <c r="S813" s="42" t="n">
        <v>2</v>
      </c>
      <c r="T813" s="35" t="s">
        <v>665</v>
      </c>
      <c r="U813" s="35" t="s">
        <v>537</v>
      </c>
      <c r="V813" s="36" t="s">
        <v>284</v>
      </c>
      <c r="W813" s="36" t="s">
        <v>826</v>
      </c>
      <c r="X813" s="43" t="s">
        <v>1339</v>
      </c>
      <c r="Y813" s="41" t="s">
        <v>1340</v>
      </c>
      <c r="Z813" s="47" t="n">
        <v>42761</v>
      </c>
      <c r="AA813" s="35" t="s">
        <v>526</v>
      </c>
    </row>
    <row r="814" customFormat="false" ht="64.5" hidden="false" customHeight="true" outlineLevel="0" collapsed="false">
      <c r="A814" s="34" t="n">
        <v>813</v>
      </c>
      <c r="B814" s="37" t="s">
        <v>352</v>
      </c>
      <c r="C814" s="45" t="s">
        <v>1342</v>
      </c>
      <c r="D814" s="43" t="s">
        <v>1343</v>
      </c>
      <c r="E814" s="35" t="s">
        <v>268</v>
      </c>
      <c r="F814" s="39" t="s">
        <v>1344</v>
      </c>
      <c r="G814" s="43" t="s">
        <v>1345</v>
      </c>
      <c r="H814" s="44" t="s">
        <v>1346</v>
      </c>
      <c r="I814" s="45" t="s">
        <v>1347</v>
      </c>
      <c r="J814" s="36"/>
      <c r="K814" s="36"/>
      <c r="L814" s="45"/>
      <c r="M814" s="36" t="s">
        <v>521</v>
      </c>
      <c r="N814" s="40" t="n">
        <v>2000</v>
      </c>
      <c r="O814" s="35"/>
      <c r="P814" s="35" t="s">
        <v>265</v>
      </c>
      <c r="Q814" s="35" t="s">
        <v>67</v>
      </c>
      <c r="R814" s="35" t="s">
        <v>144</v>
      </c>
      <c r="S814" s="42" t="n">
        <v>2</v>
      </c>
      <c r="T814" s="35" t="s">
        <v>784</v>
      </c>
      <c r="U814" s="35" t="s">
        <v>537</v>
      </c>
      <c r="V814" s="36" t="s">
        <v>226</v>
      </c>
      <c r="W814" s="36" t="s">
        <v>524</v>
      </c>
      <c r="X814" s="44" t="s">
        <v>267</v>
      </c>
      <c r="Y814" s="41" t="s">
        <v>1348</v>
      </c>
      <c r="Z814" s="47" t="n">
        <v>42584</v>
      </c>
      <c r="AA814" s="35" t="s">
        <v>526</v>
      </c>
    </row>
    <row r="815" customFormat="false" ht="79.5" hidden="false" customHeight="true" outlineLevel="0" collapsed="false">
      <c r="A815" s="34" t="n">
        <v>814</v>
      </c>
      <c r="B815" s="37" t="s">
        <v>352</v>
      </c>
      <c r="C815" s="45" t="s">
        <v>2086</v>
      </c>
      <c r="D815" s="43" t="s">
        <v>2087</v>
      </c>
      <c r="E815" s="35" t="s">
        <v>268</v>
      </c>
      <c r="F815" s="39" t="s">
        <v>2088</v>
      </c>
      <c r="G815" s="43" t="s">
        <v>2089</v>
      </c>
      <c r="H815" s="44" t="s">
        <v>2090</v>
      </c>
      <c r="I815" s="45" t="s">
        <v>2091</v>
      </c>
      <c r="J815" s="36"/>
      <c r="K815" s="36"/>
      <c r="L815" s="45"/>
      <c r="M815" s="36" t="s">
        <v>521</v>
      </c>
      <c r="N815" s="40" t="n">
        <v>2000</v>
      </c>
      <c r="O815" s="35"/>
      <c r="P815" s="35" t="s">
        <v>265</v>
      </c>
      <c r="Q815" s="35" t="s">
        <v>67</v>
      </c>
      <c r="R815" s="35" t="s">
        <v>68</v>
      </c>
      <c r="S815" s="42" t="n">
        <v>3</v>
      </c>
      <c r="T815" s="35" t="s">
        <v>64</v>
      </c>
      <c r="U815" s="35" t="s">
        <v>537</v>
      </c>
      <c r="V815" s="36" t="s">
        <v>284</v>
      </c>
      <c r="W815" s="36" t="s">
        <v>524</v>
      </c>
      <c r="X815" s="44" t="s">
        <v>553</v>
      </c>
      <c r="Y815" s="41" t="s">
        <v>2092</v>
      </c>
      <c r="Z815" s="47" t="n">
        <v>41886</v>
      </c>
      <c r="AA815" s="35" t="s">
        <v>526</v>
      </c>
    </row>
    <row r="816" customFormat="false" ht="64.5" hidden="false" customHeight="true" outlineLevel="0" collapsed="false">
      <c r="A816" s="34" t="n">
        <v>815</v>
      </c>
      <c r="B816" s="37" t="s">
        <v>352</v>
      </c>
      <c r="C816" s="45" t="s">
        <v>1358</v>
      </c>
      <c r="D816" s="43" t="s">
        <v>1359</v>
      </c>
      <c r="E816" s="35" t="s">
        <v>268</v>
      </c>
      <c r="F816" s="39" t="s">
        <v>1360</v>
      </c>
      <c r="G816" s="43" t="s">
        <v>1361</v>
      </c>
      <c r="H816" s="44" t="s">
        <v>1362</v>
      </c>
      <c r="I816" s="45" t="s">
        <v>1363</v>
      </c>
      <c r="J816" s="36"/>
      <c r="K816" s="36"/>
      <c r="L816" s="45"/>
      <c r="M816" s="36" t="s">
        <v>521</v>
      </c>
      <c r="N816" s="40" t="n">
        <v>2000</v>
      </c>
      <c r="O816" s="35"/>
      <c r="P816" s="35" t="s">
        <v>265</v>
      </c>
      <c r="Q816" s="35" t="s">
        <v>67</v>
      </c>
      <c r="R816" s="35" t="s">
        <v>68</v>
      </c>
      <c r="S816" s="42" t="n">
        <v>3</v>
      </c>
      <c r="T816" s="35" t="s">
        <v>64</v>
      </c>
      <c r="U816" s="35" t="s">
        <v>537</v>
      </c>
      <c r="V816" s="36" t="s">
        <v>284</v>
      </c>
      <c r="W816" s="36" t="s">
        <v>524</v>
      </c>
      <c r="X816" s="44" t="s">
        <v>230</v>
      </c>
      <c r="Y816" s="41" t="s">
        <v>1364</v>
      </c>
      <c r="Z816" s="47" t="n">
        <v>42681</v>
      </c>
      <c r="AA816" s="35" t="s">
        <v>526</v>
      </c>
    </row>
    <row r="817" customFormat="false" ht="79.5" hidden="false" customHeight="true" outlineLevel="0" collapsed="false">
      <c r="A817" s="34" t="n">
        <v>816</v>
      </c>
      <c r="B817" s="37" t="s">
        <v>352</v>
      </c>
      <c r="C817" s="45" t="s">
        <v>1365</v>
      </c>
      <c r="D817" s="43" t="s">
        <v>1366</v>
      </c>
      <c r="E817" s="35" t="s">
        <v>268</v>
      </c>
      <c r="F817" s="39" t="s">
        <v>1367</v>
      </c>
      <c r="G817" s="43" t="s">
        <v>1368</v>
      </c>
      <c r="H817" s="44" t="s">
        <v>1369</v>
      </c>
      <c r="I817" s="45" t="s">
        <v>1370</v>
      </c>
      <c r="J817" s="36"/>
      <c r="K817" s="36"/>
      <c r="L817" s="45"/>
      <c r="M817" s="36" t="s">
        <v>521</v>
      </c>
      <c r="N817" s="40" t="n">
        <v>2000</v>
      </c>
      <c r="O817" s="35"/>
      <c r="P817" s="35" t="s">
        <v>265</v>
      </c>
      <c r="Q817" s="35" t="s">
        <v>67</v>
      </c>
      <c r="R817" s="35" t="s">
        <v>144</v>
      </c>
      <c r="S817" s="42" t="n">
        <v>2</v>
      </c>
      <c r="T817" s="35" t="s">
        <v>784</v>
      </c>
      <c r="U817" s="35" t="s">
        <v>537</v>
      </c>
      <c r="V817" s="36" t="s">
        <v>284</v>
      </c>
      <c r="W817" s="36" t="s">
        <v>524</v>
      </c>
      <c r="X817" s="43" t="s">
        <v>864</v>
      </c>
      <c r="Y817" s="41" t="s">
        <v>1371</v>
      </c>
      <c r="Z817" s="47" t="n">
        <v>43731</v>
      </c>
      <c r="AA817" s="35" t="s">
        <v>526</v>
      </c>
    </row>
    <row r="818" customFormat="false" ht="79.5" hidden="false" customHeight="true" outlineLevel="0" collapsed="false">
      <c r="A818" s="34" t="n">
        <v>817</v>
      </c>
      <c r="B818" s="37" t="s">
        <v>352</v>
      </c>
      <c r="C818" s="45" t="s">
        <v>1365</v>
      </c>
      <c r="D818" s="43" t="s">
        <v>1366</v>
      </c>
      <c r="E818" s="35" t="s">
        <v>268</v>
      </c>
      <c r="F818" s="39" t="s">
        <v>1376</v>
      </c>
      <c r="G818" s="43" t="s">
        <v>1368</v>
      </c>
      <c r="H818" s="44" t="s">
        <v>1369</v>
      </c>
      <c r="I818" s="45" t="s">
        <v>1377</v>
      </c>
      <c r="J818" s="36"/>
      <c r="K818" s="36"/>
      <c r="L818" s="45"/>
      <c r="M818" s="36" t="s">
        <v>521</v>
      </c>
      <c r="N818" s="40" t="n">
        <v>2000</v>
      </c>
      <c r="O818" s="35"/>
      <c r="P818" s="35" t="s">
        <v>265</v>
      </c>
      <c r="Q818" s="35" t="s">
        <v>67</v>
      </c>
      <c r="R818" s="35" t="s">
        <v>144</v>
      </c>
      <c r="S818" s="42" t="n">
        <v>2</v>
      </c>
      <c r="T818" s="35" t="s">
        <v>784</v>
      </c>
      <c r="U818" s="35" t="s">
        <v>537</v>
      </c>
      <c r="V818" s="36" t="s">
        <v>284</v>
      </c>
      <c r="W818" s="36" t="s">
        <v>524</v>
      </c>
      <c r="X818" s="44" t="s">
        <v>267</v>
      </c>
      <c r="Y818" s="41" t="s">
        <v>1378</v>
      </c>
      <c r="Z818" s="47" t="n">
        <v>43578</v>
      </c>
      <c r="AA818" s="35" t="s">
        <v>526</v>
      </c>
    </row>
    <row r="819" customFormat="false" ht="79.5" hidden="false" customHeight="true" outlineLevel="0" collapsed="false">
      <c r="A819" s="34" t="n">
        <v>818</v>
      </c>
      <c r="B819" s="37" t="s">
        <v>352</v>
      </c>
      <c r="C819" s="45" t="s">
        <v>1365</v>
      </c>
      <c r="D819" s="43" t="s">
        <v>1366</v>
      </c>
      <c r="E819" s="35" t="s">
        <v>268</v>
      </c>
      <c r="F819" s="39" t="s">
        <v>1382</v>
      </c>
      <c r="G819" s="43" t="s">
        <v>1368</v>
      </c>
      <c r="H819" s="44" t="s">
        <v>1369</v>
      </c>
      <c r="I819" s="45" t="s">
        <v>1370</v>
      </c>
      <c r="J819" s="36"/>
      <c r="K819" s="36"/>
      <c r="L819" s="45"/>
      <c r="M819" s="36" t="s">
        <v>521</v>
      </c>
      <c r="N819" s="40" t="n">
        <v>2000</v>
      </c>
      <c r="O819" s="35"/>
      <c r="P819" s="35" t="s">
        <v>265</v>
      </c>
      <c r="Q819" s="35" t="s">
        <v>67</v>
      </c>
      <c r="R819" s="35" t="s">
        <v>144</v>
      </c>
      <c r="S819" s="42" t="n">
        <v>2</v>
      </c>
      <c r="T819" s="35" t="s">
        <v>784</v>
      </c>
      <c r="U819" s="35" t="s">
        <v>537</v>
      </c>
      <c r="V819" s="36" t="s">
        <v>284</v>
      </c>
      <c r="W819" s="36" t="s">
        <v>524</v>
      </c>
      <c r="X819" s="43" t="s">
        <v>861</v>
      </c>
      <c r="Y819" s="41" t="s">
        <v>1383</v>
      </c>
      <c r="Z819" s="47" t="n">
        <v>43159</v>
      </c>
      <c r="AA819" s="35" t="s">
        <v>526</v>
      </c>
    </row>
    <row r="820" customFormat="false" ht="64.5" hidden="false" customHeight="true" outlineLevel="0" collapsed="false">
      <c r="A820" s="34" t="n">
        <v>819</v>
      </c>
      <c r="B820" s="37" t="s">
        <v>352</v>
      </c>
      <c r="C820" s="45" t="s">
        <v>1561</v>
      </c>
      <c r="D820" s="43" t="s">
        <v>1562</v>
      </c>
      <c r="E820" s="35" t="s">
        <v>211</v>
      </c>
      <c r="F820" s="39" t="s">
        <v>1563</v>
      </c>
      <c r="G820" s="43" t="s">
        <v>1564</v>
      </c>
      <c r="H820" s="44" t="s">
        <v>1565</v>
      </c>
      <c r="I820" s="45" t="s">
        <v>1566</v>
      </c>
      <c r="J820" s="36"/>
      <c r="K820" s="36"/>
      <c r="L820" s="45"/>
      <c r="M820" s="36" t="s">
        <v>521</v>
      </c>
      <c r="N820" s="40" t="n">
        <v>1000</v>
      </c>
      <c r="O820" s="35"/>
      <c r="P820" s="35" t="s">
        <v>265</v>
      </c>
      <c r="Q820" s="35" t="s">
        <v>67</v>
      </c>
      <c r="R820" s="35" t="s">
        <v>68</v>
      </c>
      <c r="S820" s="42" t="n">
        <v>2</v>
      </c>
      <c r="T820" s="35" t="s">
        <v>64</v>
      </c>
      <c r="U820" s="35" t="s">
        <v>537</v>
      </c>
      <c r="V820" s="36" t="s">
        <v>284</v>
      </c>
      <c r="W820" s="36" t="s">
        <v>524</v>
      </c>
      <c r="X820" s="44" t="s">
        <v>210</v>
      </c>
      <c r="Y820" s="41" t="s">
        <v>1567</v>
      </c>
      <c r="Z820" s="47" t="n">
        <v>45694</v>
      </c>
      <c r="AA820" s="35" t="s">
        <v>526</v>
      </c>
    </row>
    <row r="821" customFormat="false" ht="34.5" hidden="false" customHeight="true" outlineLevel="0" collapsed="false">
      <c r="A821" s="34" t="n">
        <v>820</v>
      </c>
      <c r="B821" s="37" t="s">
        <v>352</v>
      </c>
      <c r="C821" s="36" t="s">
        <v>100</v>
      </c>
      <c r="D821" s="44" t="s">
        <v>101</v>
      </c>
      <c r="E821" s="35" t="s">
        <v>268</v>
      </c>
      <c r="F821" s="39" t="s">
        <v>2412</v>
      </c>
      <c r="G821" s="43" t="s">
        <v>2413</v>
      </c>
      <c r="H821" s="44" t="s">
        <v>99</v>
      </c>
      <c r="I821" s="45" t="s">
        <v>1741</v>
      </c>
      <c r="J821" s="36"/>
      <c r="K821" s="36"/>
      <c r="L821" s="45"/>
      <c r="M821" s="36" t="s">
        <v>2414</v>
      </c>
      <c r="N821" s="40" t="n">
        <v>2500</v>
      </c>
      <c r="O821" s="35"/>
      <c r="P821" s="35" t="s">
        <v>2415</v>
      </c>
      <c r="Q821" s="35" t="s">
        <v>67</v>
      </c>
      <c r="R821" s="35" t="s">
        <v>113</v>
      </c>
      <c r="S821" s="42" t="n">
        <v>2</v>
      </c>
      <c r="T821" s="35" t="s">
        <v>64</v>
      </c>
      <c r="U821" s="35" t="s">
        <v>204</v>
      </c>
      <c r="V821" s="36" t="s">
        <v>284</v>
      </c>
      <c r="W821" s="36" t="s">
        <v>524</v>
      </c>
      <c r="X821" s="44" t="s">
        <v>210</v>
      </c>
      <c r="Y821" s="41" t="s">
        <v>2416</v>
      </c>
      <c r="Z821" s="47" t="n">
        <v>38372</v>
      </c>
      <c r="AA821" s="35" t="s">
        <v>526</v>
      </c>
    </row>
    <row r="822" customFormat="false" ht="34.5" hidden="false" customHeight="true" outlineLevel="0" collapsed="false">
      <c r="A822" s="34" t="n">
        <v>821</v>
      </c>
      <c r="B822" s="37" t="s">
        <v>352</v>
      </c>
      <c r="C822" s="36" t="s">
        <v>100</v>
      </c>
      <c r="D822" s="44" t="s">
        <v>101</v>
      </c>
      <c r="E822" s="35" t="s">
        <v>268</v>
      </c>
      <c r="F822" s="39" t="s">
        <v>2417</v>
      </c>
      <c r="G822" s="43" t="s">
        <v>2418</v>
      </c>
      <c r="H822" s="44" t="s">
        <v>99</v>
      </c>
      <c r="I822" s="45" t="s">
        <v>1741</v>
      </c>
      <c r="J822" s="36"/>
      <c r="K822" s="36"/>
      <c r="L822" s="45"/>
      <c r="M822" s="36" t="s">
        <v>2414</v>
      </c>
      <c r="N822" s="40" t="n">
        <v>2000</v>
      </c>
      <c r="O822" s="35"/>
      <c r="P822" s="35" t="s">
        <v>2415</v>
      </c>
      <c r="Q822" s="35" t="s">
        <v>67</v>
      </c>
      <c r="R822" s="35" t="s">
        <v>91</v>
      </c>
      <c r="S822" s="42" t="n">
        <v>4</v>
      </c>
      <c r="T822" s="35" t="s">
        <v>98</v>
      </c>
      <c r="U822" s="35" t="s">
        <v>204</v>
      </c>
      <c r="V822" s="36" t="s">
        <v>284</v>
      </c>
      <c r="W822" s="36" t="s">
        <v>524</v>
      </c>
      <c r="X822" s="44" t="s">
        <v>210</v>
      </c>
      <c r="Y822" s="41" t="s">
        <v>2419</v>
      </c>
      <c r="Z822" s="47" t="n">
        <v>38625</v>
      </c>
      <c r="AA822" s="35" t="s">
        <v>526</v>
      </c>
    </row>
    <row r="823" customFormat="false" ht="64.5" hidden="false" customHeight="true" outlineLevel="0" collapsed="false">
      <c r="A823" s="34" t="n">
        <v>822</v>
      </c>
      <c r="B823" s="37" t="s">
        <v>352</v>
      </c>
      <c r="C823" s="36" t="s">
        <v>2420</v>
      </c>
      <c r="D823" s="44" t="s">
        <v>2421</v>
      </c>
      <c r="E823" s="35" t="s">
        <v>268</v>
      </c>
      <c r="F823" s="39" t="s">
        <v>2422</v>
      </c>
      <c r="G823" s="43" t="s">
        <v>2423</v>
      </c>
      <c r="H823" s="44" t="s">
        <v>2424</v>
      </c>
      <c r="I823" s="45" t="s">
        <v>2425</v>
      </c>
      <c r="J823" s="36"/>
      <c r="K823" s="36"/>
      <c r="L823" s="45"/>
      <c r="M823" s="36" t="s">
        <v>2414</v>
      </c>
      <c r="N823" s="40" t="n">
        <v>2000</v>
      </c>
      <c r="O823" s="35"/>
      <c r="P823" s="35" t="s">
        <v>2415</v>
      </c>
      <c r="Q823" s="35" t="s">
        <v>67</v>
      </c>
      <c r="R823" s="35" t="s">
        <v>91</v>
      </c>
      <c r="S823" s="42" t="n">
        <v>3</v>
      </c>
      <c r="T823" s="35" t="s">
        <v>98</v>
      </c>
      <c r="U823" s="35" t="s">
        <v>204</v>
      </c>
      <c r="V823" s="36" t="s">
        <v>284</v>
      </c>
      <c r="W823" s="36" t="s">
        <v>524</v>
      </c>
      <c r="X823" s="44" t="s">
        <v>210</v>
      </c>
      <c r="Y823" s="41" t="s">
        <v>2426</v>
      </c>
      <c r="Z823" s="47" t="n">
        <v>39902</v>
      </c>
      <c r="AA823" s="35" t="s">
        <v>526</v>
      </c>
    </row>
  </sheetData>
  <conditionalFormatting sqref="J2:J3000">
    <cfRule type="expression" priority="2" aboveAverage="0" equalAverage="0" bottom="0" percent="0" rank="0" text="" dxfId="16">
      <formula>$J2="보유"</formula>
    </cfRule>
  </conditionalFormatting>
  <conditionalFormatting sqref="L2:L3000">
    <cfRule type="expression" priority="3" aboveAverage="0" equalAverage="0" bottom="0" percent="0" rank="0" text="" dxfId="19">
      <formula>LEN($L2)&gt;0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0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33" t="s">
        <v>30</v>
      </c>
      <c r="B1" s="33" t="s">
        <v>2427</v>
      </c>
      <c r="C1" s="33" t="s">
        <v>2428</v>
      </c>
    </row>
    <row r="2" customFormat="false" ht="19.5" hidden="false" customHeight="true" outlineLevel="0" collapsed="false">
      <c r="A2" s="48" t="s">
        <v>207</v>
      </c>
      <c r="B2" s="43" t="s">
        <v>208</v>
      </c>
      <c r="C2" s="34" t="n">
        <v>4</v>
      </c>
    </row>
    <row r="3" customFormat="false" ht="34.5" hidden="false" customHeight="true" outlineLevel="0" collapsed="false">
      <c r="A3" s="48" t="s">
        <v>1608</v>
      </c>
      <c r="B3" s="43" t="s">
        <v>1609</v>
      </c>
      <c r="C3" s="34" t="n">
        <v>1</v>
      </c>
    </row>
    <row r="4" customFormat="false" ht="19.5" hidden="false" customHeight="true" outlineLevel="0" collapsed="false">
      <c r="A4" s="48" t="s">
        <v>219</v>
      </c>
      <c r="B4" s="43" t="s">
        <v>220</v>
      </c>
      <c r="C4" s="34" t="n">
        <v>2</v>
      </c>
    </row>
    <row r="5" customFormat="false" ht="34.5" hidden="false" customHeight="true" outlineLevel="0" collapsed="false">
      <c r="A5" s="48" t="s">
        <v>531</v>
      </c>
      <c r="B5" s="43" t="s">
        <v>532</v>
      </c>
      <c r="C5" s="34" t="n">
        <v>1</v>
      </c>
    </row>
    <row r="6" customFormat="false" ht="34.5" hidden="false" customHeight="true" outlineLevel="0" collapsed="false">
      <c r="A6" s="48" t="s">
        <v>1619</v>
      </c>
      <c r="B6" s="43" t="s">
        <v>1620</v>
      </c>
      <c r="C6" s="34" t="n">
        <v>3</v>
      </c>
    </row>
    <row r="7" customFormat="false" ht="34.5" hidden="false" customHeight="true" outlineLevel="0" collapsed="false">
      <c r="A7" s="48" t="s">
        <v>1010</v>
      </c>
      <c r="B7" s="43" t="s">
        <v>1011</v>
      </c>
      <c r="C7" s="34" t="n">
        <v>1</v>
      </c>
    </row>
    <row r="8" customFormat="false" ht="19.5" hidden="false" customHeight="true" outlineLevel="0" collapsed="false">
      <c r="A8" s="48" t="s">
        <v>261</v>
      </c>
      <c r="B8" s="43" t="s">
        <v>262</v>
      </c>
      <c r="C8" s="34" t="n">
        <v>79</v>
      </c>
    </row>
    <row r="9" customFormat="false" ht="34.5" hidden="false" customHeight="true" outlineLevel="0" collapsed="false">
      <c r="A9" s="48" t="s">
        <v>1846</v>
      </c>
      <c r="B9" s="43" t="s">
        <v>1847</v>
      </c>
      <c r="C9" s="34" t="n">
        <v>1</v>
      </c>
    </row>
    <row r="10" customFormat="false" ht="34.5" hidden="false" customHeight="true" outlineLevel="0" collapsed="false">
      <c r="A10" s="48" t="s">
        <v>1103</v>
      </c>
      <c r="B10" s="43" t="s">
        <v>1104</v>
      </c>
      <c r="C10" s="34" t="n">
        <v>1</v>
      </c>
    </row>
    <row r="11" customFormat="false" ht="34.5" hidden="false" customHeight="true" outlineLevel="0" collapsed="false">
      <c r="A11" s="48" t="s">
        <v>228</v>
      </c>
      <c r="B11" s="43" t="s">
        <v>229</v>
      </c>
      <c r="C11" s="34" t="n">
        <v>6</v>
      </c>
    </row>
    <row r="12" customFormat="false" ht="34.5" hidden="false" customHeight="true" outlineLevel="0" collapsed="false">
      <c r="A12" s="48" t="s">
        <v>1854</v>
      </c>
      <c r="B12" s="43" t="s">
        <v>1855</v>
      </c>
      <c r="C12" s="34" t="n">
        <v>2</v>
      </c>
    </row>
    <row r="13" customFormat="false" ht="34.5" hidden="false" customHeight="true" outlineLevel="0" collapsed="false">
      <c r="A13" s="48" t="s">
        <v>1866</v>
      </c>
      <c r="B13" s="43" t="s">
        <v>1867</v>
      </c>
      <c r="C13" s="34" t="n">
        <v>1</v>
      </c>
    </row>
    <row r="14" customFormat="false" ht="34.5" hidden="false" customHeight="true" outlineLevel="0" collapsed="false">
      <c r="A14" s="48" t="s">
        <v>1115</v>
      </c>
      <c r="B14" s="43" t="s">
        <v>1116</v>
      </c>
      <c r="C14" s="34" t="n">
        <v>6</v>
      </c>
    </row>
    <row r="15" customFormat="false" ht="34.5" hidden="false" customHeight="true" outlineLevel="0" collapsed="false">
      <c r="A15" s="48" t="s">
        <v>1892</v>
      </c>
      <c r="B15" s="43" t="s">
        <v>1893</v>
      </c>
      <c r="C15" s="34" t="n">
        <v>1</v>
      </c>
    </row>
    <row r="16" customFormat="false" ht="34.5" hidden="false" customHeight="true" outlineLevel="0" collapsed="false">
      <c r="A16" s="48" t="s">
        <v>1899</v>
      </c>
      <c r="B16" s="43" t="s">
        <v>1900</v>
      </c>
      <c r="C16" s="34" t="n">
        <v>2</v>
      </c>
    </row>
    <row r="17" customFormat="false" ht="19.5" hidden="false" customHeight="true" outlineLevel="0" collapsed="false">
      <c r="A17" s="48" t="s">
        <v>238</v>
      </c>
      <c r="B17" s="43" t="s">
        <v>239</v>
      </c>
      <c r="C17" s="34" t="n">
        <v>98</v>
      </c>
    </row>
    <row r="18" customFormat="false" ht="34.5" hidden="false" customHeight="true" outlineLevel="0" collapsed="false">
      <c r="A18" s="48" t="s">
        <v>1137</v>
      </c>
      <c r="B18" s="43" t="s">
        <v>1138</v>
      </c>
      <c r="C18" s="34" t="n">
        <v>9</v>
      </c>
    </row>
    <row r="19" customFormat="false" ht="34.5" hidden="false" customHeight="true" outlineLevel="0" collapsed="false">
      <c r="A19" s="48" t="s">
        <v>1986</v>
      </c>
      <c r="B19" s="43" t="s">
        <v>1987</v>
      </c>
      <c r="C19" s="34" t="n">
        <v>3</v>
      </c>
    </row>
    <row r="20" customFormat="false" ht="34.5" hidden="false" customHeight="true" outlineLevel="0" collapsed="false">
      <c r="A20" s="48" t="s">
        <v>2000</v>
      </c>
      <c r="B20" s="43" t="s">
        <v>2001</v>
      </c>
      <c r="C20" s="34" t="n">
        <v>1</v>
      </c>
    </row>
    <row r="21" customFormat="false" ht="34.5" hidden="false" customHeight="true" outlineLevel="0" collapsed="false">
      <c r="A21" s="48" t="s">
        <v>1156</v>
      </c>
      <c r="B21" s="43" t="s">
        <v>1157</v>
      </c>
      <c r="C21" s="34" t="n">
        <v>6</v>
      </c>
    </row>
    <row r="22" customFormat="false" ht="34.5" hidden="false" customHeight="true" outlineLevel="0" collapsed="false">
      <c r="A22" s="48" t="s">
        <v>1507</v>
      </c>
      <c r="B22" s="43" t="s">
        <v>1508</v>
      </c>
      <c r="C22" s="34" t="n">
        <v>3</v>
      </c>
    </row>
    <row r="23" customFormat="false" ht="34.5" hidden="false" customHeight="true" outlineLevel="0" collapsed="false">
      <c r="A23" s="48" t="s">
        <v>2011</v>
      </c>
      <c r="B23" s="43" t="s">
        <v>2012</v>
      </c>
      <c r="C23" s="34" t="n">
        <v>1</v>
      </c>
    </row>
    <row r="24" customFormat="false" ht="34.5" hidden="false" customHeight="true" outlineLevel="0" collapsed="false">
      <c r="A24" s="48" t="s">
        <v>2018</v>
      </c>
      <c r="B24" s="43" t="s">
        <v>2019</v>
      </c>
      <c r="C24" s="34" t="n">
        <v>1</v>
      </c>
    </row>
    <row r="25" customFormat="false" ht="34.5" hidden="false" customHeight="true" outlineLevel="0" collapsed="false">
      <c r="A25" s="48" t="s">
        <v>1168</v>
      </c>
      <c r="B25" s="43" t="s">
        <v>1169</v>
      </c>
      <c r="C25" s="34" t="n">
        <v>4</v>
      </c>
    </row>
    <row r="26" customFormat="false" ht="34.5" hidden="false" customHeight="true" outlineLevel="0" collapsed="false">
      <c r="A26" s="48" t="s">
        <v>2024</v>
      </c>
      <c r="B26" s="43" t="s">
        <v>2025</v>
      </c>
      <c r="C26" s="34" t="n">
        <v>1</v>
      </c>
    </row>
    <row r="27" customFormat="false" ht="34.5" hidden="false" customHeight="true" outlineLevel="0" collapsed="false">
      <c r="A27" s="48" t="s">
        <v>1177</v>
      </c>
      <c r="B27" s="43" t="s">
        <v>1178</v>
      </c>
      <c r="C27" s="34" t="n">
        <v>6</v>
      </c>
    </row>
    <row r="28" customFormat="false" ht="34.5" hidden="false" customHeight="true" outlineLevel="0" collapsed="false">
      <c r="A28" s="48" t="s">
        <v>1193</v>
      </c>
      <c r="B28" s="43" t="s">
        <v>1194</v>
      </c>
      <c r="C28" s="34" t="n">
        <v>7</v>
      </c>
    </row>
    <row r="29" customFormat="false" ht="34.5" hidden="false" customHeight="true" outlineLevel="0" collapsed="false">
      <c r="A29" s="48" t="s">
        <v>2036</v>
      </c>
      <c r="B29" s="43" t="s">
        <v>2037</v>
      </c>
      <c r="C29" s="34" t="n">
        <v>6</v>
      </c>
    </row>
    <row r="30" customFormat="false" ht="34.5" hidden="false" customHeight="true" outlineLevel="0" collapsed="false">
      <c r="A30" s="48" t="s">
        <v>2429</v>
      </c>
      <c r="B30" s="43" t="s">
        <v>2058</v>
      </c>
      <c r="C30" s="34" t="n">
        <v>1</v>
      </c>
    </row>
    <row r="31" customFormat="false" ht="19.5" hidden="false" customHeight="true" outlineLevel="0" collapsed="false">
      <c r="A31" s="48" t="s">
        <v>2064</v>
      </c>
      <c r="B31" s="43" t="s">
        <v>2065</v>
      </c>
      <c r="C31" s="34" t="n">
        <v>4</v>
      </c>
    </row>
    <row r="32" customFormat="false" ht="19.5" hidden="false" customHeight="true" outlineLevel="0" collapsed="false">
      <c r="A32" s="48" t="s">
        <v>2078</v>
      </c>
      <c r="B32" s="43" t="s">
        <v>2079</v>
      </c>
      <c r="C32" s="34" t="n">
        <v>1</v>
      </c>
    </row>
    <row r="33" customFormat="false" ht="19.5" hidden="false" customHeight="true" outlineLevel="0" collapsed="false">
      <c r="A33" s="48" t="s">
        <v>254</v>
      </c>
      <c r="B33" s="43" t="s">
        <v>255</v>
      </c>
      <c r="C33" s="34" t="n">
        <v>7</v>
      </c>
    </row>
    <row r="34" customFormat="false" ht="19.5" hidden="false" customHeight="true" outlineLevel="0" collapsed="false">
      <c r="A34" s="48" t="s">
        <v>248</v>
      </c>
      <c r="B34" s="43" t="s">
        <v>249</v>
      </c>
      <c r="C34" s="34" t="n">
        <v>146</v>
      </c>
    </row>
    <row r="35" customFormat="false" ht="34.5" hidden="false" customHeight="true" outlineLevel="0" collapsed="false">
      <c r="A35" s="48" t="s">
        <v>1266</v>
      </c>
      <c r="B35" s="43" t="s">
        <v>1267</v>
      </c>
      <c r="C35" s="34" t="n">
        <v>3</v>
      </c>
    </row>
    <row r="36" customFormat="false" ht="34.5" hidden="false" customHeight="true" outlineLevel="0" collapsed="false">
      <c r="A36" s="48" t="s">
        <v>1273</v>
      </c>
      <c r="B36" s="43" t="s">
        <v>1274</v>
      </c>
      <c r="C36" s="34" t="n">
        <v>2</v>
      </c>
    </row>
    <row r="37" customFormat="false" ht="34.5" hidden="false" customHeight="true" outlineLevel="0" collapsed="false">
      <c r="A37" s="48" t="s">
        <v>2382</v>
      </c>
      <c r="B37" s="43" t="s">
        <v>2383</v>
      </c>
      <c r="C37" s="34" t="n">
        <v>1</v>
      </c>
    </row>
    <row r="38" customFormat="false" ht="34.5" hidden="false" customHeight="true" outlineLevel="0" collapsed="false">
      <c r="A38" s="48" t="s">
        <v>359</v>
      </c>
      <c r="B38" s="43" t="s">
        <v>360</v>
      </c>
      <c r="C38" s="34" t="n">
        <v>4</v>
      </c>
    </row>
    <row r="39" customFormat="false" ht="34.5" hidden="false" customHeight="true" outlineLevel="0" collapsed="false">
      <c r="A39" s="48" t="s">
        <v>1288</v>
      </c>
      <c r="B39" s="43" t="s">
        <v>1289</v>
      </c>
      <c r="C39" s="34" t="n">
        <v>6</v>
      </c>
    </row>
    <row r="40" customFormat="false" ht="34.5" hidden="false" customHeight="true" outlineLevel="0" collapsed="false">
      <c r="A40" s="48" t="s">
        <v>2392</v>
      </c>
      <c r="B40" s="43" t="s">
        <v>2393</v>
      </c>
      <c r="C40" s="34" t="n">
        <v>1</v>
      </c>
    </row>
    <row r="41" customFormat="false" ht="34.5" hidden="false" customHeight="true" outlineLevel="0" collapsed="false">
      <c r="A41" s="48" t="s">
        <v>2399</v>
      </c>
      <c r="B41" s="43" t="s">
        <v>2400</v>
      </c>
      <c r="C41" s="34" t="n">
        <v>1</v>
      </c>
    </row>
    <row r="42" customFormat="false" ht="34.5" hidden="false" customHeight="true" outlineLevel="0" collapsed="false">
      <c r="A42" s="48" t="s">
        <v>1298</v>
      </c>
      <c r="B42" s="43" t="s">
        <v>1299</v>
      </c>
      <c r="C42" s="34" t="n">
        <v>12</v>
      </c>
    </row>
    <row r="43" customFormat="false" ht="34.5" hidden="false" customHeight="true" outlineLevel="0" collapsed="false">
      <c r="A43" s="48" t="s">
        <v>308</v>
      </c>
      <c r="B43" s="43" t="s">
        <v>309</v>
      </c>
      <c r="C43" s="34" t="n">
        <v>4</v>
      </c>
    </row>
    <row r="44" customFormat="false" ht="34.5" hidden="false" customHeight="true" outlineLevel="0" collapsed="false">
      <c r="A44" s="48" t="s">
        <v>1321</v>
      </c>
      <c r="B44" s="43" t="s">
        <v>1322</v>
      </c>
      <c r="C44" s="34" t="n">
        <v>4</v>
      </c>
    </row>
    <row r="45" customFormat="false" ht="34.5" hidden="false" customHeight="true" outlineLevel="0" collapsed="false">
      <c r="A45" s="48" t="s">
        <v>1333</v>
      </c>
      <c r="B45" s="43" t="s">
        <v>1334</v>
      </c>
      <c r="C45" s="34" t="n">
        <v>4</v>
      </c>
    </row>
    <row r="46" customFormat="false" ht="34.5" hidden="false" customHeight="true" outlineLevel="0" collapsed="false">
      <c r="A46" s="48" t="s">
        <v>1342</v>
      </c>
      <c r="B46" s="43" t="s">
        <v>1343</v>
      </c>
      <c r="C46" s="34" t="n">
        <v>6</v>
      </c>
    </row>
    <row r="47" customFormat="false" ht="34.5" hidden="false" customHeight="true" outlineLevel="0" collapsed="false">
      <c r="A47" s="48" t="s">
        <v>2086</v>
      </c>
      <c r="B47" s="43" t="s">
        <v>2087</v>
      </c>
      <c r="C47" s="34" t="n">
        <v>2</v>
      </c>
    </row>
    <row r="48" customFormat="false" ht="34.5" hidden="false" customHeight="true" outlineLevel="0" collapsed="false">
      <c r="A48" s="48" t="s">
        <v>1358</v>
      </c>
      <c r="B48" s="43" t="s">
        <v>1359</v>
      </c>
      <c r="C48" s="34" t="n">
        <v>2</v>
      </c>
    </row>
    <row r="49" customFormat="false" ht="34.5" hidden="false" customHeight="true" outlineLevel="0" collapsed="false">
      <c r="A49" s="48" t="s">
        <v>1365</v>
      </c>
      <c r="B49" s="43" t="s">
        <v>1366</v>
      </c>
      <c r="C49" s="34" t="n">
        <v>8</v>
      </c>
    </row>
    <row r="50" customFormat="false" ht="49.5" hidden="false" customHeight="true" outlineLevel="0" collapsed="false">
      <c r="A50" s="48" t="s">
        <v>1384</v>
      </c>
      <c r="B50" s="43" t="s">
        <v>1385</v>
      </c>
      <c r="C50" s="34" t="n">
        <v>1</v>
      </c>
    </row>
    <row r="51" customFormat="false" ht="34.5" hidden="false" customHeight="true" outlineLevel="0" collapsed="false">
      <c r="A51" s="48" t="s">
        <v>2430</v>
      </c>
      <c r="B51" s="43" t="s">
        <v>1392</v>
      </c>
      <c r="C51" s="34" t="n">
        <v>1</v>
      </c>
    </row>
    <row r="52" customFormat="false" ht="19.5" hidden="false" customHeight="true" outlineLevel="0" collapsed="false">
      <c r="A52" s="48" t="s">
        <v>816</v>
      </c>
      <c r="B52" s="43" t="s">
        <v>817</v>
      </c>
      <c r="C52" s="34" t="n">
        <v>3</v>
      </c>
    </row>
    <row r="53" customFormat="false" ht="34.5" hidden="false" customHeight="true" outlineLevel="0" collapsed="false">
      <c r="A53" s="48" t="s">
        <v>1555</v>
      </c>
      <c r="B53" s="43" t="s">
        <v>1556</v>
      </c>
      <c r="C53" s="34" t="n">
        <v>15</v>
      </c>
    </row>
    <row r="54" customFormat="false" ht="19.5" hidden="false" customHeight="true" outlineLevel="0" collapsed="false">
      <c r="A54" s="48" t="s">
        <v>2117</v>
      </c>
      <c r="B54" s="43" t="s">
        <v>2118</v>
      </c>
      <c r="C54" s="34" t="n">
        <v>3</v>
      </c>
    </row>
    <row r="55" customFormat="false" ht="34.5" hidden="false" customHeight="true" outlineLevel="0" collapsed="false">
      <c r="A55" s="48" t="s">
        <v>1561</v>
      </c>
      <c r="B55" s="43" t="s">
        <v>1562</v>
      </c>
      <c r="C55" s="34" t="n">
        <v>2</v>
      </c>
    </row>
    <row r="56" customFormat="false" ht="19.5" hidden="false" customHeight="true" outlineLevel="0" collapsed="false">
      <c r="A56" s="48" t="s">
        <v>2235</v>
      </c>
      <c r="B56" s="43" t="s">
        <v>2236</v>
      </c>
      <c r="C56" s="34" t="n">
        <v>1</v>
      </c>
    </row>
    <row r="57" customFormat="false" ht="19.5" hidden="false" customHeight="true" outlineLevel="0" collapsed="false">
      <c r="A57" s="48" t="s">
        <v>2241</v>
      </c>
      <c r="B57" s="43" t="s">
        <v>2242</v>
      </c>
      <c r="C57" s="34" t="n">
        <v>2</v>
      </c>
    </row>
    <row r="58" customFormat="false" ht="19.5" hidden="false" customHeight="true" outlineLevel="0" collapsed="false">
      <c r="A58" s="48" t="s">
        <v>821</v>
      </c>
      <c r="B58" s="43" t="s">
        <v>822</v>
      </c>
      <c r="C58" s="34" t="n">
        <v>37</v>
      </c>
    </row>
    <row r="59" customFormat="false" ht="34.5" hidden="false" customHeight="true" outlineLevel="0" collapsed="false">
      <c r="A59" s="48" t="s">
        <v>2249</v>
      </c>
      <c r="B59" s="43" t="s">
        <v>2250</v>
      </c>
      <c r="C59" s="34" t="n">
        <v>1</v>
      </c>
    </row>
    <row r="60" customFormat="false" ht="34.5" hidden="false" customHeight="true" outlineLevel="0" collapsed="false">
      <c r="A60" s="48" t="s">
        <v>2255</v>
      </c>
      <c r="B60" s="43" t="s">
        <v>2256</v>
      </c>
      <c r="C60" s="34" t="n">
        <v>1</v>
      </c>
    </row>
    <row r="61" customFormat="false" ht="34.5" hidden="false" customHeight="true" outlineLevel="0" collapsed="false">
      <c r="A61" s="48" t="s">
        <v>2262</v>
      </c>
      <c r="B61" s="43" t="s">
        <v>2263</v>
      </c>
      <c r="C61" s="34" t="n">
        <v>1</v>
      </c>
    </row>
    <row r="62" customFormat="false" ht="34.5" hidden="false" customHeight="true" outlineLevel="0" collapsed="false">
      <c r="A62" s="48" t="s">
        <v>914</v>
      </c>
      <c r="B62" s="43" t="s">
        <v>915</v>
      </c>
      <c r="C62" s="34" t="n">
        <v>2</v>
      </c>
    </row>
    <row r="63" customFormat="false" ht="34.5" hidden="false" customHeight="true" outlineLevel="0" collapsed="false">
      <c r="A63" s="48" t="s">
        <v>921</v>
      </c>
      <c r="B63" s="43" t="s">
        <v>922</v>
      </c>
      <c r="C63" s="34" t="n">
        <v>6</v>
      </c>
    </row>
    <row r="64" customFormat="false" ht="34.5" hidden="false" customHeight="true" outlineLevel="0" collapsed="false">
      <c r="A64" s="48" t="s">
        <v>943</v>
      </c>
      <c r="B64" s="43" t="s">
        <v>944</v>
      </c>
      <c r="C64" s="34" t="n">
        <v>3</v>
      </c>
    </row>
    <row r="65" customFormat="false" ht="19.5" hidden="false" customHeight="true" outlineLevel="0" collapsed="false">
      <c r="A65" s="48" t="s">
        <v>954</v>
      </c>
      <c r="B65" s="43" t="s">
        <v>955</v>
      </c>
      <c r="C65" s="34" t="n">
        <v>2</v>
      </c>
    </row>
    <row r="66" customFormat="false" ht="19.5" hidden="false" customHeight="true" outlineLevel="0" collapsed="false">
      <c r="A66" s="48" t="s">
        <v>571</v>
      </c>
      <c r="B66" s="43" t="s">
        <v>572</v>
      </c>
      <c r="C66" s="34" t="n">
        <v>4</v>
      </c>
    </row>
    <row r="67" customFormat="false" ht="34.5" hidden="false" customHeight="true" outlineLevel="0" collapsed="false">
      <c r="A67" s="48" t="s">
        <v>970</v>
      </c>
      <c r="B67" s="43" t="s">
        <v>971</v>
      </c>
      <c r="C67" s="34" t="n">
        <v>1</v>
      </c>
    </row>
    <row r="68" customFormat="false" ht="34.5" hidden="false" customHeight="true" outlineLevel="0" collapsed="false">
      <c r="A68" s="48" t="s">
        <v>977</v>
      </c>
      <c r="B68" s="43" t="s">
        <v>978</v>
      </c>
      <c r="C68" s="34" t="n">
        <v>2</v>
      </c>
    </row>
    <row r="69" customFormat="false" ht="34.5" hidden="false" customHeight="true" outlineLevel="0" collapsed="false">
      <c r="A69" s="48" t="s">
        <v>1571</v>
      </c>
      <c r="B69" s="43" t="s">
        <v>1572</v>
      </c>
      <c r="C69" s="34" t="n">
        <v>2</v>
      </c>
    </row>
    <row r="70" customFormat="false" ht="34.5" hidden="false" customHeight="true" outlineLevel="0" collapsed="false">
      <c r="A70" s="48" t="s">
        <v>984</v>
      </c>
      <c r="B70" s="43" t="s">
        <v>985</v>
      </c>
      <c r="C70" s="34" t="n">
        <v>4</v>
      </c>
    </row>
    <row r="71" customFormat="false" ht="34.5" hidden="false" customHeight="true" outlineLevel="0" collapsed="false">
      <c r="A71" s="48" t="s">
        <v>991</v>
      </c>
      <c r="B71" s="43" t="s">
        <v>992</v>
      </c>
      <c r="C71" s="34" t="n">
        <v>2</v>
      </c>
    </row>
    <row r="72" customFormat="false" ht="34.5" hidden="false" customHeight="true" outlineLevel="0" collapsed="false">
      <c r="A72" s="48" t="s">
        <v>998</v>
      </c>
      <c r="B72" s="43" t="s">
        <v>999</v>
      </c>
      <c r="C72" s="34" t="n">
        <v>1</v>
      </c>
    </row>
    <row r="73" customFormat="false" ht="34.5" hidden="false" customHeight="true" outlineLevel="0" collapsed="false">
      <c r="A73" s="48" t="s">
        <v>1588</v>
      </c>
      <c r="B73" s="43" t="s">
        <v>1589</v>
      </c>
      <c r="C73" s="34" t="n">
        <v>1</v>
      </c>
    </row>
    <row r="74" customFormat="false" ht="34.5" hidden="false" customHeight="true" outlineLevel="0" collapsed="false">
      <c r="A74" s="48" t="s">
        <v>1594</v>
      </c>
      <c r="B74" s="43" t="s">
        <v>1595</v>
      </c>
      <c r="C74" s="34" t="n">
        <v>1</v>
      </c>
    </row>
    <row r="75" customFormat="false" ht="34.5" hidden="false" customHeight="true" outlineLevel="0" collapsed="false">
      <c r="A75" s="48" t="s">
        <v>1601</v>
      </c>
      <c r="B75" s="43" t="s">
        <v>1602</v>
      </c>
      <c r="C75" s="34" t="n">
        <v>1</v>
      </c>
    </row>
    <row r="76" customFormat="false" ht="34.5" hidden="false" customHeight="true" outlineLevel="0" collapsed="false">
      <c r="A76" s="48" t="s">
        <v>1420</v>
      </c>
      <c r="B76" s="43" t="s">
        <v>1421</v>
      </c>
      <c r="C76" s="34" t="n">
        <v>3</v>
      </c>
    </row>
    <row r="77" customFormat="false" ht="19.5" hidden="false" customHeight="true" outlineLevel="0" collapsed="false">
      <c r="A77" s="48" t="s">
        <v>2274</v>
      </c>
      <c r="B77" s="43" t="s">
        <v>2275</v>
      </c>
      <c r="C77" s="34" t="n">
        <v>2</v>
      </c>
    </row>
    <row r="78" customFormat="false" ht="34.5" hidden="false" customHeight="true" outlineLevel="0" collapsed="false">
      <c r="A78" s="48" t="s">
        <v>2281</v>
      </c>
      <c r="B78" s="43" t="s">
        <v>2282</v>
      </c>
      <c r="C78" s="34" t="n">
        <v>1</v>
      </c>
    </row>
    <row r="79" customFormat="false" ht="19.5" hidden="false" customHeight="true" outlineLevel="0" collapsed="false">
      <c r="A79" s="48" t="s">
        <v>297</v>
      </c>
      <c r="B79" s="43" t="s">
        <v>298</v>
      </c>
      <c r="C79" s="34" t="n">
        <v>20</v>
      </c>
    </row>
    <row r="80" customFormat="false" ht="19.5" hidden="false" customHeight="true" outlineLevel="0" collapsed="false">
      <c r="A80" s="48" t="s">
        <v>579</v>
      </c>
      <c r="B80" s="43" t="s">
        <v>580</v>
      </c>
      <c r="C80" s="34" t="n">
        <v>36</v>
      </c>
    </row>
    <row r="81" customFormat="false" ht="34.5" hidden="false" customHeight="true" outlineLevel="0" collapsed="false">
      <c r="A81" s="48" t="s">
        <v>1017</v>
      </c>
      <c r="B81" s="43" t="s">
        <v>1018</v>
      </c>
      <c r="C81" s="34" t="n">
        <v>1</v>
      </c>
    </row>
    <row r="82" customFormat="false" ht="19.5" hidden="false" customHeight="true" outlineLevel="0" collapsed="false">
      <c r="A82" s="48" t="s">
        <v>1632</v>
      </c>
      <c r="B82" s="43" t="s">
        <v>1633</v>
      </c>
      <c r="C82" s="34" t="n">
        <v>1</v>
      </c>
    </row>
    <row r="83" customFormat="false" ht="19.5" hidden="false" customHeight="true" outlineLevel="0" collapsed="false">
      <c r="A83" s="48" t="s">
        <v>1452</v>
      </c>
      <c r="B83" s="43" t="s">
        <v>1453</v>
      </c>
      <c r="C83" s="34" t="n">
        <v>31</v>
      </c>
    </row>
    <row r="84" customFormat="false" ht="34.5" hidden="false" customHeight="true" outlineLevel="0" collapsed="false">
      <c r="A84" s="48" t="s">
        <v>1675</v>
      </c>
      <c r="B84" s="43" t="s">
        <v>1676</v>
      </c>
      <c r="C84" s="34" t="n">
        <v>3</v>
      </c>
    </row>
    <row r="85" customFormat="false" ht="19.5" hidden="false" customHeight="true" outlineLevel="0" collapsed="false">
      <c r="A85" s="48" t="s">
        <v>2307</v>
      </c>
      <c r="B85" s="43" t="s">
        <v>2308</v>
      </c>
      <c r="C85" s="34" t="n">
        <v>2</v>
      </c>
    </row>
    <row r="86" customFormat="false" ht="34.5" hidden="false" customHeight="true" outlineLevel="0" collapsed="false">
      <c r="A86" s="48" t="s">
        <v>2317</v>
      </c>
      <c r="B86" s="43" t="s">
        <v>2318</v>
      </c>
      <c r="C86" s="34" t="n">
        <v>1</v>
      </c>
    </row>
    <row r="87" customFormat="false" ht="34.5" hidden="false" customHeight="true" outlineLevel="0" collapsed="false">
      <c r="A87" s="48" t="s">
        <v>2324</v>
      </c>
      <c r="B87" s="43" t="s">
        <v>2325</v>
      </c>
      <c r="C87" s="34" t="n">
        <v>1</v>
      </c>
    </row>
    <row r="88" customFormat="false" ht="34.5" hidden="false" customHeight="true" outlineLevel="0" collapsed="false">
      <c r="A88" s="48" t="s">
        <v>2330</v>
      </c>
      <c r="B88" s="43" t="s">
        <v>2331</v>
      </c>
      <c r="C88" s="34" t="n">
        <v>1</v>
      </c>
    </row>
    <row r="89" customFormat="false" ht="19.5" hidden="false" customHeight="true" outlineLevel="0" collapsed="false">
      <c r="A89" s="48" t="s">
        <v>622</v>
      </c>
      <c r="B89" s="43" t="s">
        <v>623</v>
      </c>
      <c r="C89" s="34" t="n">
        <v>36</v>
      </c>
    </row>
    <row r="90" customFormat="false" ht="34.5" hidden="false" customHeight="true" outlineLevel="0" collapsed="false">
      <c r="A90" s="48" t="s">
        <v>1041</v>
      </c>
      <c r="B90" s="43" t="s">
        <v>1042</v>
      </c>
      <c r="C90" s="34" t="n">
        <v>1</v>
      </c>
    </row>
    <row r="91" customFormat="false" ht="34.5" hidden="false" customHeight="true" outlineLevel="0" collapsed="false">
      <c r="A91" s="48" t="s">
        <v>1696</v>
      </c>
      <c r="B91" s="43" t="s">
        <v>1697</v>
      </c>
      <c r="C91" s="34" t="n">
        <v>1</v>
      </c>
    </row>
    <row r="92" customFormat="false" ht="34.5" hidden="false" customHeight="true" outlineLevel="0" collapsed="false">
      <c r="A92" s="48" t="s">
        <v>1048</v>
      </c>
      <c r="B92" s="43" t="s">
        <v>1049</v>
      </c>
      <c r="C92" s="34" t="n">
        <v>7</v>
      </c>
    </row>
    <row r="93" customFormat="false" ht="34.5" hidden="false" customHeight="true" outlineLevel="0" collapsed="false">
      <c r="A93" s="48" t="s">
        <v>286</v>
      </c>
      <c r="B93" s="43" t="s">
        <v>287</v>
      </c>
      <c r="C93" s="34" t="n">
        <v>2</v>
      </c>
    </row>
    <row r="94" customFormat="false" ht="49.5" hidden="false" customHeight="true" outlineLevel="0" collapsed="false">
      <c r="A94" s="48" t="s">
        <v>1720</v>
      </c>
      <c r="B94" s="43" t="s">
        <v>1721</v>
      </c>
      <c r="C94" s="34" t="n">
        <v>2</v>
      </c>
    </row>
    <row r="95" customFormat="false" ht="19.5" hidden="false" customHeight="true" outlineLevel="0" collapsed="false">
      <c r="A95" s="48" t="s">
        <v>318</v>
      </c>
      <c r="B95" s="43" t="s">
        <v>319</v>
      </c>
      <c r="C95" s="34" t="n">
        <v>34</v>
      </c>
    </row>
    <row r="96" customFormat="false" ht="34.5" hidden="false" customHeight="true" outlineLevel="0" collapsed="false">
      <c r="A96" s="48" t="s">
        <v>1782</v>
      </c>
      <c r="B96" s="43" t="s">
        <v>1783</v>
      </c>
      <c r="C96" s="34" t="n">
        <v>1</v>
      </c>
    </row>
    <row r="97" customFormat="false" ht="34.5" hidden="false" customHeight="true" outlineLevel="0" collapsed="false">
      <c r="A97" s="48" t="s">
        <v>1788</v>
      </c>
      <c r="B97" s="43" t="s">
        <v>1789</v>
      </c>
      <c r="C97" s="34" t="n">
        <v>1</v>
      </c>
    </row>
    <row r="98" customFormat="false" ht="34.5" hidden="false" customHeight="true" outlineLevel="0" collapsed="false">
      <c r="A98" s="48" t="s">
        <v>1795</v>
      </c>
      <c r="B98" s="43" t="s">
        <v>1796</v>
      </c>
      <c r="C98" s="34" t="n">
        <v>1</v>
      </c>
    </row>
    <row r="99" customFormat="false" ht="34.5" hidden="false" customHeight="true" outlineLevel="0" collapsed="false">
      <c r="A99" s="48" t="s">
        <v>2431</v>
      </c>
      <c r="B99" s="43" t="s">
        <v>1803</v>
      </c>
      <c r="C99" s="34" t="n">
        <v>1</v>
      </c>
    </row>
    <row r="100" customFormat="false" ht="19.5" hidden="false" customHeight="true" outlineLevel="0" collapsed="false">
      <c r="A100" s="48" t="s">
        <v>367</v>
      </c>
      <c r="B100" s="43" t="s">
        <v>368</v>
      </c>
      <c r="C100" s="34" t="n">
        <v>11</v>
      </c>
    </row>
    <row r="101" customFormat="false" ht="34.5" hidden="false" customHeight="true" outlineLevel="0" collapsed="false">
      <c r="A101" s="48" t="s">
        <v>1076</v>
      </c>
      <c r="B101" s="43" t="s">
        <v>1077</v>
      </c>
      <c r="C101" s="34" t="n">
        <v>1</v>
      </c>
    </row>
    <row r="102" customFormat="false" ht="34.5" hidden="false" customHeight="true" outlineLevel="0" collapsed="false">
      <c r="A102" s="48" t="s">
        <v>1083</v>
      </c>
      <c r="B102" s="43" t="s">
        <v>1084</v>
      </c>
      <c r="C102" s="34" t="n">
        <v>2</v>
      </c>
    </row>
    <row r="103" customFormat="false" ht="34.5" hidden="false" customHeight="true" outlineLevel="0" collapsed="false">
      <c r="A103" s="48" t="s">
        <v>276</v>
      </c>
      <c r="B103" s="43" t="s">
        <v>277</v>
      </c>
      <c r="C103" s="34" t="n">
        <v>3</v>
      </c>
    </row>
    <row r="104" customFormat="false" ht="19.5" hidden="false" customHeight="true" outlineLevel="0" collapsed="false">
      <c r="A104" s="48" t="s">
        <v>2337</v>
      </c>
      <c r="B104" s="43" t="s">
        <v>2338</v>
      </c>
      <c r="C104" s="34" t="n">
        <v>2</v>
      </c>
    </row>
    <row r="105" customFormat="false" ht="34.5" hidden="false" customHeight="true" outlineLevel="0" collapsed="false">
      <c r="A105" s="48" t="s">
        <v>2346</v>
      </c>
      <c r="B105" s="43" t="s">
        <v>2347</v>
      </c>
      <c r="C105" s="34" t="n">
        <v>1</v>
      </c>
    </row>
    <row r="106" customFormat="false" ht="34.5" hidden="false" customHeight="true" outlineLevel="0" collapsed="false">
      <c r="A106" s="48" t="s">
        <v>2353</v>
      </c>
      <c r="B106" s="43" t="s">
        <v>2354</v>
      </c>
      <c r="C106" s="34" t="n">
        <v>1</v>
      </c>
    </row>
    <row r="107" customFormat="false" ht="34.5" hidden="false" customHeight="true" outlineLevel="0" collapsed="false">
      <c r="A107" s="48" t="s">
        <v>2360</v>
      </c>
      <c r="B107" s="43" t="s">
        <v>2361</v>
      </c>
      <c r="C107" s="34" t="n">
        <v>1</v>
      </c>
    </row>
    <row r="108" customFormat="false" ht="19.5" hidden="false" customHeight="true" outlineLevel="0" collapsed="false">
      <c r="A108" s="48" t="s">
        <v>1092</v>
      </c>
      <c r="B108" s="43" t="s">
        <v>1093</v>
      </c>
      <c r="C108" s="34" t="n">
        <v>3</v>
      </c>
    </row>
    <row r="109" customFormat="false" ht="34.5" hidden="false" customHeight="true" outlineLevel="0" collapsed="false">
      <c r="A109" s="49" t="s">
        <v>2432</v>
      </c>
      <c r="B109" s="44" t="s">
        <v>2133</v>
      </c>
      <c r="C109" s="34" t="n">
        <v>3</v>
      </c>
    </row>
    <row r="110" customFormat="false" ht="19.5" hidden="false" customHeight="true" outlineLevel="0" collapsed="false">
      <c r="A110" s="49" t="s">
        <v>2433</v>
      </c>
      <c r="B110" s="44" t="s">
        <v>101</v>
      </c>
      <c r="C110" s="34" t="n">
        <v>2</v>
      </c>
    </row>
    <row r="111" customFormat="false" ht="34.5" hidden="false" customHeight="true" outlineLevel="0" collapsed="false">
      <c r="A111" s="49" t="s">
        <v>2434</v>
      </c>
      <c r="B111" s="44" t="s">
        <v>2149</v>
      </c>
      <c r="C111" s="34" t="n">
        <v>1</v>
      </c>
    </row>
    <row r="112" customFormat="false" ht="19.5" hidden="false" customHeight="true" outlineLevel="0" collapsed="false">
      <c r="A112" s="49" t="s">
        <v>2435</v>
      </c>
      <c r="B112" s="44" t="s">
        <v>2157</v>
      </c>
      <c r="C112" s="34" t="n">
        <v>6</v>
      </c>
    </row>
    <row r="113" customFormat="false" ht="34.5" hidden="false" customHeight="true" outlineLevel="0" collapsed="false">
      <c r="A113" s="49" t="s">
        <v>2436</v>
      </c>
      <c r="B113" s="44" t="s">
        <v>1399</v>
      </c>
      <c r="C113" s="34" t="n">
        <v>1</v>
      </c>
    </row>
    <row r="114" customFormat="false" ht="34.5" hidden="false" customHeight="true" outlineLevel="0" collapsed="false">
      <c r="A114" s="49" t="s">
        <v>2437</v>
      </c>
      <c r="B114" s="44" t="s">
        <v>1406</v>
      </c>
      <c r="C114" s="34" t="n">
        <v>1</v>
      </c>
    </row>
    <row r="115" customFormat="false" ht="34.5" hidden="false" customHeight="true" outlineLevel="0" collapsed="false">
      <c r="A115" s="49" t="s">
        <v>2438</v>
      </c>
      <c r="B115" s="44" t="s">
        <v>556</v>
      </c>
      <c r="C115" s="34" t="n">
        <v>1</v>
      </c>
    </row>
    <row r="116" customFormat="false" ht="34.5" hidden="false" customHeight="true" outlineLevel="0" collapsed="false">
      <c r="A116" s="49" t="s">
        <v>2439</v>
      </c>
      <c r="B116" s="44" t="s">
        <v>564</v>
      </c>
      <c r="C116" s="34" t="n">
        <v>1</v>
      </c>
    </row>
    <row r="117" customFormat="false" ht="34.5" hidden="false" customHeight="true" outlineLevel="0" collapsed="false">
      <c r="A117" s="49" t="s">
        <v>2440</v>
      </c>
      <c r="B117" s="44" t="s">
        <v>2421</v>
      </c>
      <c r="C117" s="34" t="n">
        <v>1</v>
      </c>
    </row>
    <row r="118" customFormat="false" ht="34.5" hidden="false" customHeight="true" outlineLevel="0" collapsed="false">
      <c r="A118" s="49" t="s">
        <v>2441</v>
      </c>
      <c r="B118" s="44" t="s">
        <v>2181</v>
      </c>
      <c r="C118" s="34" t="n">
        <v>1</v>
      </c>
    </row>
    <row r="119" customFormat="false" ht="19.5" hidden="false" customHeight="true" outlineLevel="0" collapsed="false">
      <c r="A119" s="48" t="s">
        <v>2442</v>
      </c>
      <c r="B119" s="43"/>
      <c r="C119" s="34"/>
    </row>
    <row r="120" customFormat="false" ht="19.5" hidden="false" customHeight="true" outlineLevel="0" collapsed="false">
      <c r="A120" s="49" t="s">
        <v>2443</v>
      </c>
      <c r="B120" s="43"/>
      <c r="C120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7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50" t="s">
        <v>2444</v>
      </c>
    </row>
    <row r="2" customFormat="false" ht="15" hidden="false" customHeight="false" outlineLevel="0" collapsed="false">
      <c r="A2" s="51" t="s">
        <v>2445</v>
      </c>
    </row>
    <row r="3" customFormat="false" ht="15" hidden="false" customHeight="false" outlineLevel="0" collapsed="false">
      <c r="A3" s="52" t="s">
        <v>2446</v>
      </c>
    </row>
    <row r="4" customFormat="false" ht="15" hidden="false" customHeight="false" outlineLevel="0" collapsed="false">
      <c r="A4" s="52" t="s">
        <v>2447</v>
      </c>
    </row>
    <row r="5" customFormat="false" ht="15" hidden="false" customHeight="false" outlineLevel="0" collapsed="false">
      <c r="A5" s="52" t="s">
        <v>2448</v>
      </c>
    </row>
    <row r="6" customFormat="false" ht="15" hidden="false" customHeight="false" outlineLevel="0" collapsed="false">
      <c r="A6" s="51" t="s">
        <v>2449</v>
      </c>
    </row>
    <row r="7" customFormat="false" ht="15" hidden="false" customHeight="false" outlineLevel="0" collapsed="false">
      <c r="A7" s="52" t="s">
        <v>2450</v>
      </c>
    </row>
    <row r="8" customFormat="false" ht="15" hidden="false" customHeight="false" outlineLevel="0" collapsed="false">
      <c r="A8" s="51" t="s">
        <v>2451</v>
      </c>
    </row>
    <row r="9" customFormat="false" ht="15" hidden="false" customHeight="false" outlineLevel="0" collapsed="false">
      <c r="A9" s="51" t="s">
        <v>2452</v>
      </c>
    </row>
    <row r="10" customFormat="false" ht="15" hidden="false" customHeight="false" outlineLevel="0" collapsed="false">
      <c r="A10" s="52" t="s">
        <v>2453</v>
      </c>
    </row>
    <row r="12" customFormat="false" ht="15" hidden="false" customHeight="false" outlineLevel="0" collapsed="false">
      <c r="A12" s="50" t="s">
        <v>2454</v>
      </c>
    </row>
    <row r="13" customFormat="false" ht="15" hidden="false" customHeight="false" outlineLevel="0" collapsed="false">
      <c r="A13" s="52" t="s">
        <v>2455</v>
      </c>
    </row>
    <row r="14" customFormat="false" ht="15" hidden="false" customHeight="false" outlineLevel="0" collapsed="false">
      <c r="A14" s="52" t="s">
        <v>2456</v>
      </c>
    </row>
    <row r="15" customFormat="false" ht="15" hidden="false" customHeight="false" outlineLevel="0" collapsed="false">
      <c r="A15" s="51" t="s">
        <v>2457</v>
      </c>
    </row>
    <row r="16" customFormat="false" ht="15" hidden="false" customHeight="false" outlineLevel="0" collapsed="false">
      <c r="A16" s="51" t="s">
        <v>2458</v>
      </c>
    </row>
    <row r="17" customFormat="false" ht="15" hidden="false" customHeight="false" outlineLevel="0" collapsed="false">
      <c r="A17" s="52" t="s">
        <v>2459</v>
      </c>
    </row>
    <row r="18" customFormat="false" ht="15" hidden="false" customHeight="false" outlineLevel="0" collapsed="false">
      <c r="A18" s="52" t="s">
        <v>2460</v>
      </c>
    </row>
    <row r="20" customFormat="false" ht="16.4" hidden="false" customHeight="false" outlineLevel="0" collapsed="false">
      <c r="A20" s="50" t="s">
        <v>2461</v>
      </c>
    </row>
    <row r="21" customFormat="false" ht="15" hidden="false" customHeight="false" outlineLevel="0" collapsed="false">
      <c r="A21" s="29" t="s">
        <v>2462</v>
      </c>
      <c r="B21" s="29" t="s">
        <v>9</v>
      </c>
      <c r="C21" s="29" t="s">
        <v>11</v>
      </c>
      <c r="D21" s="29" t="s">
        <v>17</v>
      </c>
      <c r="E21" s="29" t="s">
        <v>16</v>
      </c>
      <c r="F21" s="29" t="s">
        <v>34</v>
      </c>
      <c r="G21" s="29" t="s">
        <v>15</v>
      </c>
      <c r="H21" s="29" t="s">
        <v>20</v>
      </c>
    </row>
    <row r="22" customFormat="false" ht="15" hidden="false" customHeight="false" outlineLevel="0" collapsed="false">
      <c r="A22" s="53" t="s">
        <v>62</v>
      </c>
      <c r="B22" s="53" t="s">
        <v>59</v>
      </c>
      <c r="C22" s="53" t="s">
        <v>61</v>
      </c>
      <c r="D22" s="53" t="s">
        <v>66</v>
      </c>
      <c r="E22" s="53" t="s">
        <v>80</v>
      </c>
      <c r="F22" s="53" t="s">
        <v>472</v>
      </c>
      <c r="G22" s="53" t="s">
        <v>98</v>
      </c>
      <c r="H22" s="53" t="s">
        <v>67</v>
      </c>
    </row>
    <row r="23" customFormat="false" ht="15" hidden="false" customHeight="false" outlineLevel="0" collapsed="false">
      <c r="A23" s="53" t="s">
        <v>78</v>
      </c>
      <c r="B23" s="53" t="s">
        <v>372</v>
      </c>
      <c r="C23" s="53" t="s">
        <v>198</v>
      </c>
      <c r="D23" s="53" t="s">
        <v>405</v>
      </c>
      <c r="E23" s="53" t="s">
        <v>65</v>
      </c>
      <c r="F23" s="53" t="s">
        <v>489</v>
      </c>
      <c r="G23" s="53" t="s">
        <v>173</v>
      </c>
      <c r="H23" s="53" t="s">
        <v>112</v>
      </c>
    </row>
    <row r="24" customFormat="false" ht="15" hidden="false" customHeight="false" outlineLevel="0" collapsed="false">
      <c r="A24" s="53" t="s">
        <v>110</v>
      </c>
      <c r="B24" s="53" t="s">
        <v>405</v>
      </c>
      <c r="C24" s="53"/>
      <c r="D24" s="53" t="s">
        <v>471</v>
      </c>
      <c r="E24" s="53"/>
      <c r="F24" s="53" t="s">
        <v>491</v>
      </c>
      <c r="G24" s="53" t="s">
        <v>64</v>
      </c>
      <c r="H24" s="53" t="s">
        <v>314</v>
      </c>
    </row>
    <row r="25" customFormat="false" ht="15" hidden="false" customHeight="false" outlineLevel="0" collapsed="false">
      <c r="A25" s="53" t="s">
        <v>126</v>
      </c>
      <c r="B25" s="53" t="s">
        <v>440</v>
      </c>
      <c r="C25" s="53"/>
      <c r="D25" s="53"/>
      <c r="E25" s="53"/>
      <c r="F25" s="53"/>
      <c r="G25" s="53" t="s">
        <v>246</v>
      </c>
      <c r="H25" s="53" t="s">
        <v>189</v>
      </c>
    </row>
    <row r="26" customFormat="false" ht="15" hidden="false" customHeight="false" outlineLevel="0" collapsed="false">
      <c r="A26" s="53" t="s">
        <v>131</v>
      </c>
      <c r="B26" s="53" t="s">
        <v>470</v>
      </c>
      <c r="C26" s="53"/>
      <c r="D26" s="53"/>
      <c r="E26" s="53"/>
      <c r="F26" s="53"/>
      <c r="G26" s="53" t="s">
        <v>90</v>
      </c>
      <c r="H26" s="53"/>
    </row>
    <row r="27" customFormat="false" ht="15" hidden="false" customHeight="false" outlineLevel="0" collapsed="false">
      <c r="A27" s="53" t="s">
        <v>155</v>
      </c>
      <c r="B27" s="53" t="s">
        <v>490</v>
      </c>
      <c r="C27" s="53"/>
      <c r="D27" s="53"/>
      <c r="E27" s="53"/>
      <c r="F27" s="53"/>
      <c r="G27" s="53" t="s">
        <v>127</v>
      </c>
      <c r="H27" s="53"/>
    </row>
    <row r="28" customFormat="false" ht="15" hidden="false" customHeight="false" outlineLevel="0" collapsed="false">
      <c r="A28" s="53" t="s">
        <v>168</v>
      </c>
      <c r="B28" s="53"/>
      <c r="C28" s="53"/>
      <c r="D28" s="53"/>
      <c r="E28" s="53"/>
      <c r="F28" s="53"/>
      <c r="G28" s="53"/>
      <c r="H28" s="53"/>
    </row>
    <row r="29" customFormat="false" ht="15" hidden="false" customHeight="false" outlineLevel="0" collapsed="false">
      <c r="A29" s="53" t="s">
        <v>187</v>
      </c>
      <c r="B29" s="53"/>
      <c r="C29" s="53"/>
      <c r="D29" s="53"/>
      <c r="E29" s="53"/>
      <c r="F29" s="53"/>
      <c r="G29" s="53"/>
      <c r="H29" s="53"/>
    </row>
    <row r="30" customFormat="false" ht="15" hidden="false" customHeight="false" outlineLevel="0" collapsed="false">
      <c r="A30" s="53" t="s">
        <v>199</v>
      </c>
      <c r="B30" s="53"/>
      <c r="C30" s="53"/>
      <c r="D30" s="53"/>
      <c r="E30" s="53"/>
      <c r="F30" s="53"/>
      <c r="G30" s="53"/>
      <c r="H30" s="53"/>
    </row>
    <row r="31" customFormat="false" ht="15" hidden="false" customHeight="false" outlineLevel="0" collapsed="false">
      <c r="A31" s="53" t="s">
        <v>233</v>
      </c>
      <c r="B31" s="53"/>
      <c r="C31" s="53"/>
      <c r="D31" s="53"/>
      <c r="E31" s="53"/>
      <c r="F31" s="53"/>
      <c r="G31" s="53"/>
      <c r="H31" s="53"/>
    </row>
    <row r="32" customFormat="false" ht="15" hidden="false" customHeight="false" outlineLevel="0" collapsed="false">
      <c r="A32" s="53" t="s">
        <v>264</v>
      </c>
      <c r="B32" s="53"/>
      <c r="C32" s="53"/>
      <c r="D32" s="53"/>
      <c r="E32" s="53"/>
      <c r="F32" s="53"/>
      <c r="G32" s="53"/>
      <c r="H32" s="53"/>
    </row>
    <row r="33" customFormat="false" ht="15" hidden="false" customHeight="false" outlineLevel="0" collapsed="false">
      <c r="A33" s="53" t="s">
        <v>291</v>
      </c>
      <c r="B33" s="53"/>
      <c r="C33" s="53"/>
      <c r="D33" s="53"/>
      <c r="E33" s="53"/>
      <c r="F33" s="53"/>
      <c r="G33" s="53"/>
      <c r="H33" s="53"/>
    </row>
    <row r="34" customFormat="false" ht="15" hidden="false" customHeight="false" outlineLevel="0" collapsed="false">
      <c r="A34" s="53" t="s">
        <v>303</v>
      </c>
      <c r="B34" s="53"/>
      <c r="C34" s="53"/>
      <c r="D34" s="53"/>
      <c r="E34" s="53"/>
      <c r="F34" s="53"/>
      <c r="G34" s="53"/>
      <c r="H34" s="53"/>
    </row>
    <row r="35" customFormat="false" ht="15" hidden="false" customHeight="false" outlineLevel="0" collapsed="false">
      <c r="A35" s="53" t="s">
        <v>324</v>
      </c>
      <c r="B35" s="53"/>
      <c r="C35" s="53"/>
      <c r="D35" s="53"/>
      <c r="E35" s="53"/>
      <c r="F35" s="53"/>
      <c r="G35" s="53"/>
      <c r="H35" s="53"/>
    </row>
    <row r="36" customFormat="false" ht="15" hidden="false" customHeight="false" outlineLevel="0" collapsed="false">
      <c r="A36" s="53" t="s">
        <v>2463</v>
      </c>
      <c r="B36" s="53"/>
      <c r="C36" s="53"/>
      <c r="D36" s="53"/>
      <c r="E36" s="53"/>
      <c r="F36" s="53"/>
      <c r="G36" s="53"/>
      <c r="H36" s="53"/>
    </row>
    <row r="37" customFormat="false" ht="15" hidden="false" customHeight="false" outlineLevel="0" collapsed="false">
      <c r="A37" s="53" t="s">
        <v>352</v>
      </c>
      <c r="B37" s="53"/>
      <c r="C37" s="53"/>
      <c r="D37" s="53"/>
      <c r="E37" s="53"/>
      <c r="F37" s="53"/>
      <c r="G37" s="53"/>
      <c r="H37" s="53"/>
    </row>
    <row r="38" customFormat="false" ht="15" hidden="false" customHeight="false" outlineLevel="0" collapsed="false">
      <c r="A38" s="53"/>
      <c r="B38" s="53"/>
      <c r="C38" s="53"/>
      <c r="D38" s="53"/>
      <c r="E38" s="53"/>
      <c r="F38" s="53"/>
      <c r="G38" s="53"/>
      <c r="H38" s="53"/>
    </row>
    <row r="39" customFormat="false" ht="15" hidden="false" customHeight="false" outlineLevel="0" collapsed="false">
      <c r="A39" s="53"/>
      <c r="B39" s="53"/>
      <c r="C39" s="53"/>
      <c r="D39" s="53"/>
      <c r="E39" s="53"/>
      <c r="F39" s="53"/>
      <c r="G39" s="53"/>
      <c r="H39" s="53"/>
    </row>
    <row r="40" customFormat="false" ht="15" hidden="false" customHeight="false" outlineLevel="0" collapsed="false">
      <c r="A40" s="53"/>
      <c r="B40" s="53"/>
      <c r="C40" s="53"/>
      <c r="D40" s="53"/>
      <c r="E40" s="53"/>
      <c r="F40" s="53"/>
      <c r="G40" s="53"/>
      <c r="H40" s="53"/>
    </row>
    <row r="41" customFormat="false" ht="15" hidden="false" customHeight="false" outlineLevel="0" collapsed="false">
      <c r="A41" s="53"/>
      <c r="B41" s="53"/>
      <c r="C41" s="53"/>
      <c r="D41" s="53"/>
      <c r="E41" s="53"/>
      <c r="F41" s="53"/>
      <c r="G41" s="53"/>
      <c r="H41" s="53"/>
    </row>
    <row r="42" customFormat="false" ht="15" hidden="false" customHeight="false" outlineLevel="0" collapsed="false">
      <c r="A42" s="53"/>
      <c r="B42" s="53"/>
      <c r="C42" s="53"/>
      <c r="D42" s="53"/>
      <c r="E42" s="53"/>
      <c r="F42" s="53"/>
      <c r="G42" s="53"/>
      <c r="H42" s="53"/>
    </row>
    <row r="43" customFormat="false" ht="15" hidden="false" customHeight="false" outlineLevel="0" collapsed="false">
      <c r="A43" s="53"/>
      <c r="B43" s="53"/>
      <c r="C43" s="53"/>
      <c r="D43" s="53"/>
      <c r="E43" s="53"/>
      <c r="F43" s="53"/>
      <c r="G43" s="53"/>
      <c r="H43" s="53"/>
    </row>
    <row r="44" customFormat="false" ht="15" hidden="false" customHeight="false" outlineLevel="0" collapsed="false">
      <c r="A44" s="53"/>
      <c r="B44" s="53"/>
      <c r="C44" s="53"/>
      <c r="D44" s="53"/>
      <c r="E44" s="53"/>
      <c r="F44" s="53"/>
      <c r="G44" s="53"/>
      <c r="H44" s="53"/>
    </row>
    <row r="45" customFormat="false" ht="15" hidden="false" customHeight="false" outlineLevel="0" collapsed="false">
      <c r="A45" s="53"/>
      <c r="B45" s="53"/>
      <c r="C45" s="53"/>
      <c r="D45" s="53"/>
      <c r="E45" s="53"/>
      <c r="F45" s="53"/>
      <c r="G45" s="53"/>
      <c r="H45" s="53"/>
    </row>
    <row r="46" customFormat="false" ht="15" hidden="false" customHeight="false" outlineLevel="0" collapsed="false">
      <c r="A46" s="53"/>
      <c r="B46" s="53"/>
      <c r="C46" s="53"/>
      <c r="D46" s="53"/>
      <c r="E46" s="53"/>
      <c r="F46" s="53"/>
      <c r="G46" s="53"/>
      <c r="H46" s="53"/>
    </row>
    <row r="47" customFormat="false" ht="15" hidden="false" customHeight="false" outlineLevel="0" collapsed="false">
      <c r="A47" s="53"/>
      <c r="B47" s="53"/>
      <c r="C47" s="53"/>
      <c r="D47" s="53"/>
      <c r="E47" s="53"/>
      <c r="F47" s="53"/>
      <c r="G47" s="53"/>
      <c r="H47" s="53"/>
    </row>
    <row r="48" customFormat="false" ht="15" hidden="false" customHeight="false" outlineLevel="0" collapsed="false">
      <c r="A48" s="53"/>
      <c r="B48" s="53"/>
      <c r="C48" s="53"/>
      <c r="D48" s="53"/>
      <c r="E48" s="53"/>
      <c r="F48" s="53"/>
      <c r="G48" s="53"/>
      <c r="H48" s="53"/>
    </row>
    <row r="49" customFormat="false" ht="15" hidden="false" customHeight="false" outlineLevel="0" collapsed="false">
      <c r="A49" s="53"/>
      <c r="B49" s="53"/>
      <c r="C49" s="53"/>
      <c r="D49" s="53"/>
      <c r="E49" s="53"/>
      <c r="F49" s="53"/>
      <c r="G49" s="53"/>
      <c r="H49" s="53"/>
    </row>
    <row r="50" customFormat="false" ht="15" hidden="false" customHeight="false" outlineLevel="0" collapsed="false">
      <c r="A50" s="53"/>
      <c r="B50" s="53"/>
      <c r="C50" s="53"/>
      <c r="D50" s="53"/>
      <c r="E50" s="53"/>
      <c r="F50" s="53"/>
      <c r="G50" s="53"/>
      <c r="H50" s="53"/>
    </row>
    <row r="51" customFormat="false" ht="15" hidden="false" customHeight="false" outlineLevel="0" collapsed="false">
      <c r="A51" s="53"/>
      <c r="B51" s="53"/>
      <c r="C51" s="53"/>
      <c r="D51" s="53"/>
      <c r="E51" s="53"/>
      <c r="F51" s="53"/>
      <c r="G51" s="53"/>
      <c r="H51" s="53"/>
    </row>
    <row r="53" customFormat="false" ht="16.4" hidden="false" customHeight="false" outlineLevel="0" collapsed="false">
      <c r="A53" s="50" t="s">
        <v>2464</v>
      </c>
    </row>
    <row r="54" customFormat="false" ht="15" hidden="false" customHeight="true" outlineLevel="0" collapsed="false">
      <c r="A54" s="29" t="s">
        <v>8</v>
      </c>
      <c r="B54" s="29" t="s">
        <v>56</v>
      </c>
      <c r="C54" s="29"/>
      <c r="D54" s="29" t="s">
        <v>2465</v>
      </c>
      <c r="E54" s="29"/>
      <c r="F54" s="29"/>
      <c r="G54" s="29"/>
      <c r="H54" s="29" t="s">
        <v>2466</v>
      </c>
      <c r="I54" s="29" t="s">
        <v>58</v>
      </c>
    </row>
    <row r="55" customFormat="false" ht="19.5" hidden="false" customHeight="true" outlineLevel="0" collapsed="false">
      <c r="A55" s="54" t="n">
        <v>1</v>
      </c>
      <c r="B55" s="55" t="s">
        <v>2467</v>
      </c>
      <c r="C55" s="55"/>
      <c r="D55" s="56"/>
      <c r="E55" s="56"/>
      <c r="F55" s="56"/>
      <c r="G55" s="56"/>
      <c r="H55" s="57" t="s">
        <v>2468</v>
      </c>
      <c r="I55" s="58"/>
    </row>
    <row r="56" customFormat="false" ht="19.5" hidden="false" customHeight="true" outlineLevel="0" collapsed="false">
      <c r="A56" s="54" t="n">
        <v>2</v>
      </c>
      <c r="B56" s="55" t="s">
        <v>2467</v>
      </c>
      <c r="C56" s="55"/>
      <c r="D56" s="55" t="s">
        <v>2468</v>
      </c>
      <c r="E56" s="55"/>
      <c r="F56" s="55"/>
      <c r="G56" s="55"/>
      <c r="H56" s="57" t="s">
        <v>2469</v>
      </c>
      <c r="I56" s="58"/>
    </row>
    <row r="57" customFormat="false" ht="19.5" hidden="false" customHeight="true" outlineLevel="0" collapsed="false">
      <c r="A57" s="54" t="n">
        <v>3</v>
      </c>
      <c r="B57" s="55" t="s">
        <v>2467</v>
      </c>
      <c r="C57" s="55"/>
      <c r="D57" s="55" t="s">
        <v>2468</v>
      </c>
      <c r="E57" s="55"/>
      <c r="F57" s="55"/>
      <c r="G57" s="55"/>
      <c r="H57" s="57" t="s">
        <v>2470</v>
      </c>
      <c r="I57" s="58"/>
    </row>
    <row r="58" customFormat="false" ht="34.5" hidden="false" customHeight="true" outlineLevel="0" collapsed="false">
      <c r="A58" s="54" t="n">
        <v>4</v>
      </c>
      <c r="B58" s="55" t="s">
        <v>2467</v>
      </c>
      <c r="C58" s="55"/>
      <c r="D58" s="55" t="s">
        <v>2468</v>
      </c>
      <c r="E58" s="55"/>
      <c r="F58" s="55"/>
      <c r="G58" s="55"/>
      <c r="H58" s="57" t="s">
        <v>2471</v>
      </c>
      <c r="I58" s="58"/>
    </row>
    <row r="59" customFormat="false" ht="34.5" hidden="false" customHeight="true" outlineLevel="0" collapsed="false">
      <c r="A59" s="54" t="n">
        <v>5</v>
      </c>
      <c r="B59" s="55" t="s">
        <v>2467</v>
      </c>
      <c r="C59" s="55"/>
      <c r="D59" s="55" t="s">
        <v>2472</v>
      </c>
      <c r="E59" s="55"/>
      <c r="F59" s="55"/>
      <c r="G59" s="55"/>
      <c r="H59" s="57" t="s">
        <v>2473</v>
      </c>
      <c r="I59" s="58"/>
    </row>
    <row r="60" customFormat="false" ht="19.5" hidden="false" customHeight="true" outlineLevel="0" collapsed="false">
      <c r="A60" s="54" t="n">
        <v>6</v>
      </c>
      <c r="B60" s="55" t="s">
        <v>2467</v>
      </c>
      <c r="C60" s="55"/>
      <c r="D60" s="55" t="s">
        <v>2472</v>
      </c>
      <c r="E60" s="55"/>
      <c r="F60" s="55"/>
      <c r="G60" s="55"/>
      <c r="H60" s="57" t="s">
        <v>2474</v>
      </c>
      <c r="I60" s="58"/>
    </row>
    <row r="61" customFormat="false" ht="19.5" hidden="false" customHeight="true" outlineLevel="0" collapsed="false">
      <c r="A61" s="54" t="n">
        <v>7</v>
      </c>
      <c r="B61" s="56" t="s">
        <v>2475</v>
      </c>
      <c r="C61" s="56"/>
      <c r="D61" s="55"/>
      <c r="E61" s="55"/>
      <c r="F61" s="55"/>
      <c r="G61" s="55"/>
      <c r="H61" s="57" t="s">
        <v>2476</v>
      </c>
      <c r="I61" s="58"/>
    </row>
    <row r="62" customFormat="false" ht="34.5" hidden="false" customHeight="true" outlineLevel="0" collapsed="false">
      <c r="A62" s="54" t="n">
        <v>8</v>
      </c>
      <c r="B62" s="56" t="s">
        <v>2475</v>
      </c>
      <c r="C62" s="56"/>
      <c r="D62" s="55"/>
      <c r="E62" s="55"/>
      <c r="F62" s="55"/>
      <c r="G62" s="55"/>
      <c r="H62" s="57" t="s">
        <v>2477</v>
      </c>
      <c r="I62" s="58"/>
    </row>
    <row r="63" customFormat="false" ht="34.5" hidden="false" customHeight="true" outlineLevel="0" collapsed="false">
      <c r="A63" s="54" t="n">
        <v>9</v>
      </c>
      <c r="B63" s="56" t="s">
        <v>2475</v>
      </c>
      <c r="C63" s="56"/>
      <c r="D63" s="55"/>
      <c r="E63" s="55"/>
      <c r="F63" s="55"/>
      <c r="G63" s="55"/>
      <c r="H63" s="57" t="s">
        <v>2478</v>
      </c>
      <c r="I63" s="58"/>
    </row>
    <row r="64" customFormat="false" ht="94.5" hidden="false" customHeight="true" outlineLevel="0" collapsed="false">
      <c r="A64" s="54" t="n">
        <v>10</v>
      </c>
      <c r="B64" s="56" t="s">
        <v>2475</v>
      </c>
      <c r="C64" s="56"/>
      <c r="D64" s="55"/>
      <c r="E64" s="55"/>
      <c r="F64" s="55"/>
      <c r="G64" s="55"/>
      <c r="H64" s="57" t="s">
        <v>2479</v>
      </c>
      <c r="I64" s="58"/>
    </row>
    <row r="65" customFormat="false" ht="64.5" hidden="false" customHeight="true" outlineLevel="0" collapsed="false">
      <c r="A65" s="54" t="n">
        <v>11</v>
      </c>
      <c r="B65" s="56" t="s">
        <v>2475</v>
      </c>
      <c r="C65" s="56"/>
      <c r="D65" s="55"/>
      <c r="E65" s="55"/>
      <c r="F65" s="55"/>
      <c r="G65" s="55"/>
      <c r="H65" s="57" t="s">
        <v>2480</v>
      </c>
      <c r="I65" s="58"/>
    </row>
    <row r="66" customFormat="false" ht="34.5" hidden="false" customHeight="true" outlineLevel="0" collapsed="false">
      <c r="A66" s="54" t="n">
        <v>12</v>
      </c>
      <c r="B66" s="56" t="s">
        <v>2475</v>
      </c>
      <c r="C66" s="56"/>
      <c r="D66" s="55" t="s">
        <v>2481</v>
      </c>
      <c r="E66" s="55"/>
      <c r="F66" s="55"/>
      <c r="G66" s="55"/>
      <c r="H66" s="57" t="s">
        <v>2482</v>
      </c>
      <c r="I66" s="58"/>
    </row>
    <row r="67" customFormat="false" ht="64.5" hidden="false" customHeight="true" outlineLevel="0" collapsed="false">
      <c r="A67" s="54" t="n">
        <v>13</v>
      </c>
      <c r="B67" s="56" t="s">
        <v>2475</v>
      </c>
      <c r="C67" s="56"/>
      <c r="D67" s="55" t="s">
        <v>2481</v>
      </c>
      <c r="E67" s="55"/>
      <c r="F67" s="55"/>
      <c r="G67" s="55"/>
      <c r="H67" s="57" t="s">
        <v>2483</v>
      </c>
      <c r="I67" s="58"/>
    </row>
    <row r="68" customFormat="false" ht="34.5" hidden="false" customHeight="true" outlineLevel="0" collapsed="false">
      <c r="A68" s="54" t="n">
        <v>14</v>
      </c>
      <c r="B68" s="56" t="s">
        <v>2475</v>
      </c>
      <c r="C68" s="56"/>
      <c r="D68" s="55" t="s">
        <v>2484</v>
      </c>
      <c r="E68" s="55"/>
      <c r="F68" s="55"/>
      <c r="G68" s="55"/>
      <c r="H68" s="57" t="s">
        <v>2485</v>
      </c>
      <c r="I68" s="58"/>
    </row>
    <row r="69" customFormat="false" ht="49.5" hidden="false" customHeight="true" outlineLevel="0" collapsed="false">
      <c r="A69" s="54" t="n">
        <v>15</v>
      </c>
      <c r="B69" s="56" t="s">
        <v>2475</v>
      </c>
      <c r="C69" s="56"/>
      <c r="D69" s="55" t="s">
        <v>2484</v>
      </c>
      <c r="E69" s="55"/>
      <c r="F69" s="55"/>
      <c r="G69" s="55"/>
      <c r="H69" s="57" t="s">
        <v>2486</v>
      </c>
      <c r="I69" s="58"/>
    </row>
    <row r="70" customFormat="false" ht="34.5" hidden="false" customHeight="true" outlineLevel="0" collapsed="false">
      <c r="A70" s="54" t="n">
        <v>16</v>
      </c>
      <c r="B70" s="56" t="s">
        <v>2475</v>
      </c>
      <c r="C70" s="56"/>
      <c r="D70" s="55" t="s">
        <v>2484</v>
      </c>
      <c r="E70" s="55"/>
      <c r="F70" s="55"/>
      <c r="G70" s="55"/>
      <c r="H70" s="57" t="s">
        <v>2487</v>
      </c>
      <c r="I70" s="58"/>
    </row>
    <row r="71" customFormat="false" ht="34.5" hidden="false" customHeight="true" outlineLevel="0" collapsed="false">
      <c r="A71" s="54" t="n">
        <v>17</v>
      </c>
      <c r="B71" s="56" t="s">
        <v>2475</v>
      </c>
      <c r="C71" s="56"/>
      <c r="D71" s="55" t="s">
        <v>2484</v>
      </c>
      <c r="E71" s="55"/>
      <c r="F71" s="55"/>
      <c r="G71" s="55"/>
      <c r="H71" s="57" t="s">
        <v>2488</v>
      </c>
      <c r="I71" s="58" t="n">
        <v>46283</v>
      </c>
    </row>
    <row r="72" customFormat="false" ht="19.5" hidden="false" customHeight="true" outlineLevel="0" collapsed="false">
      <c r="A72" s="54" t="n">
        <v>18</v>
      </c>
      <c r="B72" s="56" t="s">
        <v>2489</v>
      </c>
      <c r="C72" s="56"/>
      <c r="D72" s="55"/>
      <c r="E72" s="55"/>
      <c r="F72" s="55"/>
      <c r="G72" s="55"/>
      <c r="H72" s="57" t="s">
        <v>2476</v>
      </c>
      <c r="I72" s="58"/>
    </row>
    <row r="73" customFormat="false" ht="34.5" hidden="false" customHeight="true" outlineLevel="0" collapsed="false">
      <c r="A73" s="54" t="n">
        <v>19</v>
      </c>
      <c r="B73" s="56" t="s">
        <v>2489</v>
      </c>
      <c r="C73" s="56"/>
      <c r="D73" s="55"/>
      <c r="E73" s="55"/>
      <c r="F73" s="55"/>
      <c r="G73" s="55"/>
      <c r="H73" s="57" t="s">
        <v>2490</v>
      </c>
      <c r="I73" s="58"/>
    </row>
    <row r="74" customFormat="false" ht="34.5" hidden="false" customHeight="true" outlineLevel="0" collapsed="false">
      <c r="A74" s="54" t="n">
        <v>20</v>
      </c>
      <c r="B74" s="56" t="s">
        <v>2489</v>
      </c>
      <c r="C74" s="56"/>
      <c r="D74" s="55"/>
      <c r="E74" s="55"/>
      <c r="F74" s="55"/>
      <c r="G74" s="55"/>
      <c r="H74" s="57" t="s">
        <v>2491</v>
      </c>
      <c r="I74" s="58"/>
    </row>
    <row r="75" customFormat="false" ht="34.5" hidden="false" customHeight="true" outlineLevel="0" collapsed="false">
      <c r="A75" s="54" t="n">
        <v>21</v>
      </c>
      <c r="B75" s="56" t="s">
        <v>2489</v>
      </c>
      <c r="C75" s="56"/>
      <c r="D75" s="55"/>
      <c r="E75" s="55"/>
      <c r="F75" s="55"/>
      <c r="G75" s="55"/>
      <c r="H75" s="57" t="s">
        <v>2492</v>
      </c>
      <c r="I75" s="58"/>
    </row>
    <row r="76" customFormat="false" ht="34.5" hidden="false" customHeight="true" outlineLevel="0" collapsed="false">
      <c r="A76" s="54" t="n">
        <v>22</v>
      </c>
      <c r="B76" s="56" t="s">
        <v>2489</v>
      </c>
      <c r="C76" s="56"/>
      <c r="D76" s="55"/>
      <c r="E76" s="55"/>
      <c r="F76" s="55"/>
      <c r="G76" s="55"/>
      <c r="H76" s="57" t="s">
        <v>2493</v>
      </c>
      <c r="I76" s="58"/>
    </row>
    <row r="77" customFormat="false" ht="64.5" hidden="false" customHeight="true" outlineLevel="0" collapsed="false">
      <c r="A77" s="54" t="n">
        <v>23</v>
      </c>
      <c r="B77" s="56" t="s">
        <v>2489</v>
      </c>
      <c r="C77" s="56"/>
      <c r="D77" s="55"/>
      <c r="E77" s="55"/>
      <c r="F77" s="55"/>
      <c r="G77" s="55"/>
      <c r="H77" s="57" t="s">
        <v>2494</v>
      </c>
      <c r="I77" s="58"/>
    </row>
    <row r="78" customFormat="false" ht="79.5" hidden="false" customHeight="true" outlineLevel="0" collapsed="false">
      <c r="A78" s="54" t="n">
        <v>24</v>
      </c>
      <c r="B78" s="56" t="s">
        <v>2489</v>
      </c>
      <c r="C78" s="56"/>
      <c r="D78" s="55" t="s">
        <v>2495</v>
      </c>
      <c r="E78" s="55"/>
      <c r="F78" s="55"/>
      <c r="G78" s="55"/>
      <c r="H78" s="57" t="s">
        <v>2496</v>
      </c>
      <c r="I78" s="58"/>
    </row>
    <row r="79" customFormat="false" ht="49.5" hidden="false" customHeight="true" outlineLevel="0" collapsed="false">
      <c r="A79" s="54" t="n">
        <v>25</v>
      </c>
      <c r="B79" s="56" t="s">
        <v>2489</v>
      </c>
      <c r="C79" s="56"/>
      <c r="D79" s="55" t="s">
        <v>2495</v>
      </c>
      <c r="E79" s="55"/>
      <c r="F79" s="55"/>
      <c r="G79" s="55"/>
      <c r="H79" s="57" t="s">
        <v>2497</v>
      </c>
      <c r="I79" s="58"/>
    </row>
    <row r="80" customFormat="false" ht="19.5" hidden="false" customHeight="true" outlineLevel="0" collapsed="false">
      <c r="A80" s="54" t="n">
        <v>26</v>
      </c>
      <c r="B80" s="56" t="s">
        <v>2489</v>
      </c>
      <c r="C80" s="56"/>
      <c r="D80" s="55" t="s">
        <v>2495</v>
      </c>
      <c r="E80" s="55"/>
      <c r="F80" s="55"/>
      <c r="G80" s="55"/>
      <c r="H80" s="57" t="s">
        <v>2498</v>
      </c>
      <c r="I80" s="58" t="n">
        <v>46283</v>
      </c>
    </row>
    <row r="81" customFormat="false" ht="49.5" hidden="false" customHeight="true" outlineLevel="0" collapsed="false">
      <c r="A81" s="54" t="n">
        <v>27</v>
      </c>
      <c r="B81" s="56" t="s">
        <v>2489</v>
      </c>
      <c r="C81" s="56"/>
      <c r="D81" s="55" t="s">
        <v>2499</v>
      </c>
      <c r="E81" s="55"/>
      <c r="F81" s="55"/>
      <c r="G81" s="55"/>
      <c r="H81" s="57" t="s">
        <v>2500</v>
      </c>
      <c r="I81" s="58"/>
    </row>
    <row r="82" customFormat="false" ht="79.5" hidden="false" customHeight="true" outlineLevel="0" collapsed="false">
      <c r="A82" s="54" t="n">
        <v>28</v>
      </c>
      <c r="B82" s="56" t="s">
        <v>2489</v>
      </c>
      <c r="C82" s="56"/>
      <c r="D82" s="55" t="s">
        <v>2499</v>
      </c>
      <c r="E82" s="55"/>
      <c r="F82" s="55"/>
      <c r="G82" s="55"/>
      <c r="H82" s="57" t="s">
        <v>2501</v>
      </c>
      <c r="I82" s="58"/>
    </row>
    <row r="83" customFormat="false" ht="49.5" hidden="false" customHeight="true" outlineLevel="0" collapsed="false">
      <c r="A83" s="54" t="n">
        <v>29</v>
      </c>
      <c r="B83" s="56" t="s">
        <v>2489</v>
      </c>
      <c r="C83" s="56"/>
      <c r="D83" s="55" t="s">
        <v>2499</v>
      </c>
      <c r="E83" s="55"/>
      <c r="F83" s="55"/>
      <c r="G83" s="55"/>
      <c r="H83" s="57" t="s">
        <v>2502</v>
      </c>
      <c r="I83" s="58"/>
    </row>
    <row r="84" customFormat="false" ht="34.5" hidden="false" customHeight="true" outlineLevel="0" collapsed="false">
      <c r="A84" s="54" t="n">
        <v>30</v>
      </c>
      <c r="B84" s="56" t="s">
        <v>2489</v>
      </c>
      <c r="C84" s="56"/>
      <c r="D84" s="55" t="s">
        <v>2499</v>
      </c>
      <c r="E84" s="55"/>
      <c r="F84" s="55"/>
      <c r="G84" s="55"/>
      <c r="H84" s="57" t="s">
        <v>2503</v>
      </c>
      <c r="I84" s="58" t="n">
        <v>46283</v>
      </c>
    </row>
    <row r="85" customFormat="false" ht="49.5" hidden="false" customHeight="true" outlineLevel="0" collapsed="false">
      <c r="A85" s="54" t="n">
        <v>31</v>
      </c>
      <c r="B85" s="56" t="s">
        <v>2489</v>
      </c>
      <c r="C85" s="56"/>
      <c r="D85" s="55" t="s">
        <v>2504</v>
      </c>
      <c r="E85" s="55"/>
      <c r="F85" s="55"/>
      <c r="G85" s="55"/>
      <c r="H85" s="57" t="s">
        <v>2505</v>
      </c>
      <c r="I85" s="58"/>
    </row>
    <row r="86" customFormat="false" ht="64.5" hidden="false" customHeight="true" outlineLevel="0" collapsed="false">
      <c r="A86" s="54" t="n">
        <v>32</v>
      </c>
      <c r="B86" s="56" t="s">
        <v>2489</v>
      </c>
      <c r="C86" s="56"/>
      <c r="D86" s="55" t="s">
        <v>2504</v>
      </c>
      <c r="E86" s="55"/>
      <c r="F86" s="55"/>
      <c r="G86" s="55"/>
      <c r="H86" s="57" t="s">
        <v>2506</v>
      </c>
      <c r="I86" s="58"/>
    </row>
    <row r="87" customFormat="false" ht="49.5" hidden="false" customHeight="true" outlineLevel="0" collapsed="false">
      <c r="A87" s="54" t="n">
        <v>33</v>
      </c>
      <c r="B87" s="56" t="s">
        <v>2489</v>
      </c>
      <c r="C87" s="56"/>
      <c r="D87" s="55" t="s">
        <v>2504</v>
      </c>
      <c r="E87" s="55"/>
      <c r="F87" s="55"/>
      <c r="G87" s="55"/>
      <c r="H87" s="57" t="s">
        <v>2507</v>
      </c>
      <c r="I87" s="58" t="n">
        <v>46283</v>
      </c>
    </row>
    <row r="89" customFormat="false" ht="16.4" hidden="false" customHeight="false" outlineLevel="0" collapsed="false">
      <c r="A89" s="50" t="s">
        <v>2508</v>
      </c>
    </row>
    <row r="90" customFormat="false" ht="15" hidden="false" customHeight="false" outlineLevel="0" collapsed="false">
      <c r="A90" s="59" t="s">
        <v>2509</v>
      </c>
      <c r="B90" s="53" t="s">
        <v>2510</v>
      </c>
      <c r="C90" s="53" t="s">
        <v>2511</v>
      </c>
      <c r="D90" s="53" t="s">
        <v>2512</v>
      </c>
      <c r="E90" s="53" t="s">
        <v>2513</v>
      </c>
      <c r="F90" s="53" t="s">
        <v>2514</v>
      </c>
    </row>
    <row r="91" customFormat="false" ht="15" hidden="false" customHeight="false" outlineLevel="0" collapsed="false">
      <c r="A91" s="53" t="s">
        <v>2515</v>
      </c>
      <c r="B91" s="53" t="s">
        <v>2516</v>
      </c>
      <c r="C91" s="53" t="s">
        <v>2517</v>
      </c>
      <c r="D91" s="53" t="s">
        <v>2518</v>
      </c>
      <c r="E91" s="53" t="s">
        <v>2519</v>
      </c>
      <c r="F91" s="53" t="s">
        <v>2520</v>
      </c>
    </row>
    <row r="92" customFormat="false" ht="15" hidden="false" customHeight="false" outlineLevel="0" collapsed="false">
      <c r="A92" s="53" t="s">
        <v>2521</v>
      </c>
      <c r="B92" s="53" t="s">
        <v>2522</v>
      </c>
      <c r="C92" s="53" t="s">
        <v>2523</v>
      </c>
      <c r="D92" s="53" t="s">
        <v>2524</v>
      </c>
      <c r="E92" s="53" t="s">
        <v>2525</v>
      </c>
      <c r="F92" s="53" t="s">
        <v>2526</v>
      </c>
    </row>
  </sheetData>
  <mergeCells count="68">
    <mergeCell ref="B54:C54"/>
    <mergeCell ref="D54:G54"/>
    <mergeCell ref="B55:C55"/>
    <mergeCell ref="D55:G55"/>
    <mergeCell ref="B56:C56"/>
    <mergeCell ref="D56:G56"/>
    <mergeCell ref="B57:C57"/>
    <mergeCell ref="D57:G57"/>
    <mergeCell ref="B58:C58"/>
    <mergeCell ref="D58:G58"/>
    <mergeCell ref="B59:C59"/>
    <mergeCell ref="D59:G59"/>
    <mergeCell ref="B60:C60"/>
    <mergeCell ref="D60:G60"/>
    <mergeCell ref="B61:C61"/>
    <mergeCell ref="D61:G61"/>
    <mergeCell ref="B62:C62"/>
    <mergeCell ref="D62:G62"/>
    <mergeCell ref="B63:C63"/>
    <mergeCell ref="D63:G63"/>
    <mergeCell ref="B64:C64"/>
    <mergeCell ref="D64:G64"/>
    <mergeCell ref="B65:C65"/>
    <mergeCell ref="D65:G65"/>
    <mergeCell ref="B66:C66"/>
    <mergeCell ref="D66:G66"/>
    <mergeCell ref="B67:C67"/>
    <mergeCell ref="D67:G67"/>
    <mergeCell ref="B68:C68"/>
    <mergeCell ref="D68:G68"/>
    <mergeCell ref="B69:C69"/>
    <mergeCell ref="D69:G69"/>
    <mergeCell ref="B70:C70"/>
    <mergeCell ref="D70:G70"/>
    <mergeCell ref="B71:C71"/>
    <mergeCell ref="D71:G71"/>
    <mergeCell ref="B72:C72"/>
    <mergeCell ref="D72:G72"/>
    <mergeCell ref="B73:C73"/>
    <mergeCell ref="D73:G73"/>
    <mergeCell ref="B74:C74"/>
    <mergeCell ref="D74:G74"/>
    <mergeCell ref="B75:C75"/>
    <mergeCell ref="D75:G75"/>
    <mergeCell ref="B76:C76"/>
    <mergeCell ref="D76:G76"/>
    <mergeCell ref="B77:C77"/>
    <mergeCell ref="D77:G77"/>
    <mergeCell ref="B78:C78"/>
    <mergeCell ref="D78:G78"/>
    <mergeCell ref="B79:C79"/>
    <mergeCell ref="D79:G79"/>
    <mergeCell ref="B80:C80"/>
    <mergeCell ref="D80:G80"/>
    <mergeCell ref="B81:C81"/>
    <mergeCell ref="D81:G81"/>
    <mergeCell ref="B82:C82"/>
    <mergeCell ref="D82:G82"/>
    <mergeCell ref="B83:C83"/>
    <mergeCell ref="D83:G83"/>
    <mergeCell ref="B84:C84"/>
    <mergeCell ref="D84:G84"/>
    <mergeCell ref="B85:C85"/>
    <mergeCell ref="D85:G85"/>
    <mergeCell ref="B86:C86"/>
    <mergeCell ref="D86:G86"/>
    <mergeCell ref="B87:C87"/>
    <mergeCell ref="D87:G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2026-09-30T05:02:53Z</dcterms:created>
  <dc:creator>openpyxl</dc:creator>
  <dc:description/>
  <dc:language>en-US</dc:language>
  <cp:lastModifiedBy/>
  <dcterms:modified xsi:type="dcterms:W3CDTF">2026-09-30T05:02:54Z</dcterms:modified>
  <cp:revision>0</cp:revision>
  <dc:subject/>
  <dc:title>파프리카 병해충 방제 가이드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